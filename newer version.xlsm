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Luke\Desktop\"/>
    </mc:Choice>
  </mc:AlternateContent>
  <bookViews>
    <workbookView minimized="1" xWindow="2940" yWindow="0" windowWidth="22995" windowHeight="10095" firstSheet="31" activeTab="31"/>
  </bookViews>
  <sheets>
    <sheet name="Index" sheetId="58" r:id="rId1"/>
    <sheet name="Page 1" sheetId="1" r:id="rId2"/>
    <sheet name="Page 2" sheetId="2" r:id="rId3"/>
    <sheet name="Page 3" sheetId="3" r:id="rId4"/>
    <sheet name="Page 4" sheetId="4" r:id="rId5"/>
    <sheet name="Page 5" sheetId="5" r:id="rId6"/>
    <sheet name="Page 6" sheetId="6" r:id="rId7"/>
    <sheet name="Page 7" sheetId="7" r:id="rId8"/>
    <sheet name="Page 8" sheetId="8" r:id="rId9"/>
    <sheet name="Page 9" sheetId="9" r:id="rId10"/>
    <sheet name="Page 10" sheetId="10" r:id="rId11"/>
    <sheet name="Page 11" sheetId="11" r:id="rId12"/>
    <sheet name="Page 12" sheetId="12" r:id="rId13"/>
    <sheet name="Page 13" sheetId="13" r:id="rId14"/>
    <sheet name="Page 14" sheetId="14" r:id="rId15"/>
    <sheet name="Page 15" sheetId="15" r:id="rId16"/>
    <sheet name="Page 16" sheetId="16" r:id="rId17"/>
    <sheet name="Page 17" sheetId="17" r:id="rId18"/>
    <sheet name="Page 18" sheetId="18" r:id="rId19"/>
    <sheet name="Page 19" sheetId="19" r:id="rId20"/>
    <sheet name="Page 20" sheetId="20" r:id="rId21"/>
    <sheet name="Page 21" sheetId="21" r:id="rId22"/>
    <sheet name="Page 22" sheetId="22" r:id="rId23"/>
    <sheet name="Page 23" sheetId="23" r:id="rId24"/>
    <sheet name="Page 24" sheetId="24" r:id="rId25"/>
    <sheet name="Page 25" sheetId="25" r:id="rId26"/>
    <sheet name="Page 26" sheetId="26" r:id="rId27"/>
    <sheet name="Page 27" sheetId="27" r:id="rId28"/>
    <sheet name="Page 28" sheetId="28" r:id="rId29"/>
    <sheet name="Page 29" sheetId="29" r:id="rId30"/>
    <sheet name="Page 30" sheetId="30" r:id="rId31"/>
    <sheet name="Page 31" sheetId="31" r:id="rId32"/>
    <sheet name="Page 32" sheetId="32" r:id="rId33"/>
    <sheet name="Page 33" sheetId="33" r:id="rId34"/>
    <sheet name="Page 34" sheetId="34" r:id="rId35"/>
    <sheet name="Page 35" sheetId="35" r:id="rId36"/>
    <sheet name="Page 36" sheetId="36" r:id="rId37"/>
    <sheet name="Page 37" sheetId="37" r:id="rId38"/>
    <sheet name="Page 38" sheetId="38" r:id="rId39"/>
    <sheet name="Page 39" sheetId="39" r:id="rId40"/>
    <sheet name="Page 40" sheetId="40" r:id="rId41"/>
    <sheet name="Page 41" sheetId="41" r:id="rId42"/>
    <sheet name="Page 42" sheetId="42" r:id="rId43"/>
    <sheet name="Page 43" sheetId="43" r:id="rId44"/>
    <sheet name="Page 44" sheetId="44" r:id="rId45"/>
    <sheet name="Page 45" sheetId="45" r:id="rId46"/>
    <sheet name="Page 46" sheetId="46" r:id="rId47"/>
    <sheet name="Page 47" sheetId="47" r:id="rId48"/>
    <sheet name="Page 48" sheetId="48" r:id="rId49"/>
    <sheet name="Page 49" sheetId="49" r:id="rId50"/>
    <sheet name="Page 50" sheetId="50" r:id="rId51"/>
    <sheet name="Page 51" sheetId="51" r:id="rId52"/>
    <sheet name="Page 52" sheetId="52" r:id="rId53"/>
    <sheet name="Page 53" sheetId="53" r:id="rId54"/>
    <sheet name="Page 54" sheetId="54" r:id="rId55"/>
    <sheet name="Page 55" sheetId="55" r:id="rId56"/>
    <sheet name="Page 56" sheetId="56" r:id="rId57"/>
    <sheet name="Page 57" sheetId="57" r:id="rId5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" i="31" l="1"/>
  <c r="E55" i="32"/>
  <c r="F56" i="32"/>
  <c r="E36" i="32"/>
  <c r="D12" i="32"/>
  <c r="I46" i="31"/>
  <c r="I56" i="31"/>
  <c r="H51" i="31"/>
  <c r="G41" i="31"/>
  <c r="H33" i="31"/>
  <c r="H12" i="31"/>
  <c r="F24" i="30" l="1"/>
  <c r="M2" i="57"/>
  <c r="L2" i="57"/>
  <c r="K2" i="57"/>
  <c r="J2" i="57"/>
  <c r="I2" i="57"/>
  <c r="H2" i="57"/>
  <c r="G2" i="57"/>
  <c r="F2" i="57"/>
  <c r="E2" i="57"/>
  <c r="D2" i="57"/>
  <c r="C2" i="57"/>
  <c r="M2" i="56"/>
  <c r="L2" i="56"/>
  <c r="K2" i="56"/>
  <c r="J2" i="56"/>
  <c r="I2" i="56"/>
  <c r="H2" i="56"/>
  <c r="F2" i="56"/>
  <c r="E2" i="56"/>
  <c r="D2" i="56"/>
  <c r="C2" i="56"/>
  <c r="M2" i="55"/>
  <c r="K2" i="55"/>
  <c r="J2" i="55"/>
  <c r="I2" i="55"/>
  <c r="H2" i="55"/>
  <c r="G2" i="55"/>
  <c r="F2" i="55"/>
  <c r="E2" i="55"/>
  <c r="D2" i="55"/>
  <c r="C2" i="55"/>
  <c r="M2" i="54"/>
  <c r="L2" i="54"/>
  <c r="K2" i="54"/>
  <c r="J2" i="54"/>
  <c r="I2" i="54"/>
  <c r="H2" i="54"/>
  <c r="G2" i="54"/>
  <c r="F2" i="54"/>
  <c r="E2" i="54"/>
  <c r="D2" i="54"/>
  <c r="C2" i="54"/>
  <c r="M2" i="53"/>
  <c r="L2" i="53"/>
  <c r="K2" i="53"/>
  <c r="J2" i="53"/>
  <c r="I2" i="53"/>
  <c r="H2" i="53"/>
  <c r="G2" i="53"/>
  <c r="F2" i="53"/>
  <c r="E2" i="53"/>
  <c r="D2" i="53"/>
  <c r="C2" i="53"/>
  <c r="M2" i="52"/>
  <c r="K2" i="52"/>
  <c r="J2" i="52"/>
  <c r="I2" i="52"/>
  <c r="H2" i="52"/>
  <c r="G2" i="52"/>
  <c r="F2" i="52"/>
  <c r="E2" i="52"/>
  <c r="D2" i="52"/>
  <c r="C2" i="52"/>
  <c r="M2" i="51"/>
  <c r="L2" i="51"/>
  <c r="K2" i="51"/>
  <c r="J2" i="51"/>
  <c r="I2" i="51"/>
  <c r="H2" i="51"/>
  <c r="G2" i="51"/>
  <c r="F2" i="51"/>
  <c r="E2" i="51"/>
  <c r="D2" i="51"/>
  <c r="C2" i="51"/>
  <c r="M2" i="50"/>
  <c r="L2" i="50"/>
  <c r="K2" i="50"/>
  <c r="J2" i="50"/>
  <c r="I2" i="50"/>
  <c r="H2" i="50"/>
  <c r="G2" i="50"/>
  <c r="F2" i="50"/>
  <c r="E2" i="50"/>
  <c r="D2" i="50"/>
  <c r="C2" i="50"/>
  <c r="M2" i="49"/>
  <c r="L2" i="49"/>
  <c r="K2" i="49"/>
  <c r="J2" i="49"/>
  <c r="I2" i="49"/>
  <c r="H2" i="49"/>
  <c r="G2" i="49"/>
  <c r="F2" i="49"/>
  <c r="E2" i="49"/>
  <c r="D2" i="49"/>
  <c r="C2" i="49"/>
  <c r="M2" i="48"/>
  <c r="M54" i="48"/>
  <c r="M38" i="48"/>
  <c r="M42" i="48"/>
  <c r="L2" i="48"/>
  <c r="L54" i="48"/>
  <c r="L38" i="48"/>
  <c r="L42" i="48"/>
  <c r="K54" i="48"/>
  <c r="K38" i="48"/>
  <c r="K42" i="48"/>
  <c r="J2" i="48"/>
  <c r="J38" i="48"/>
  <c r="J42" i="48"/>
  <c r="I2" i="48"/>
  <c r="I38" i="48"/>
  <c r="I42" i="48"/>
  <c r="H2" i="48"/>
  <c r="H38" i="48"/>
  <c r="H42" i="48"/>
  <c r="G2" i="48"/>
  <c r="G38" i="48"/>
  <c r="G42" i="48"/>
  <c r="F2" i="48"/>
  <c r="F38" i="48"/>
  <c r="F42" i="48"/>
  <c r="E2" i="48"/>
  <c r="E54" i="48"/>
  <c r="E38" i="48"/>
  <c r="E42" i="48"/>
  <c r="D2" i="48"/>
  <c r="D54" i="48"/>
  <c r="D38" i="48"/>
  <c r="D42" i="48"/>
  <c r="C2" i="48"/>
  <c r="C54" i="48"/>
  <c r="C38" i="48"/>
  <c r="C42" i="48"/>
  <c r="M2" i="47"/>
  <c r="M54" i="47"/>
  <c r="M38" i="47"/>
  <c r="M42" i="47"/>
  <c r="L2" i="47"/>
  <c r="L54" i="47"/>
  <c r="L38" i="47"/>
  <c r="L42" i="47"/>
  <c r="K54" i="47"/>
  <c r="K38" i="47"/>
  <c r="K42" i="47"/>
  <c r="J2" i="47"/>
  <c r="J38" i="47"/>
  <c r="J42" i="47"/>
  <c r="I2" i="47"/>
  <c r="I38" i="47"/>
  <c r="I42" i="47"/>
  <c r="H2" i="47"/>
  <c r="H38" i="47"/>
  <c r="H42" i="47"/>
  <c r="G2" i="47"/>
  <c r="G38" i="47"/>
  <c r="G42" i="47"/>
  <c r="F2" i="47"/>
  <c r="F38" i="47"/>
  <c r="F42" i="47"/>
  <c r="E2" i="47"/>
  <c r="E54" i="47"/>
  <c r="E38" i="47"/>
  <c r="E42" i="47"/>
  <c r="D2" i="47"/>
  <c r="D54" i="47"/>
  <c r="D38" i="47"/>
  <c r="D42" i="47"/>
  <c r="C2" i="47"/>
  <c r="C54" i="47"/>
  <c r="C38" i="47"/>
  <c r="C42" i="47"/>
  <c r="M2" i="46"/>
  <c r="M54" i="46"/>
  <c r="M38" i="46"/>
  <c r="M42" i="46"/>
  <c r="L2" i="46"/>
  <c r="L54" i="46"/>
  <c r="L38" i="46"/>
  <c r="L42" i="46"/>
  <c r="K54" i="46"/>
  <c r="K38" i="46"/>
  <c r="K42" i="46"/>
  <c r="J2" i="46"/>
  <c r="J38" i="46"/>
  <c r="J42" i="46"/>
  <c r="I2" i="46"/>
  <c r="I38" i="46"/>
  <c r="I42" i="46"/>
  <c r="H2" i="46"/>
  <c r="H38" i="46"/>
  <c r="H42" i="46"/>
  <c r="G2" i="46"/>
  <c r="G38" i="46"/>
  <c r="G42" i="46"/>
  <c r="F2" i="46"/>
  <c r="F38" i="46"/>
  <c r="F42" i="46"/>
  <c r="E2" i="46"/>
  <c r="E54" i="46"/>
  <c r="E38" i="46"/>
  <c r="E42" i="46"/>
  <c r="D2" i="46"/>
  <c r="D54" i="46"/>
  <c r="D38" i="46"/>
  <c r="D42" i="46"/>
  <c r="C2" i="46"/>
  <c r="C54" i="46"/>
  <c r="C38" i="46"/>
  <c r="C42" i="46"/>
  <c r="M2" i="45"/>
  <c r="M54" i="45"/>
  <c r="M38" i="45"/>
  <c r="M42" i="45"/>
  <c r="L2" i="45"/>
  <c r="L54" i="45"/>
  <c r="L38" i="45"/>
  <c r="L42" i="45"/>
  <c r="K54" i="45"/>
  <c r="K38" i="45"/>
  <c r="K42" i="45"/>
  <c r="J2" i="45"/>
  <c r="J38" i="45"/>
  <c r="J42" i="45"/>
  <c r="I2" i="45"/>
  <c r="I38" i="45"/>
  <c r="I42" i="45"/>
  <c r="H2" i="45"/>
  <c r="H38" i="45"/>
  <c r="H42" i="45"/>
  <c r="G2" i="45"/>
  <c r="G38" i="45"/>
  <c r="G42" i="45"/>
  <c r="F2" i="45"/>
  <c r="F38" i="45"/>
  <c r="F42" i="45"/>
  <c r="E2" i="45"/>
  <c r="E54" i="45"/>
  <c r="E38" i="45"/>
  <c r="E42" i="45"/>
  <c r="D2" i="45"/>
  <c r="D54" i="45"/>
  <c r="D38" i="45"/>
  <c r="D42" i="45"/>
  <c r="C2" i="45"/>
  <c r="C54" i="45"/>
  <c r="C38" i="45"/>
  <c r="C42" i="45"/>
  <c r="M2" i="44"/>
  <c r="M54" i="44"/>
  <c r="M38" i="44"/>
  <c r="M42" i="44"/>
  <c r="L2" i="44"/>
  <c r="L54" i="44"/>
  <c r="L38" i="44"/>
  <c r="L42" i="44"/>
  <c r="K54" i="44"/>
  <c r="K38" i="44"/>
  <c r="K42" i="44"/>
  <c r="J2" i="44"/>
  <c r="J38" i="44"/>
  <c r="J42" i="44"/>
  <c r="I2" i="44"/>
  <c r="I38" i="44"/>
  <c r="I42" i="44"/>
  <c r="H2" i="44"/>
  <c r="H38" i="44"/>
  <c r="H42" i="44"/>
  <c r="G2" i="44"/>
  <c r="G38" i="44"/>
  <c r="G42" i="44"/>
  <c r="F2" i="44"/>
  <c r="F38" i="44"/>
  <c r="F42" i="44"/>
  <c r="E2" i="44"/>
  <c r="E54" i="44"/>
  <c r="E38" i="44"/>
  <c r="E42" i="44"/>
  <c r="D2" i="44"/>
  <c r="D54" i="44"/>
  <c r="D38" i="44"/>
  <c r="D42" i="44"/>
  <c r="C2" i="44"/>
  <c r="C54" i="44"/>
  <c r="C38" i="44"/>
  <c r="C42" i="44"/>
  <c r="M2" i="43"/>
  <c r="M54" i="43"/>
  <c r="M38" i="43"/>
  <c r="M42" i="43"/>
  <c r="L2" i="43"/>
  <c r="L54" i="43"/>
  <c r="L38" i="43"/>
  <c r="L42" i="43"/>
  <c r="K54" i="43"/>
  <c r="K38" i="43"/>
  <c r="K42" i="43"/>
  <c r="J2" i="43"/>
  <c r="J38" i="43"/>
  <c r="J42" i="43"/>
  <c r="I2" i="43"/>
  <c r="I38" i="43"/>
  <c r="I42" i="43"/>
  <c r="H2" i="43"/>
  <c r="H38" i="43"/>
  <c r="H42" i="43"/>
  <c r="G2" i="43"/>
  <c r="G38" i="43"/>
  <c r="G42" i="43"/>
  <c r="F2" i="43"/>
  <c r="F38" i="43"/>
  <c r="F42" i="43"/>
  <c r="E2" i="43"/>
  <c r="E54" i="43"/>
  <c r="E38" i="43"/>
  <c r="E42" i="43"/>
  <c r="D2" i="43"/>
  <c r="D54" i="43"/>
  <c r="D38" i="43"/>
  <c r="D42" i="43"/>
  <c r="C2" i="43"/>
  <c r="C54" i="43"/>
  <c r="C38" i="43"/>
  <c r="C42" i="43"/>
  <c r="M2" i="42"/>
  <c r="M54" i="42"/>
  <c r="M38" i="42"/>
  <c r="M42" i="42"/>
  <c r="L54" i="42"/>
  <c r="L38" i="42"/>
  <c r="L42" i="42"/>
  <c r="K2" i="42"/>
  <c r="K38" i="42"/>
  <c r="K42" i="42"/>
  <c r="J2" i="42"/>
  <c r="J38" i="42"/>
  <c r="J42" i="42"/>
  <c r="I2" i="42"/>
  <c r="I38" i="42"/>
  <c r="I42" i="42"/>
  <c r="H2" i="42"/>
  <c r="H38" i="42"/>
  <c r="H42" i="42"/>
  <c r="G2" i="42"/>
  <c r="G54" i="42"/>
  <c r="G38" i="42"/>
  <c r="G42" i="42"/>
  <c r="F2" i="42"/>
  <c r="F54" i="42"/>
  <c r="F38" i="42"/>
  <c r="F42" i="42"/>
  <c r="E2" i="42"/>
  <c r="E54" i="42"/>
  <c r="E38" i="42"/>
  <c r="E42" i="42"/>
  <c r="D2" i="42"/>
  <c r="D54" i="42"/>
  <c r="D38" i="42"/>
  <c r="D42" i="42"/>
  <c r="C2" i="42"/>
  <c r="C54" i="42"/>
  <c r="C38" i="42"/>
  <c r="C42" i="42"/>
  <c r="M2" i="41"/>
  <c r="L2" i="41"/>
  <c r="K2" i="41"/>
  <c r="J2" i="41"/>
  <c r="I2" i="41"/>
  <c r="H2" i="41"/>
  <c r="G2" i="41"/>
  <c r="F2" i="41"/>
  <c r="E2" i="41"/>
  <c r="D2" i="41"/>
  <c r="C2" i="41"/>
  <c r="M2" i="40"/>
  <c r="L2" i="40"/>
  <c r="K2" i="40"/>
  <c r="J2" i="40"/>
  <c r="I2" i="40"/>
  <c r="H2" i="40"/>
  <c r="G2" i="40"/>
  <c r="F2" i="40"/>
  <c r="E2" i="40"/>
  <c r="D2" i="40"/>
  <c r="C2" i="40"/>
  <c r="M2" i="39"/>
  <c r="L2" i="39"/>
  <c r="K2" i="39"/>
  <c r="J2" i="39"/>
  <c r="I2" i="39"/>
  <c r="H2" i="39"/>
  <c r="G2" i="39"/>
  <c r="F2" i="39"/>
  <c r="E2" i="39"/>
  <c r="D2" i="39"/>
  <c r="C2" i="39"/>
  <c r="M2" i="38"/>
  <c r="L2" i="38"/>
  <c r="J2" i="38"/>
  <c r="I2" i="38"/>
  <c r="H2" i="38"/>
  <c r="G2" i="38"/>
  <c r="F2" i="38"/>
  <c r="E2" i="38"/>
  <c r="D2" i="38"/>
  <c r="C2" i="38"/>
  <c r="M2" i="37"/>
  <c r="L2" i="37"/>
  <c r="K2" i="37"/>
  <c r="J2" i="37"/>
  <c r="I2" i="37"/>
  <c r="H2" i="37"/>
  <c r="G2" i="37"/>
  <c r="E2" i="37"/>
  <c r="D2" i="37"/>
  <c r="C2" i="37"/>
  <c r="M2" i="36"/>
  <c r="L2" i="36"/>
  <c r="K2" i="36"/>
  <c r="J2" i="36"/>
  <c r="I2" i="36"/>
  <c r="H2" i="36"/>
  <c r="F2" i="36"/>
  <c r="E2" i="36"/>
  <c r="D2" i="36"/>
  <c r="C2" i="36"/>
  <c r="M2" i="35"/>
  <c r="L2" i="35"/>
  <c r="K2" i="35"/>
  <c r="J2" i="35"/>
  <c r="I2" i="35"/>
  <c r="H2" i="35"/>
  <c r="G2" i="35"/>
  <c r="E2" i="35"/>
  <c r="D2" i="35"/>
  <c r="C2" i="35"/>
  <c r="L2" i="34"/>
  <c r="K2" i="34"/>
  <c r="J2" i="34"/>
  <c r="I2" i="34"/>
  <c r="H2" i="34"/>
  <c r="G2" i="34"/>
  <c r="F2" i="34"/>
  <c r="E2" i="34"/>
  <c r="D2" i="34"/>
  <c r="C2" i="34"/>
  <c r="M2" i="33"/>
  <c r="L2" i="33"/>
  <c r="K2" i="33"/>
  <c r="J2" i="33"/>
  <c r="I2" i="33"/>
  <c r="H2" i="33"/>
  <c r="G2" i="33"/>
  <c r="F2" i="33"/>
  <c r="E2" i="33"/>
  <c r="D2" i="33"/>
  <c r="C2" i="33"/>
  <c r="M70" i="32"/>
  <c r="M61" i="32"/>
  <c r="M56" i="32"/>
  <c r="M51" i="32"/>
  <c r="M37" i="32"/>
  <c r="M29" i="32"/>
  <c r="M41" i="32"/>
  <c r="M46" i="32"/>
  <c r="M33" i="32"/>
  <c r="M13" i="32"/>
  <c r="L70" i="32"/>
  <c r="L61" i="32"/>
  <c r="L56" i="32"/>
  <c r="L51" i="32"/>
  <c r="L37" i="32"/>
  <c r="L29" i="32"/>
  <c r="L41" i="32"/>
  <c r="L46" i="32"/>
  <c r="L33" i="32"/>
  <c r="L13" i="32"/>
  <c r="L2" i="32"/>
  <c r="K70" i="32"/>
  <c r="K61" i="32"/>
  <c r="K56" i="32"/>
  <c r="K51" i="32"/>
  <c r="K37" i="32"/>
  <c r="K29" i="32"/>
  <c r="K41" i="32"/>
  <c r="K46" i="32"/>
  <c r="K33" i="32"/>
  <c r="K13" i="32"/>
  <c r="K2" i="32"/>
  <c r="J70" i="32"/>
  <c r="J61" i="32"/>
  <c r="J56" i="32"/>
  <c r="J51" i="32"/>
  <c r="J37" i="32"/>
  <c r="J29" i="32"/>
  <c r="J41" i="32"/>
  <c r="J46" i="32"/>
  <c r="J33" i="32"/>
  <c r="J13" i="32"/>
  <c r="J2" i="32"/>
  <c r="I70" i="32"/>
  <c r="I61" i="32"/>
  <c r="I56" i="32"/>
  <c r="I51" i="32"/>
  <c r="I37" i="32"/>
  <c r="I29" i="32"/>
  <c r="I41" i="32"/>
  <c r="I46" i="32"/>
  <c r="I33" i="32"/>
  <c r="I13" i="32"/>
  <c r="I2" i="32"/>
  <c r="H70" i="32"/>
  <c r="H61" i="32"/>
  <c r="H56" i="32"/>
  <c r="H51" i="32"/>
  <c r="H37" i="32"/>
  <c r="H29" i="32"/>
  <c r="H41" i="32"/>
  <c r="H46" i="32"/>
  <c r="H33" i="32"/>
  <c r="H13" i="32"/>
  <c r="H2" i="32"/>
  <c r="G70" i="32"/>
  <c r="G61" i="32"/>
  <c r="G56" i="32"/>
  <c r="G51" i="32"/>
  <c r="G37" i="32"/>
  <c r="G29" i="32"/>
  <c r="G41" i="32"/>
  <c r="G46" i="32"/>
  <c r="G33" i="32"/>
  <c r="G13" i="32"/>
  <c r="G2" i="32"/>
  <c r="F70" i="32"/>
  <c r="F61" i="32"/>
  <c r="F51" i="32"/>
  <c r="F37" i="32"/>
  <c r="F29" i="32"/>
  <c r="F41" i="32"/>
  <c r="F46" i="32"/>
  <c r="F33" i="32"/>
  <c r="F13" i="32"/>
  <c r="F2" i="32"/>
  <c r="E70" i="32"/>
  <c r="E61" i="32"/>
  <c r="E56" i="32"/>
  <c r="E51" i="32"/>
  <c r="E37" i="32"/>
  <c r="E29" i="32"/>
  <c r="E41" i="32"/>
  <c r="E46" i="32"/>
  <c r="E33" i="32"/>
  <c r="E13" i="32"/>
  <c r="E2" i="32"/>
  <c r="D70" i="32"/>
  <c r="D61" i="32"/>
  <c r="D56" i="32"/>
  <c r="D51" i="32"/>
  <c r="D37" i="32"/>
  <c r="D29" i="32"/>
  <c r="D41" i="32"/>
  <c r="D46" i="32"/>
  <c r="D33" i="32"/>
  <c r="D13" i="32"/>
  <c r="D2" i="32"/>
  <c r="C70" i="32"/>
  <c r="C61" i="32"/>
  <c r="C56" i="32"/>
  <c r="C51" i="32"/>
  <c r="C37" i="32"/>
  <c r="C29" i="32"/>
  <c r="C41" i="32"/>
  <c r="C46" i="32"/>
  <c r="C33" i="32"/>
  <c r="C13" i="32"/>
  <c r="C2" i="32"/>
  <c r="M70" i="31"/>
  <c r="M61" i="31"/>
  <c r="M56" i="31"/>
  <c r="M51" i="31"/>
  <c r="M37" i="31"/>
  <c r="M29" i="31"/>
  <c r="M41" i="31"/>
  <c r="M46" i="31"/>
  <c r="M33" i="31"/>
  <c r="M13" i="31"/>
  <c r="M2" i="31"/>
  <c r="L70" i="31"/>
  <c r="L61" i="31"/>
  <c r="L56" i="31"/>
  <c r="L51" i="31"/>
  <c r="L37" i="31"/>
  <c r="L29" i="31"/>
  <c r="L41" i="31"/>
  <c r="L46" i="31"/>
  <c r="L33" i="31"/>
  <c r="L13" i="31"/>
  <c r="L2" i="31"/>
  <c r="K70" i="31"/>
  <c r="K61" i="31"/>
  <c r="K56" i="31"/>
  <c r="K51" i="31"/>
  <c r="K37" i="31"/>
  <c r="K29" i="31"/>
  <c r="K41" i="31"/>
  <c r="K46" i="31"/>
  <c r="K33" i="31"/>
  <c r="K13" i="31"/>
  <c r="K2" i="31"/>
  <c r="J70" i="31"/>
  <c r="J61" i="31"/>
  <c r="J56" i="31"/>
  <c r="J51" i="31"/>
  <c r="J37" i="31"/>
  <c r="J29" i="31"/>
  <c r="J41" i="31"/>
  <c r="J46" i="31"/>
  <c r="J33" i="31"/>
  <c r="J13" i="31"/>
  <c r="J2" i="31"/>
  <c r="I70" i="31"/>
  <c r="I61" i="31"/>
  <c r="I51" i="31"/>
  <c r="I37" i="31"/>
  <c r="I29" i="31"/>
  <c r="I41" i="31"/>
  <c r="I33" i="31"/>
  <c r="I13" i="31"/>
  <c r="I2" i="31"/>
  <c r="H70" i="31"/>
  <c r="H61" i="31"/>
  <c r="H56" i="31"/>
  <c r="H37" i="31"/>
  <c r="H29" i="31"/>
  <c r="H41" i="31"/>
  <c r="H46" i="31"/>
  <c r="H13" i="31"/>
  <c r="H2" i="31"/>
  <c r="G70" i="31"/>
  <c r="G61" i="31"/>
  <c r="G56" i="31"/>
  <c r="G51" i="31"/>
  <c r="G37" i="31"/>
  <c r="G29" i="31"/>
  <c r="G46" i="31"/>
  <c r="G33" i="31"/>
  <c r="G13" i="31"/>
  <c r="G2" i="31"/>
  <c r="F70" i="31"/>
  <c r="F61" i="31"/>
  <c r="F56" i="31"/>
  <c r="F51" i="31"/>
  <c r="F37" i="31"/>
  <c r="F29" i="31"/>
  <c r="F41" i="31"/>
  <c r="F46" i="31"/>
  <c r="F33" i="31"/>
  <c r="F13" i="31"/>
  <c r="F2" i="31"/>
  <c r="E70" i="31"/>
  <c r="E61" i="31"/>
  <c r="E56" i="31"/>
  <c r="E51" i="31"/>
  <c r="E37" i="31"/>
  <c r="E29" i="31"/>
  <c r="E41" i="31"/>
  <c r="E46" i="31"/>
  <c r="E33" i="31"/>
  <c r="E13" i="31"/>
  <c r="E2" i="31"/>
  <c r="D70" i="31"/>
  <c r="D61" i="31"/>
  <c r="D56" i="31"/>
  <c r="D51" i="31"/>
  <c r="D37" i="31"/>
  <c r="D29" i="31"/>
  <c r="D41" i="31"/>
  <c r="D46" i="31"/>
  <c r="D33" i="31"/>
  <c r="D13" i="31"/>
  <c r="D2" i="31"/>
  <c r="C70" i="31"/>
  <c r="C61" i="31"/>
  <c r="C56" i="31"/>
  <c r="C51" i="31"/>
  <c r="C37" i="31"/>
  <c r="C29" i="31"/>
  <c r="C41" i="31"/>
  <c r="C46" i="31"/>
  <c r="C33" i="31"/>
  <c r="C13" i="31"/>
  <c r="C2" i="31"/>
  <c r="M75" i="30"/>
  <c r="M66" i="30"/>
  <c r="M61" i="30"/>
  <c r="M51" i="30"/>
  <c r="M37" i="30"/>
  <c r="M29" i="30"/>
  <c r="M41" i="30"/>
  <c r="M46" i="30"/>
  <c r="M33" i="30"/>
  <c r="M13" i="30"/>
  <c r="M2" i="30"/>
  <c r="L75" i="30"/>
  <c r="L66" i="30"/>
  <c r="L61" i="30"/>
  <c r="L51" i="30"/>
  <c r="L37" i="30"/>
  <c r="L29" i="30"/>
  <c r="L41" i="30"/>
  <c r="L46" i="30"/>
  <c r="L33" i="30"/>
  <c r="L13" i="30"/>
  <c r="L2" i="30"/>
  <c r="K75" i="30"/>
  <c r="K66" i="30"/>
  <c r="K61" i="30"/>
  <c r="K51" i="30"/>
  <c r="K37" i="30"/>
  <c r="K29" i="30"/>
  <c r="K41" i="30"/>
  <c r="K46" i="30"/>
  <c r="K33" i="30"/>
  <c r="K13" i="30"/>
  <c r="K2" i="30"/>
  <c r="J75" i="30"/>
  <c r="J66" i="30"/>
  <c r="J61" i="30"/>
  <c r="J51" i="30"/>
  <c r="J37" i="30"/>
  <c r="J29" i="30"/>
  <c r="J41" i="30"/>
  <c r="J46" i="30"/>
  <c r="J33" i="30"/>
  <c r="J13" i="30"/>
  <c r="J2" i="30"/>
  <c r="I75" i="30"/>
  <c r="I66" i="30"/>
  <c r="I61" i="30"/>
  <c r="I51" i="30"/>
  <c r="I37" i="30"/>
  <c r="I29" i="30"/>
  <c r="I41" i="30"/>
  <c r="I46" i="30"/>
  <c r="I33" i="30"/>
  <c r="I13" i="30"/>
  <c r="I2" i="30"/>
  <c r="H75" i="30"/>
  <c r="H66" i="30"/>
  <c r="H61" i="30"/>
  <c r="H51" i="30"/>
  <c r="H37" i="30"/>
  <c r="H29" i="30"/>
  <c r="H41" i="30"/>
  <c r="H46" i="30"/>
  <c r="H33" i="30"/>
  <c r="H13" i="30"/>
  <c r="H2" i="30"/>
  <c r="G75" i="30"/>
  <c r="G66" i="30"/>
  <c r="G61" i="30"/>
  <c r="G51" i="30"/>
  <c r="G37" i="30"/>
  <c r="G29" i="30"/>
  <c r="G41" i="30"/>
  <c r="G46" i="30"/>
  <c r="G33" i="30"/>
  <c r="G13" i="30"/>
  <c r="G2" i="30"/>
  <c r="F75" i="30"/>
  <c r="F66" i="30"/>
  <c r="F61" i="30"/>
  <c r="F51" i="30"/>
  <c r="F37" i="30"/>
  <c r="F29" i="30"/>
  <c r="F41" i="30"/>
  <c r="F46" i="30"/>
  <c r="F33" i="30"/>
  <c r="F13" i="30"/>
  <c r="F2" i="30"/>
  <c r="E75" i="30"/>
  <c r="E66" i="30"/>
  <c r="E61" i="30"/>
  <c r="E51" i="30"/>
  <c r="E37" i="30"/>
  <c r="E29" i="30"/>
  <c r="E41" i="30"/>
  <c r="E46" i="30"/>
  <c r="E33" i="30"/>
  <c r="E13" i="30"/>
  <c r="E2" i="30"/>
  <c r="D75" i="30"/>
  <c r="D66" i="30"/>
  <c r="D51" i="30"/>
  <c r="D37" i="30"/>
  <c r="D29" i="30"/>
  <c r="D41" i="30"/>
  <c r="D46" i="30"/>
  <c r="D33" i="30"/>
  <c r="D13" i="30"/>
  <c r="D2" i="30"/>
  <c r="C75" i="30"/>
  <c r="C66" i="30"/>
  <c r="C61" i="30"/>
  <c r="C51" i="30"/>
  <c r="C37" i="30"/>
  <c r="C29" i="30"/>
  <c r="C41" i="30"/>
  <c r="C46" i="30"/>
  <c r="C33" i="30"/>
  <c r="C13" i="30"/>
  <c r="C2" i="30"/>
  <c r="M71" i="29"/>
  <c r="M62" i="29"/>
  <c r="M57" i="29"/>
  <c r="M52" i="29"/>
  <c r="M38" i="29"/>
  <c r="M29" i="29"/>
  <c r="M42" i="29"/>
  <c r="M47" i="29"/>
  <c r="M34" i="29"/>
  <c r="M13" i="29"/>
  <c r="L71" i="29"/>
  <c r="L62" i="29"/>
  <c r="L57" i="29"/>
  <c r="L52" i="29"/>
  <c r="L38" i="29"/>
  <c r="L29" i="29"/>
  <c r="L42" i="29"/>
  <c r="L47" i="29"/>
  <c r="L34" i="29"/>
  <c r="L13" i="29"/>
  <c r="L2" i="29"/>
  <c r="K71" i="29"/>
  <c r="K62" i="29"/>
  <c r="K57" i="29"/>
  <c r="K52" i="29"/>
  <c r="K38" i="29"/>
  <c r="K29" i="29"/>
  <c r="K42" i="29"/>
  <c r="K47" i="29"/>
  <c r="K34" i="29"/>
  <c r="K13" i="29"/>
  <c r="K2" i="29"/>
  <c r="J71" i="29"/>
  <c r="J62" i="29"/>
  <c r="J57" i="29"/>
  <c r="J52" i="29"/>
  <c r="J38" i="29"/>
  <c r="J29" i="29"/>
  <c r="J42" i="29"/>
  <c r="J47" i="29"/>
  <c r="J34" i="29"/>
  <c r="J13" i="29"/>
  <c r="J2" i="29"/>
  <c r="I71" i="29"/>
  <c r="I62" i="29"/>
  <c r="I57" i="29"/>
  <c r="I52" i="29"/>
  <c r="I38" i="29"/>
  <c r="I29" i="29"/>
  <c r="I42" i="29"/>
  <c r="I47" i="29"/>
  <c r="I34" i="29"/>
  <c r="I13" i="29"/>
  <c r="I2" i="29"/>
  <c r="H71" i="29"/>
  <c r="H62" i="29"/>
  <c r="H57" i="29"/>
  <c r="H52" i="29"/>
  <c r="H38" i="29"/>
  <c r="H29" i="29"/>
  <c r="H42" i="29"/>
  <c r="H47" i="29"/>
  <c r="H34" i="29"/>
  <c r="H13" i="29"/>
  <c r="H2" i="29"/>
  <c r="G71" i="29"/>
  <c r="G62" i="29"/>
  <c r="G57" i="29"/>
  <c r="G52" i="29"/>
  <c r="G38" i="29"/>
  <c r="G29" i="29"/>
  <c r="G42" i="29"/>
  <c r="G47" i="29"/>
  <c r="G34" i="29"/>
  <c r="G13" i="29"/>
  <c r="G2" i="29"/>
  <c r="F71" i="29"/>
  <c r="F62" i="29"/>
  <c r="F57" i="29"/>
  <c r="F52" i="29"/>
  <c r="F38" i="29"/>
  <c r="F29" i="29"/>
  <c r="F42" i="29"/>
  <c r="F47" i="29"/>
  <c r="F34" i="29"/>
  <c r="F13" i="29"/>
  <c r="F2" i="29"/>
  <c r="E71" i="29"/>
  <c r="E62" i="29"/>
  <c r="E57" i="29"/>
  <c r="E52" i="29"/>
  <c r="E38" i="29"/>
  <c r="E29" i="29"/>
  <c r="E42" i="29"/>
  <c r="E47" i="29"/>
  <c r="E34" i="29"/>
  <c r="E13" i="29"/>
  <c r="E2" i="29"/>
  <c r="D71" i="29"/>
  <c r="D62" i="29"/>
  <c r="D57" i="29"/>
  <c r="D52" i="29"/>
  <c r="D38" i="29"/>
  <c r="D29" i="29"/>
  <c r="D42" i="29"/>
  <c r="D47" i="29"/>
  <c r="D34" i="29"/>
  <c r="D13" i="29"/>
  <c r="D2" i="29"/>
  <c r="C71" i="29"/>
  <c r="C62" i="29"/>
  <c r="C57" i="29"/>
  <c r="C52" i="29"/>
  <c r="C38" i="29"/>
  <c r="C29" i="29"/>
  <c r="C42" i="29"/>
  <c r="C47" i="29"/>
  <c r="C34" i="29"/>
  <c r="C13" i="29"/>
  <c r="C2" i="29"/>
  <c r="M71" i="28"/>
  <c r="M62" i="28"/>
  <c r="M57" i="28"/>
  <c r="M52" i="28"/>
  <c r="M38" i="28"/>
  <c r="M29" i="28"/>
  <c r="M42" i="28"/>
  <c r="M47" i="28"/>
  <c r="M34" i="28"/>
  <c r="M13" i="28"/>
  <c r="L71" i="28"/>
  <c r="L62" i="28"/>
  <c r="L57" i="28"/>
  <c r="L52" i="28"/>
  <c r="L38" i="28"/>
  <c r="L29" i="28"/>
  <c r="L42" i="28"/>
  <c r="L47" i="28"/>
  <c r="L34" i="28"/>
  <c r="L13" i="28"/>
  <c r="L2" i="28"/>
  <c r="K71" i="28"/>
  <c r="K62" i="28"/>
  <c r="K57" i="28"/>
  <c r="K52" i="28"/>
  <c r="K38" i="28"/>
  <c r="K29" i="28"/>
  <c r="K42" i="28"/>
  <c r="K47" i="28"/>
  <c r="K34" i="28"/>
  <c r="K13" i="28"/>
  <c r="K2" i="28"/>
  <c r="J71" i="28"/>
  <c r="J62" i="28"/>
  <c r="J57" i="28"/>
  <c r="J52" i="28"/>
  <c r="J38" i="28"/>
  <c r="J29" i="28"/>
  <c r="J42" i="28"/>
  <c r="J47" i="28"/>
  <c r="J34" i="28"/>
  <c r="J13" i="28"/>
  <c r="J2" i="28"/>
  <c r="I71" i="28"/>
  <c r="I62" i="28"/>
  <c r="I57" i="28"/>
  <c r="I52" i="28"/>
  <c r="I38" i="28"/>
  <c r="I29" i="28"/>
  <c r="I42" i="28"/>
  <c r="I47" i="28"/>
  <c r="I34" i="28"/>
  <c r="I13" i="28"/>
  <c r="I2" i="28"/>
  <c r="H71" i="28"/>
  <c r="H62" i="28"/>
  <c r="H57" i="28"/>
  <c r="H52" i="28"/>
  <c r="H38" i="28"/>
  <c r="H29" i="28"/>
  <c r="H42" i="28"/>
  <c r="H47" i="28"/>
  <c r="H34" i="28"/>
  <c r="H13" i="28"/>
  <c r="H2" i="28"/>
  <c r="G71" i="28"/>
  <c r="G62" i="28"/>
  <c r="G57" i="28"/>
  <c r="G52" i="28"/>
  <c r="G38" i="28"/>
  <c r="G29" i="28"/>
  <c r="G42" i="28"/>
  <c r="G47" i="28"/>
  <c r="G34" i="28"/>
  <c r="G13" i="28"/>
  <c r="G2" i="28"/>
  <c r="F71" i="28"/>
  <c r="F62" i="28"/>
  <c r="F57" i="28"/>
  <c r="F52" i="28"/>
  <c r="F38" i="28"/>
  <c r="F29" i="28"/>
  <c r="F42" i="28"/>
  <c r="F47" i="28"/>
  <c r="F34" i="28"/>
  <c r="F13" i="28"/>
  <c r="F2" i="28"/>
  <c r="E71" i="28"/>
  <c r="E62" i="28"/>
  <c r="E57" i="28"/>
  <c r="E52" i="28"/>
  <c r="E38" i="28"/>
  <c r="E29" i="28"/>
  <c r="E42" i="28"/>
  <c r="E47" i="28"/>
  <c r="E34" i="28"/>
  <c r="E13" i="28"/>
  <c r="E2" i="28"/>
  <c r="D71" i="28"/>
  <c r="D62" i="28"/>
  <c r="D57" i="28"/>
  <c r="D52" i="28"/>
  <c r="D38" i="28"/>
  <c r="D29" i="28"/>
  <c r="D42" i="28"/>
  <c r="D47" i="28"/>
  <c r="D34" i="28"/>
  <c r="D13" i="28"/>
  <c r="D2" i="28"/>
  <c r="C71" i="28"/>
  <c r="C62" i="28"/>
  <c r="C57" i="28"/>
  <c r="C52" i="28"/>
  <c r="C38" i="28"/>
  <c r="C29" i="28"/>
  <c r="C42" i="28"/>
  <c r="C47" i="28"/>
  <c r="C34" i="28"/>
  <c r="C13" i="28"/>
  <c r="C2" i="28"/>
  <c r="M76" i="27"/>
  <c r="M67" i="27"/>
  <c r="M62" i="27"/>
  <c r="M52" i="27"/>
  <c r="M38" i="27"/>
  <c r="M29" i="27"/>
  <c r="M42" i="27"/>
  <c r="M47" i="27"/>
  <c r="M34" i="27"/>
  <c r="M13" i="27"/>
  <c r="L76" i="27"/>
  <c r="L67" i="27"/>
  <c r="L62" i="27"/>
  <c r="L52" i="27"/>
  <c r="L38" i="27"/>
  <c r="L29" i="27"/>
  <c r="L42" i="27"/>
  <c r="L47" i="27"/>
  <c r="L34" i="27"/>
  <c r="L13" i="27"/>
  <c r="L2" i="27"/>
  <c r="K76" i="27"/>
  <c r="K67" i="27"/>
  <c r="K62" i="27"/>
  <c r="K52" i="27"/>
  <c r="K38" i="27"/>
  <c r="K29" i="27"/>
  <c r="K42" i="27"/>
  <c r="K47" i="27"/>
  <c r="K34" i="27"/>
  <c r="K13" i="27"/>
  <c r="K2" i="27"/>
  <c r="J76" i="27"/>
  <c r="J67" i="27"/>
  <c r="J62" i="27"/>
  <c r="J52" i="27"/>
  <c r="J38" i="27"/>
  <c r="J29" i="27"/>
  <c r="J42" i="27"/>
  <c r="J47" i="27"/>
  <c r="J34" i="27"/>
  <c r="J13" i="27"/>
  <c r="J2" i="27"/>
  <c r="I76" i="27"/>
  <c r="I67" i="27"/>
  <c r="I62" i="27"/>
  <c r="I52" i="27"/>
  <c r="I38" i="27"/>
  <c r="I29" i="27"/>
  <c r="I42" i="27"/>
  <c r="I47" i="27"/>
  <c r="I34" i="27"/>
  <c r="I13" i="27"/>
  <c r="I2" i="27"/>
  <c r="H76" i="27"/>
  <c r="H67" i="27"/>
  <c r="H62" i="27"/>
  <c r="H52" i="27"/>
  <c r="H38" i="27"/>
  <c r="H29" i="27"/>
  <c r="H42" i="27"/>
  <c r="H47" i="27"/>
  <c r="H34" i="27"/>
  <c r="H13" i="27"/>
  <c r="H2" i="27"/>
  <c r="G76" i="27"/>
  <c r="G67" i="27"/>
  <c r="G62" i="27"/>
  <c r="G52" i="27"/>
  <c r="G38" i="27"/>
  <c r="G29" i="27"/>
  <c r="G42" i="27"/>
  <c r="G47" i="27"/>
  <c r="G34" i="27"/>
  <c r="G13" i="27"/>
  <c r="G2" i="27"/>
  <c r="F76" i="27"/>
  <c r="F67" i="27"/>
  <c r="F62" i="27"/>
  <c r="F52" i="27"/>
  <c r="F38" i="27"/>
  <c r="F29" i="27"/>
  <c r="F42" i="27"/>
  <c r="F47" i="27"/>
  <c r="F34" i="27"/>
  <c r="F13" i="27"/>
  <c r="F2" i="27"/>
  <c r="E76" i="27"/>
  <c r="E67" i="27"/>
  <c r="E62" i="27"/>
  <c r="E52" i="27"/>
  <c r="E38" i="27"/>
  <c r="E29" i="27"/>
  <c r="E42" i="27"/>
  <c r="E47" i="27"/>
  <c r="E34" i="27"/>
  <c r="E13" i="27"/>
  <c r="E2" i="27"/>
  <c r="D76" i="27"/>
  <c r="D67" i="27"/>
  <c r="D62" i="27"/>
  <c r="D52" i="27"/>
  <c r="D38" i="27"/>
  <c r="D29" i="27"/>
  <c r="D42" i="27"/>
  <c r="D47" i="27"/>
  <c r="D34" i="27"/>
  <c r="D13" i="27"/>
  <c r="D2" i="27"/>
  <c r="C76" i="27"/>
  <c r="C67" i="27"/>
  <c r="C52" i="27"/>
  <c r="C38" i="27"/>
  <c r="C29" i="27"/>
  <c r="C42" i="27"/>
  <c r="C47" i="27"/>
  <c r="C34" i="27"/>
  <c r="C13" i="27"/>
  <c r="C2" i="27"/>
  <c r="M71" i="26"/>
  <c r="M62" i="26"/>
  <c r="M58" i="26"/>
  <c r="M53" i="26"/>
  <c r="M39" i="26"/>
  <c r="M31" i="26"/>
  <c r="M43" i="26"/>
  <c r="M48" i="26"/>
  <c r="M35" i="26"/>
  <c r="M17" i="26"/>
  <c r="M12" i="26"/>
  <c r="L71" i="26"/>
  <c r="L62" i="26"/>
  <c r="L58" i="26"/>
  <c r="L53" i="26"/>
  <c r="L39" i="26"/>
  <c r="L31" i="26"/>
  <c r="L43" i="26"/>
  <c r="L48" i="26"/>
  <c r="L35" i="26"/>
  <c r="L17" i="26"/>
  <c r="L12" i="26"/>
  <c r="K71" i="26"/>
  <c r="K62" i="26"/>
  <c r="K58" i="26"/>
  <c r="K53" i="26"/>
  <c r="K39" i="26"/>
  <c r="K31" i="26"/>
  <c r="K43" i="26"/>
  <c r="K48" i="26"/>
  <c r="K35" i="26"/>
  <c r="K17" i="26"/>
  <c r="K12" i="26"/>
  <c r="J71" i="26"/>
  <c r="J62" i="26"/>
  <c r="J58" i="26"/>
  <c r="J53" i="26"/>
  <c r="J39" i="26"/>
  <c r="J31" i="26"/>
  <c r="J43" i="26"/>
  <c r="J48" i="26"/>
  <c r="J35" i="26"/>
  <c r="J17" i="26"/>
  <c r="J12" i="26"/>
  <c r="I71" i="26"/>
  <c r="I62" i="26"/>
  <c r="I58" i="26"/>
  <c r="I53" i="26"/>
  <c r="I39" i="26"/>
  <c r="I31" i="26"/>
  <c r="I43" i="26"/>
  <c r="I48" i="26"/>
  <c r="I35" i="26"/>
  <c r="I17" i="26"/>
  <c r="I12" i="26"/>
  <c r="H71" i="26"/>
  <c r="H62" i="26"/>
  <c r="H58" i="26"/>
  <c r="H53" i="26"/>
  <c r="H39" i="26"/>
  <c r="H31" i="26"/>
  <c r="H43" i="26"/>
  <c r="H48" i="26"/>
  <c r="H35" i="26"/>
  <c r="H17" i="26"/>
  <c r="H12" i="26"/>
  <c r="G71" i="26"/>
  <c r="G62" i="26"/>
  <c r="G58" i="26"/>
  <c r="G53" i="26"/>
  <c r="G39" i="26"/>
  <c r="G31" i="26"/>
  <c r="G43" i="26"/>
  <c r="G48" i="26"/>
  <c r="G35" i="26"/>
  <c r="G17" i="26"/>
  <c r="G12" i="26"/>
  <c r="F71" i="26"/>
  <c r="F62" i="26"/>
  <c r="F58" i="26"/>
  <c r="F53" i="26"/>
  <c r="F39" i="26"/>
  <c r="F31" i="26"/>
  <c r="F43" i="26"/>
  <c r="F48" i="26"/>
  <c r="F35" i="26"/>
  <c r="F17" i="26"/>
  <c r="F12" i="26"/>
  <c r="E71" i="26"/>
  <c r="E62" i="26"/>
  <c r="E58" i="26"/>
  <c r="E53" i="26"/>
  <c r="E39" i="26"/>
  <c r="E31" i="26"/>
  <c r="E43" i="26"/>
  <c r="E48" i="26"/>
  <c r="E35" i="26"/>
  <c r="E17" i="26"/>
  <c r="E12" i="26"/>
  <c r="D71" i="26"/>
  <c r="D62" i="26"/>
  <c r="D58" i="26"/>
  <c r="D53" i="26"/>
  <c r="D39" i="26"/>
  <c r="D31" i="26"/>
  <c r="D43" i="26"/>
  <c r="D48" i="26"/>
  <c r="D35" i="26"/>
  <c r="D17" i="26"/>
  <c r="D12" i="26"/>
  <c r="C71" i="26"/>
  <c r="C62" i="26"/>
  <c r="C58" i="26"/>
  <c r="C53" i="26"/>
  <c r="C39" i="26"/>
  <c r="C31" i="26"/>
  <c r="C43" i="26"/>
  <c r="C48" i="26"/>
  <c r="C35" i="26"/>
  <c r="C17" i="26"/>
  <c r="C12" i="26"/>
  <c r="M71" i="25"/>
  <c r="M62" i="25"/>
  <c r="M58" i="25"/>
  <c r="M53" i="25"/>
  <c r="M39" i="25"/>
  <c r="M31" i="25"/>
  <c r="M43" i="25"/>
  <c r="M48" i="25"/>
  <c r="M35" i="25"/>
  <c r="M17" i="25"/>
  <c r="M12" i="25"/>
  <c r="L71" i="25"/>
  <c r="L62" i="25"/>
  <c r="L58" i="25"/>
  <c r="L53" i="25"/>
  <c r="L39" i="25"/>
  <c r="L31" i="25"/>
  <c r="L43" i="25"/>
  <c r="L48" i="25"/>
  <c r="L35" i="25"/>
  <c r="L17" i="25"/>
  <c r="L12" i="25"/>
  <c r="K71" i="25"/>
  <c r="K62" i="25"/>
  <c r="K58" i="25"/>
  <c r="K53" i="25"/>
  <c r="K39" i="25"/>
  <c r="K31" i="25"/>
  <c r="K43" i="25"/>
  <c r="K48" i="25"/>
  <c r="K35" i="25"/>
  <c r="K17" i="25"/>
  <c r="K12" i="25"/>
  <c r="J71" i="25"/>
  <c r="J62" i="25"/>
  <c r="J58" i="25"/>
  <c r="J53" i="25"/>
  <c r="J39" i="25"/>
  <c r="J31" i="25"/>
  <c r="J43" i="25"/>
  <c r="J48" i="25"/>
  <c r="J35" i="25"/>
  <c r="J17" i="25"/>
  <c r="J12" i="25"/>
  <c r="I71" i="25"/>
  <c r="I62" i="25"/>
  <c r="I58" i="25"/>
  <c r="I53" i="25"/>
  <c r="I39" i="25"/>
  <c r="I31" i="25"/>
  <c r="I43" i="25"/>
  <c r="I48" i="25"/>
  <c r="I35" i="25"/>
  <c r="I17" i="25"/>
  <c r="I12" i="25"/>
  <c r="H71" i="25"/>
  <c r="H62" i="25"/>
  <c r="H58" i="25"/>
  <c r="H53" i="25"/>
  <c r="H39" i="25"/>
  <c r="H31" i="25"/>
  <c r="H43" i="25"/>
  <c r="H48" i="25"/>
  <c r="H35" i="25"/>
  <c r="H17" i="25"/>
  <c r="H12" i="25"/>
  <c r="G71" i="25"/>
  <c r="G62" i="25"/>
  <c r="G58" i="25"/>
  <c r="G53" i="25"/>
  <c r="G39" i="25"/>
  <c r="G31" i="25"/>
  <c r="G43" i="25"/>
  <c r="G48" i="25"/>
  <c r="G35" i="25"/>
  <c r="G17" i="25"/>
  <c r="G12" i="25"/>
  <c r="F71" i="25"/>
  <c r="F62" i="25"/>
  <c r="F58" i="25"/>
  <c r="F53" i="25"/>
  <c r="F39" i="25"/>
  <c r="F31" i="25"/>
  <c r="F43" i="25"/>
  <c r="F48" i="25"/>
  <c r="F35" i="25"/>
  <c r="F17" i="25"/>
  <c r="F12" i="25"/>
  <c r="E71" i="25"/>
  <c r="E62" i="25"/>
  <c r="E58" i="25"/>
  <c r="E53" i="25"/>
  <c r="E39" i="25"/>
  <c r="E31" i="25"/>
  <c r="E43" i="25"/>
  <c r="E48" i="25"/>
  <c r="E35" i="25"/>
  <c r="E17" i="25"/>
  <c r="E12" i="25"/>
  <c r="D71" i="25"/>
  <c r="D62" i="25"/>
  <c r="D58" i="25"/>
  <c r="D53" i="25"/>
  <c r="D39" i="25"/>
  <c r="D31" i="25"/>
  <c r="D43" i="25"/>
  <c r="D48" i="25"/>
  <c r="D35" i="25"/>
  <c r="D17" i="25"/>
  <c r="D12" i="25"/>
  <c r="C71" i="25"/>
  <c r="C62" i="25"/>
  <c r="C58" i="25"/>
  <c r="C53" i="25"/>
  <c r="C39" i="25"/>
  <c r="C31" i="25"/>
  <c r="C43" i="25"/>
  <c r="C48" i="25"/>
  <c r="C35" i="25"/>
  <c r="C17" i="25"/>
  <c r="C12" i="25"/>
  <c r="M79" i="24"/>
  <c r="M70" i="24"/>
  <c r="M66" i="24"/>
  <c r="M53" i="24"/>
  <c r="M39" i="24"/>
  <c r="M31" i="24"/>
  <c r="M43" i="24"/>
  <c r="M48" i="24"/>
  <c r="M35" i="24"/>
  <c r="M17" i="24"/>
  <c r="M12" i="24"/>
  <c r="L79" i="24"/>
  <c r="L70" i="24"/>
  <c r="L66" i="24"/>
  <c r="L53" i="24"/>
  <c r="L39" i="24"/>
  <c r="L31" i="24"/>
  <c r="L43" i="24"/>
  <c r="L48" i="24"/>
  <c r="L35" i="24"/>
  <c r="L17" i="24"/>
  <c r="L12" i="24"/>
  <c r="K79" i="24"/>
  <c r="K70" i="24"/>
  <c r="K66" i="24"/>
  <c r="K53" i="24"/>
  <c r="K39" i="24"/>
  <c r="K31" i="24"/>
  <c r="K43" i="24"/>
  <c r="K48" i="24"/>
  <c r="K35" i="24"/>
  <c r="K17" i="24"/>
  <c r="K12" i="24"/>
  <c r="J79" i="24"/>
  <c r="J70" i="24"/>
  <c r="J66" i="24"/>
  <c r="J53" i="24"/>
  <c r="J39" i="24"/>
  <c r="J31" i="24"/>
  <c r="J43" i="24"/>
  <c r="J48" i="24"/>
  <c r="J35" i="24"/>
  <c r="J17" i="24"/>
  <c r="J12" i="24"/>
  <c r="I79" i="24"/>
  <c r="I70" i="24"/>
  <c r="I66" i="24"/>
  <c r="I53" i="24"/>
  <c r="I39" i="24"/>
  <c r="I31" i="24"/>
  <c r="I43" i="24"/>
  <c r="I48" i="24"/>
  <c r="I35" i="24"/>
  <c r="I17" i="24"/>
  <c r="I12" i="24"/>
  <c r="H79" i="24"/>
  <c r="H70" i="24"/>
  <c r="H66" i="24"/>
  <c r="H53" i="24"/>
  <c r="H39" i="24"/>
  <c r="H31" i="24"/>
  <c r="H43" i="24"/>
  <c r="H48" i="24"/>
  <c r="H35" i="24"/>
  <c r="H17" i="24"/>
  <c r="H12" i="24"/>
  <c r="G79" i="24"/>
  <c r="G70" i="24"/>
  <c r="G66" i="24"/>
  <c r="G53" i="24"/>
  <c r="G39" i="24"/>
  <c r="G31" i="24"/>
  <c r="G43" i="24"/>
  <c r="G48" i="24"/>
  <c r="G35" i="24"/>
  <c r="G17" i="24"/>
  <c r="G12" i="24"/>
  <c r="F79" i="24"/>
  <c r="F70" i="24"/>
  <c r="F66" i="24"/>
  <c r="F53" i="24"/>
  <c r="F39" i="24"/>
  <c r="F31" i="24"/>
  <c r="F43" i="24"/>
  <c r="F48" i="24"/>
  <c r="F35" i="24"/>
  <c r="F17" i="24"/>
  <c r="F12" i="24"/>
  <c r="E79" i="24"/>
  <c r="E70" i="24"/>
  <c r="E66" i="24"/>
  <c r="E53" i="24"/>
  <c r="E39" i="24"/>
  <c r="E31" i="24"/>
  <c r="E43" i="24"/>
  <c r="E48" i="24"/>
  <c r="E35" i="24"/>
  <c r="E17" i="24"/>
  <c r="E12" i="24"/>
  <c r="D79" i="24"/>
  <c r="D70" i="24"/>
  <c r="D66" i="24"/>
  <c r="D53" i="24"/>
  <c r="D39" i="24"/>
  <c r="D31" i="24"/>
  <c r="D43" i="24"/>
  <c r="D48" i="24"/>
  <c r="D35" i="24"/>
  <c r="D17" i="24"/>
  <c r="D12" i="24"/>
  <c r="C79" i="24"/>
  <c r="C70" i="24"/>
  <c r="C53" i="24"/>
  <c r="C39" i="24"/>
  <c r="C31" i="24"/>
  <c r="C43" i="24"/>
  <c r="C48" i="24"/>
  <c r="C35" i="24"/>
  <c r="C17" i="24"/>
  <c r="C12" i="24"/>
  <c r="M71" i="23"/>
  <c r="M62" i="23"/>
  <c r="M58" i="23"/>
  <c r="M53" i="23"/>
  <c r="M39" i="23"/>
  <c r="M31" i="23"/>
  <c r="M43" i="23"/>
  <c r="M48" i="23"/>
  <c r="M35" i="23"/>
  <c r="M17" i="23"/>
  <c r="M12" i="23"/>
  <c r="L71" i="23"/>
  <c r="L62" i="23"/>
  <c r="L58" i="23"/>
  <c r="L53" i="23"/>
  <c r="L39" i="23"/>
  <c r="L31" i="23"/>
  <c r="L43" i="23"/>
  <c r="L48" i="23"/>
  <c r="L35" i="23"/>
  <c r="L17" i="23"/>
  <c r="L12" i="23"/>
  <c r="K71" i="23"/>
  <c r="K62" i="23"/>
  <c r="K58" i="23"/>
  <c r="K53" i="23"/>
  <c r="K39" i="23"/>
  <c r="K31" i="23"/>
  <c r="K43" i="23"/>
  <c r="K48" i="23"/>
  <c r="K35" i="23"/>
  <c r="K17" i="23"/>
  <c r="K12" i="23"/>
  <c r="J71" i="23"/>
  <c r="J62" i="23"/>
  <c r="J58" i="23"/>
  <c r="J53" i="23"/>
  <c r="J39" i="23"/>
  <c r="J31" i="23"/>
  <c r="J43" i="23"/>
  <c r="J48" i="23"/>
  <c r="J35" i="23"/>
  <c r="J17" i="23"/>
  <c r="J12" i="23"/>
  <c r="I71" i="23"/>
  <c r="I62" i="23"/>
  <c r="I58" i="23"/>
  <c r="I53" i="23"/>
  <c r="I39" i="23"/>
  <c r="I31" i="23"/>
  <c r="I43" i="23"/>
  <c r="I48" i="23"/>
  <c r="I35" i="23"/>
  <c r="I17" i="23"/>
  <c r="I12" i="23"/>
  <c r="H71" i="23"/>
  <c r="H62" i="23"/>
  <c r="H58" i="23"/>
  <c r="H53" i="23"/>
  <c r="H39" i="23"/>
  <c r="H31" i="23"/>
  <c r="H43" i="23"/>
  <c r="H48" i="23"/>
  <c r="H35" i="23"/>
  <c r="H17" i="23"/>
  <c r="H12" i="23"/>
  <c r="G71" i="23"/>
  <c r="G62" i="23"/>
  <c r="G58" i="23"/>
  <c r="G53" i="23"/>
  <c r="G39" i="23"/>
  <c r="G31" i="23"/>
  <c r="G43" i="23"/>
  <c r="G48" i="23"/>
  <c r="G35" i="23"/>
  <c r="G17" i="23"/>
  <c r="G12" i="23"/>
  <c r="F71" i="23"/>
  <c r="F62" i="23"/>
  <c r="F58" i="23"/>
  <c r="F53" i="23"/>
  <c r="F39" i="23"/>
  <c r="F31" i="23"/>
  <c r="F43" i="23"/>
  <c r="F48" i="23"/>
  <c r="F35" i="23"/>
  <c r="F17" i="23"/>
  <c r="F12" i="23"/>
  <c r="E71" i="23"/>
  <c r="E62" i="23"/>
  <c r="E58" i="23"/>
  <c r="E53" i="23"/>
  <c r="E39" i="23"/>
  <c r="E31" i="23"/>
  <c r="E43" i="23"/>
  <c r="E48" i="23"/>
  <c r="E35" i="23"/>
  <c r="E17" i="23"/>
  <c r="E12" i="23"/>
  <c r="D71" i="23"/>
  <c r="D62" i="23"/>
  <c r="D58" i="23"/>
  <c r="D53" i="23"/>
  <c r="D39" i="23"/>
  <c r="D31" i="23"/>
  <c r="D43" i="23"/>
  <c r="D48" i="23"/>
  <c r="D35" i="23"/>
  <c r="D17" i="23"/>
  <c r="D12" i="23"/>
  <c r="C71" i="23"/>
  <c r="C62" i="23"/>
  <c r="C58" i="23"/>
  <c r="C53" i="23"/>
  <c r="C39" i="23"/>
  <c r="C31" i="23"/>
  <c r="C43" i="23"/>
  <c r="C48" i="23"/>
  <c r="C35" i="23"/>
  <c r="C17" i="23"/>
  <c r="C12" i="23"/>
  <c r="M71" i="22"/>
  <c r="M62" i="22"/>
  <c r="M58" i="22"/>
  <c r="M53" i="22"/>
  <c r="M39" i="22"/>
  <c r="M31" i="22"/>
  <c r="M43" i="22"/>
  <c r="M48" i="22"/>
  <c r="M35" i="22"/>
  <c r="M17" i="22"/>
  <c r="M12" i="22"/>
  <c r="L71" i="22"/>
  <c r="L62" i="22"/>
  <c r="L58" i="22"/>
  <c r="L53" i="22"/>
  <c r="L39" i="22"/>
  <c r="L31" i="22"/>
  <c r="L43" i="22"/>
  <c r="L48" i="22"/>
  <c r="L35" i="22"/>
  <c r="L17" i="22"/>
  <c r="L12" i="22"/>
  <c r="K71" i="22"/>
  <c r="K62" i="22"/>
  <c r="K58" i="22"/>
  <c r="K53" i="22"/>
  <c r="K39" i="22"/>
  <c r="K31" i="22"/>
  <c r="K43" i="22"/>
  <c r="K48" i="22"/>
  <c r="K35" i="22"/>
  <c r="K17" i="22"/>
  <c r="K12" i="22"/>
  <c r="J71" i="22"/>
  <c r="J62" i="22"/>
  <c r="J58" i="22"/>
  <c r="J53" i="22"/>
  <c r="J39" i="22"/>
  <c r="J31" i="22"/>
  <c r="J43" i="22"/>
  <c r="J48" i="22"/>
  <c r="J35" i="22"/>
  <c r="J17" i="22"/>
  <c r="J12" i="22"/>
  <c r="I71" i="22"/>
  <c r="I62" i="22"/>
  <c r="I58" i="22"/>
  <c r="I53" i="22"/>
  <c r="I39" i="22"/>
  <c r="I31" i="22"/>
  <c r="I43" i="22"/>
  <c r="I48" i="22"/>
  <c r="I35" i="22"/>
  <c r="I17" i="22"/>
  <c r="I12" i="22"/>
  <c r="H71" i="22"/>
  <c r="H62" i="22"/>
  <c r="H58" i="22"/>
  <c r="H53" i="22"/>
  <c r="H39" i="22"/>
  <c r="H31" i="22"/>
  <c r="H43" i="22"/>
  <c r="H48" i="22"/>
  <c r="H35" i="22"/>
  <c r="H17" i="22"/>
  <c r="H12" i="22"/>
  <c r="G71" i="22"/>
  <c r="G62" i="22"/>
  <c r="G58" i="22"/>
  <c r="G53" i="22"/>
  <c r="G39" i="22"/>
  <c r="G31" i="22"/>
  <c r="G43" i="22"/>
  <c r="G48" i="22"/>
  <c r="G35" i="22"/>
  <c r="G17" i="22"/>
  <c r="G12" i="22"/>
  <c r="F71" i="22"/>
  <c r="F62" i="22"/>
  <c r="F58" i="22"/>
  <c r="F53" i="22"/>
  <c r="F39" i="22"/>
  <c r="F31" i="22"/>
  <c r="F43" i="22"/>
  <c r="F48" i="22"/>
  <c r="F35" i="22"/>
  <c r="F17" i="22"/>
  <c r="F12" i="22"/>
  <c r="E71" i="22"/>
  <c r="E62" i="22"/>
  <c r="E58" i="22"/>
  <c r="E53" i="22"/>
  <c r="E39" i="22"/>
  <c r="E31" i="22"/>
  <c r="E43" i="22"/>
  <c r="E48" i="22"/>
  <c r="E35" i="22"/>
  <c r="E17" i="22"/>
  <c r="E12" i="22"/>
  <c r="D71" i="22"/>
  <c r="D62" i="22"/>
  <c r="D58" i="22"/>
  <c r="D53" i="22"/>
  <c r="D39" i="22"/>
  <c r="D31" i="22"/>
  <c r="D43" i="22"/>
  <c r="D48" i="22"/>
  <c r="D35" i="22"/>
  <c r="D17" i="22"/>
  <c r="D12" i="22"/>
  <c r="C71" i="22"/>
  <c r="C62" i="22"/>
  <c r="C58" i="22"/>
  <c r="C53" i="22"/>
  <c r="C39" i="22"/>
  <c r="C31" i="22"/>
  <c r="C43" i="22"/>
  <c r="C48" i="22"/>
  <c r="C35" i="22"/>
  <c r="C17" i="22"/>
  <c r="C12" i="22"/>
  <c r="M79" i="21"/>
  <c r="M70" i="21"/>
  <c r="M66" i="21"/>
  <c r="M53" i="21"/>
  <c r="M39" i="21"/>
  <c r="M31" i="21"/>
  <c r="M43" i="21"/>
  <c r="M48" i="21"/>
  <c r="M35" i="21"/>
  <c r="M17" i="21"/>
  <c r="M12" i="21"/>
  <c r="L79" i="21"/>
  <c r="L70" i="21"/>
  <c r="L66" i="21"/>
  <c r="L53" i="21"/>
  <c r="L39" i="21"/>
  <c r="L31" i="21"/>
  <c r="L43" i="21"/>
  <c r="L48" i="21"/>
  <c r="L35" i="21"/>
  <c r="L17" i="21"/>
  <c r="L12" i="21"/>
  <c r="K79" i="21"/>
  <c r="K70" i="21"/>
  <c r="K66" i="21"/>
  <c r="K53" i="21"/>
  <c r="K39" i="21"/>
  <c r="K31" i="21"/>
  <c r="K43" i="21"/>
  <c r="K48" i="21"/>
  <c r="K35" i="21"/>
  <c r="K17" i="21"/>
  <c r="K12" i="21"/>
  <c r="J79" i="21"/>
  <c r="J70" i="21"/>
  <c r="J66" i="21"/>
  <c r="J53" i="21"/>
  <c r="J39" i="21"/>
  <c r="J31" i="21"/>
  <c r="J43" i="21"/>
  <c r="J48" i="21"/>
  <c r="J35" i="21"/>
  <c r="J17" i="21"/>
  <c r="J12" i="21"/>
  <c r="I79" i="21"/>
  <c r="I70" i="21"/>
  <c r="I66" i="21"/>
  <c r="I53" i="21"/>
  <c r="I39" i="21"/>
  <c r="I31" i="21"/>
  <c r="I43" i="21"/>
  <c r="I48" i="21"/>
  <c r="I35" i="21"/>
  <c r="I17" i="21"/>
  <c r="I12" i="21"/>
  <c r="H79" i="21"/>
  <c r="H70" i="21"/>
  <c r="H66" i="21"/>
  <c r="H53" i="21"/>
  <c r="H39" i="21"/>
  <c r="H31" i="21"/>
  <c r="H43" i="21"/>
  <c r="H48" i="21"/>
  <c r="H35" i="21"/>
  <c r="H17" i="21"/>
  <c r="H12" i="21"/>
  <c r="G79" i="21"/>
  <c r="G70" i="21"/>
  <c r="G66" i="21"/>
  <c r="G53" i="21"/>
  <c r="G39" i="21"/>
  <c r="G31" i="21"/>
  <c r="G43" i="21"/>
  <c r="G48" i="21"/>
  <c r="G35" i="21"/>
  <c r="G17" i="21"/>
  <c r="G12" i="21"/>
  <c r="F79" i="21"/>
  <c r="F70" i="21"/>
  <c r="F66" i="21"/>
  <c r="F53" i="21"/>
  <c r="F39" i="21"/>
  <c r="F31" i="21"/>
  <c r="F43" i="21"/>
  <c r="F48" i="21"/>
  <c r="F35" i="21"/>
  <c r="F17" i="21"/>
  <c r="F12" i="21"/>
  <c r="E79" i="21"/>
  <c r="E70" i="21"/>
  <c r="E66" i="21"/>
  <c r="E53" i="21"/>
  <c r="E39" i="21"/>
  <c r="E31" i="21"/>
  <c r="E43" i="21"/>
  <c r="E48" i="21"/>
  <c r="E35" i="21"/>
  <c r="E17" i="21"/>
  <c r="E12" i="21"/>
  <c r="D79" i="21"/>
  <c r="D70" i="21"/>
  <c r="D66" i="21"/>
  <c r="D53" i="21"/>
  <c r="D39" i="21"/>
  <c r="D31" i="21"/>
  <c r="D43" i="21"/>
  <c r="D48" i="21"/>
  <c r="D35" i="21"/>
  <c r="D17" i="21"/>
  <c r="D12" i="21"/>
  <c r="C79" i="21"/>
  <c r="C70" i="21"/>
  <c r="C53" i="21"/>
  <c r="C39" i="21"/>
  <c r="C31" i="21"/>
  <c r="C43" i="21"/>
  <c r="C48" i="21"/>
  <c r="C35" i="21"/>
  <c r="C17" i="21"/>
  <c r="C12" i="21"/>
  <c r="M71" i="20"/>
  <c r="M62" i="20"/>
  <c r="M58" i="20"/>
  <c r="M53" i="20"/>
  <c r="M39" i="20"/>
  <c r="M31" i="20"/>
  <c r="M43" i="20"/>
  <c r="M48" i="20"/>
  <c r="M35" i="20"/>
  <c r="M17" i="20"/>
  <c r="M12" i="20"/>
  <c r="L71" i="20"/>
  <c r="L62" i="20"/>
  <c r="L58" i="20"/>
  <c r="L53" i="20"/>
  <c r="L39" i="20"/>
  <c r="L31" i="20"/>
  <c r="L43" i="20"/>
  <c r="L48" i="20"/>
  <c r="L35" i="20"/>
  <c r="L17" i="20"/>
  <c r="L12" i="20"/>
  <c r="K71" i="20"/>
  <c r="K62" i="20"/>
  <c r="K58" i="20"/>
  <c r="K53" i="20"/>
  <c r="K39" i="20"/>
  <c r="K31" i="20"/>
  <c r="K43" i="20"/>
  <c r="K48" i="20"/>
  <c r="K35" i="20"/>
  <c r="K17" i="20"/>
  <c r="K12" i="20"/>
  <c r="J71" i="20"/>
  <c r="J62" i="20"/>
  <c r="J58" i="20"/>
  <c r="J53" i="20"/>
  <c r="J39" i="20"/>
  <c r="J31" i="20"/>
  <c r="J43" i="20"/>
  <c r="J48" i="20"/>
  <c r="J35" i="20"/>
  <c r="J17" i="20"/>
  <c r="J12" i="20"/>
  <c r="I71" i="20"/>
  <c r="I62" i="20"/>
  <c r="I58" i="20"/>
  <c r="I53" i="20"/>
  <c r="I39" i="20"/>
  <c r="I31" i="20"/>
  <c r="I43" i="20"/>
  <c r="I48" i="20"/>
  <c r="I35" i="20"/>
  <c r="I17" i="20"/>
  <c r="I12" i="20"/>
  <c r="H71" i="20"/>
  <c r="H62" i="20"/>
  <c r="H58" i="20"/>
  <c r="H53" i="20"/>
  <c r="H39" i="20"/>
  <c r="H31" i="20"/>
  <c r="H43" i="20"/>
  <c r="H48" i="20"/>
  <c r="H35" i="20"/>
  <c r="H17" i="20"/>
  <c r="H12" i="20"/>
  <c r="G71" i="20"/>
  <c r="G62" i="20"/>
  <c r="G58" i="20"/>
  <c r="G53" i="20"/>
  <c r="G39" i="20"/>
  <c r="G31" i="20"/>
  <c r="G43" i="20"/>
  <c r="G48" i="20"/>
  <c r="G35" i="20"/>
  <c r="G17" i="20"/>
  <c r="G12" i="20"/>
  <c r="F71" i="20"/>
  <c r="F62" i="20"/>
  <c r="F58" i="20"/>
  <c r="F53" i="20"/>
  <c r="F39" i="20"/>
  <c r="F31" i="20"/>
  <c r="F43" i="20"/>
  <c r="F48" i="20"/>
  <c r="F35" i="20"/>
  <c r="F17" i="20"/>
  <c r="F12" i="20"/>
  <c r="E71" i="20"/>
  <c r="E62" i="20"/>
  <c r="E58" i="20"/>
  <c r="E53" i="20"/>
  <c r="E39" i="20"/>
  <c r="E31" i="20"/>
  <c r="E43" i="20"/>
  <c r="E48" i="20"/>
  <c r="E35" i="20"/>
  <c r="E17" i="20"/>
  <c r="E12" i="20"/>
  <c r="D71" i="20"/>
  <c r="D62" i="20"/>
  <c r="D58" i="20"/>
  <c r="D53" i="20"/>
  <c r="D39" i="20"/>
  <c r="D31" i="20"/>
  <c r="D43" i="20"/>
  <c r="D48" i="20"/>
  <c r="D35" i="20"/>
  <c r="D17" i="20"/>
  <c r="D12" i="20"/>
  <c r="C71" i="20"/>
  <c r="C62" i="20"/>
  <c r="C58" i="20"/>
  <c r="C53" i="20"/>
  <c r="C39" i="20"/>
  <c r="C31" i="20"/>
  <c r="C43" i="20"/>
  <c r="C48" i="20"/>
  <c r="C35" i="20"/>
  <c r="C17" i="20"/>
  <c r="C12" i="20"/>
  <c r="M71" i="19"/>
  <c r="M62" i="19"/>
  <c r="M58" i="19"/>
  <c r="M53" i="19"/>
  <c r="M39" i="19"/>
  <c r="M31" i="19"/>
  <c r="M43" i="19"/>
  <c r="M48" i="19"/>
  <c r="M35" i="19"/>
  <c r="M17" i="19"/>
  <c r="M12" i="19"/>
  <c r="L71" i="19"/>
  <c r="L62" i="19"/>
  <c r="L58" i="19"/>
  <c r="L53" i="19"/>
  <c r="L39" i="19"/>
  <c r="L31" i="19"/>
  <c r="L43" i="19"/>
  <c r="L48" i="19"/>
  <c r="L35" i="19"/>
  <c r="L17" i="19"/>
  <c r="L12" i="19"/>
  <c r="K71" i="19"/>
  <c r="K62" i="19"/>
  <c r="K58" i="19"/>
  <c r="K53" i="19"/>
  <c r="K39" i="19"/>
  <c r="K31" i="19"/>
  <c r="K43" i="19"/>
  <c r="K48" i="19"/>
  <c r="K35" i="19"/>
  <c r="K17" i="19"/>
  <c r="K12" i="19"/>
  <c r="J71" i="19"/>
  <c r="J62" i="19"/>
  <c r="J58" i="19"/>
  <c r="J53" i="19"/>
  <c r="J39" i="19"/>
  <c r="J31" i="19"/>
  <c r="J43" i="19"/>
  <c r="J48" i="19"/>
  <c r="J35" i="19"/>
  <c r="J17" i="19"/>
  <c r="J12" i="19"/>
  <c r="I71" i="19"/>
  <c r="I62" i="19"/>
  <c r="I58" i="19"/>
  <c r="I53" i="19"/>
  <c r="I39" i="19"/>
  <c r="I31" i="19"/>
  <c r="I43" i="19"/>
  <c r="I48" i="19"/>
  <c r="I35" i="19"/>
  <c r="I17" i="19"/>
  <c r="I12" i="19"/>
  <c r="H71" i="19"/>
  <c r="H62" i="19"/>
  <c r="H58" i="19"/>
  <c r="H53" i="19"/>
  <c r="H39" i="19"/>
  <c r="H31" i="19"/>
  <c r="H43" i="19"/>
  <c r="H48" i="19"/>
  <c r="H35" i="19"/>
  <c r="H17" i="19"/>
  <c r="H12" i="19"/>
  <c r="G71" i="19"/>
  <c r="G62" i="19"/>
  <c r="G58" i="19"/>
  <c r="G53" i="19"/>
  <c r="G39" i="19"/>
  <c r="G31" i="19"/>
  <c r="G43" i="19"/>
  <c r="G48" i="19"/>
  <c r="G35" i="19"/>
  <c r="G17" i="19"/>
  <c r="G12" i="19"/>
  <c r="F71" i="19"/>
  <c r="F62" i="19"/>
  <c r="F58" i="19"/>
  <c r="F53" i="19"/>
  <c r="F39" i="19"/>
  <c r="F31" i="19"/>
  <c r="F43" i="19"/>
  <c r="F48" i="19"/>
  <c r="F35" i="19"/>
  <c r="F17" i="19"/>
  <c r="F12" i="19"/>
  <c r="E71" i="19"/>
  <c r="E62" i="19"/>
  <c r="E58" i="19"/>
  <c r="E53" i="19"/>
  <c r="E39" i="19"/>
  <c r="E31" i="19"/>
  <c r="E43" i="19"/>
  <c r="E48" i="19"/>
  <c r="E35" i="19"/>
  <c r="E17" i="19"/>
  <c r="E12" i="19"/>
  <c r="D71" i="19"/>
  <c r="D62" i="19"/>
  <c r="D58" i="19"/>
  <c r="D53" i="19"/>
  <c r="D39" i="19"/>
  <c r="D31" i="19"/>
  <c r="D43" i="19"/>
  <c r="D48" i="19"/>
  <c r="D35" i="19"/>
  <c r="D17" i="19"/>
  <c r="D12" i="19"/>
  <c r="C71" i="19"/>
  <c r="C62" i="19"/>
  <c r="C58" i="19"/>
  <c r="C53" i="19"/>
  <c r="C39" i="19"/>
  <c r="C31" i="19"/>
  <c r="C43" i="19"/>
  <c r="C48" i="19"/>
  <c r="C35" i="19"/>
  <c r="C17" i="19"/>
  <c r="C12" i="19"/>
  <c r="M79" i="18"/>
  <c r="M70" i="18"/>
  <c r="M66" i="18"/>
  <c r="M53" i="18"/>
  <c r="M39" i="18"/>
  <c r="M31" i="18"/>
  <c r="M43" i="18"/>
  <c r="M48" i="18"/>
  <c r="M35" i="18"/>
  <c r="M17" i="18"/>
  <c r="M12" i="18"/>
  <c r="L79" i="18"/>
  <c r="L70" i="18"/>
  <c r="L66" i="18"/>
  <c r="L53" i="18"/>
  <c r="L39" i="18"/>
  <c r="L31" i="18"/>
  <c r="L43" i="18"/>
  <c r="L48" i="18"/>
  <c r="L35" i="18"/>
  <c r="L17" i="18"/>
  <c r="L12" i="18"/>
  <c r="K79" i="18"/>
  <c r="K70" i="18"/>
  <c r="K66" i="18"/>
  <c r="K53" i="18"/>
  <c r="K39" i="18"/>
  <c r="K31" i="18"/>
  <c r="K43" i="18"/>
  <c r="K48" i="18"/>
  <c r="K35" i="18"/>
  <c r="K17" i="18"/>
  <c r="K12" i="18"/>
  <c r="J79" i="18"/>
  <c r="J70" i="18"/>
  <c r="J66" i="18"/>
  <c r="J53" i="18"/>
  <c r="J39" i="18"/>
  <c r="J31" i="18"/>
  <c r="J43" i="18"/>
  <c r="J48" i="18"/>
  <c r="J35" i="18"/>
  <c r="J17" i="18"/>
  <c r="J12" i="18"/>
  <c r="I79" i="18"/>
  <c r="I70" i="18"/>
  <c r="I66" i="18"/>
  <c r="I53" i="18"/>
  <c r="I39" i="18"/>
  <c r="I31" i="18"/>
  <c r="I43" i="18"/>
  <c r="I48" i="18"/>
  <c r="I35" i="18"/>
  <c r="I17" i="18"/>
  <c r="I12" i="18"/>
  <c r="H79" i="18"/>
  <c r="H70" i="18"/>
  <c r="H66" i="18"/>
  <c r="H53" i="18"/>
  <c r="H39" i="18"/>
  <c r="H31" i="18"/>
  <c r="H43" i="18"/>
  <c r="H48" i="18"/>
  <c r="H35" i="18"/>
  <c r="H17" i="18"/>
  <c r="H12" i="18"/>
  <c r="G79" i="18"/>
  <c r="G70" i="18"/>
  <c r="G66" i="18"/>
  <c r="G53" i="18"/>
  <c r="G39" i="18"/>
  <c r="G31" i="18"/>
  <c r="G43" i="18"/>
  <c r="G48" i="18"/>
  <c r="G35" i="18"/>
  <c r="G17" i="18"/>
  <c r="G12" i="18"/>
  <c r="F79" i="18"/>
  <c r="F70" i="18"/>
  <c r="F66" i="18"/>
  <c r="F53" i="18"/>
  <c r="F39" i="18"/>
  <c r="F31" i="18"/>
  <c r="F43" i="18"/>
  <c r="F48" i="18"/>
  <c r="F35" i="18"/>
  <c r="F17" i="18"/>
  <c r="F12" i="18"/>
  <c r="E79" i="18"/>
  <c r="E70" i="18"/>
  <c r="E66" i="18"/>
  <c r="E53" i="18"/>
  <c r="E39" i="18"/>
  <c r="E31" i="18"/>
  <c r="E43" i="18"/>
  <c r="E48" i="18"/>
  <c r="E35" i="18"/>
  <c r="E17" i="18"/>
  <c r="E12" i="18"/>
  <c r="D79" i="18"/>
  <c r="D70" i="18"/>
  <c r="D66" i="18"/>
  <c r="D53" i="18"/>
  <c r="D39" i="18"/>
  <c r="D31" i="18"/>
  <c r="D43" i="18"/>
  <c r="D48" i="18"/>
  <c r="D35" i="18"/>
  <c r="D17" i="18"/>
  <c r="D12" i="18"/>
  <c r="C79" i="18"/>
  <c r="C70" i="18"/>
  <c r="C53" i="18"/>
  <c r="C39" i="18"/>
  <c r="C31" i="18"/>
  <c r="C43" i="18"/>
  <c r="C48" i="18"/>
  <c r="C35" i="18"/>
  <c r="C17" i="18"/>
  <c r="C12" i="18"/>
  <c r="M71" i="17"/>
  <c r="M62" i="17"/>
  <c r="M58" i="17"/>
  <c r="M53" i="17"/>
  <c r="M39" i="17"/>
  <c r="M31" i="17"/>
  <c r="M43" i="17"/>
  <c r="M48" i="17"/>
  <c r="M35" i="17"/>
  <c r="M17" i="17"/>
  <c r="M12" i="17"/>
  <c r="L71" i="17"/>
  <c r="L62" i="17"/>
  <c r="L58" i="17"/>
  <c r="L53" i="17"/>
  <c r="L39" i="17"/>
  <c r="L31" i="17"/>
  <c r="L43" i="17"/>
  <c r="L48" i="17"/>
  <c r="L35" i="17"/>
  <c r="L17" i="17"/>
  <c r="L12" i="17"/>
  <c r="K71" i="17"/>
  <c r="K62" i="17"/>
  <c r="K58" i="17"/>
  <c r="K53" i="17"/>
  <c r="K39" i="17"/>
  <c r="K31" i="17"/>
  <c r="K43" i="17"/>
  <c r="K48" i="17"/>
  <c r="K35" i="17"/>
  <c r="K17" i="17"/>
  <c r="K12" i="17"/>
  <c r="J71" i="17"/>
  <c r="J62" i="17"/>
  <c r="J58" i="17"/>
  <c r="J53" i="17"/>
  <c r="J39" i="17"/>
  <c r="J31" i="17"/>
  <c r="J43" i="17"/>
  <c r="J48" i="17"/>
  <c r="J35" i="17"/>
  <c r="J17" i="17"/>
  <c r="J12" i="17"/>
  <c r="I71" i="17"/>
  <c r="I62" i="17"/>
  <c r="I58" i="17"/>
  <c r="I53" i="17"/>
  <c r="I39" i="17"/>
  <c r="I31" i="17"/>
  <c r="I43" i="17"/>
  <c r="I48" i="17"/>
  <c r="I35" i="17"/>
  <c r="I17" i="17"/>
  <c r="I12" i="17"/>
  <c r="H71" i="17"/>
  <c r="H62" i="17"/>
  <c r="H58" i="17"/>
  <c r="H53" i="17"/>
  <c r="H39" i="17"/>
  <c r="H31" i="17"/>
  <c r="H43" i="17"/>
  <c r="H48" i="17"/>
  <c r="H35" i="17"/>
  <c r="H17" i="17"/>
  <c r="H12" i="17"/>
  <c r="G71" i="17"/>
  <c r="G62" i="17"/>
  <c r="G58" i="17"/>
  <c r="G53" i="17"/>
  <c r="G39" i="17"/>
  <c r="G31" i="17"/>
  <c r="G43" i="17"/>
  <c r="G48" i="17"/>
  <c r="G35" i="17"/>
  <c r="G17" i="17"/>
  <c r="G12" i="17"/>
  <c r="F71" i="17"/>
  <c r="F62" i="17"/>
  <c r="F58" i="17"/>
  <c r="F53" i="17"/>
  <c r="F39" i="17"/>
  <c r="F31" i="17"/>
  <c r="F43" i="17"/>
  <c r="F48" i="17"/>
  <c r="F35" i="17"/>
  <c r="F17" i="17"/>
  <c r="F12" i="17"/>
  <c r="E71" i="17"/>
  <c r="E62" i="17"/>
  <c r="E58" i="17"/>
  <c r="E53" i="17"/>
  <c r="E39" i="17"/>
  <c r="E31" i="17"/>
  <c r="E43" i="17"/>
  <c r="E48" i="17"/>
  <c r="E35" i="17"/>
  <c r="E17" i="17"/>
  <c r="E12" i="17"/>
  <c r="D71" i="17"/>
  <c r="D62" i="17"/>
  <c r="D58" i="17"/>
  <c r="D53" i="17"/>
  <c r="D39" i="17"/>
  <c r="D31" i="17"/>
  <c r="D43" i="17"/>
  <c r="D48" i="17"/>
  <c r="D35" i="17"/>
  <c r="D17" i="17"/>
  <c r="D12" i="17"/>
  <c r="C71" i="17"/>
  <c r="C62" i="17"/>
  <c r="C58" i="17"/>
  <c r="C53" i="17"/>
  <c r="C39" i="17"/>
  <c r="C31" i="17"/>
  <c r="C43" i="17"/>
  <c r="C48" i="17"/>
  <c r="C35" i="17"/>
  <c r="C17" i="17"/>
  <c r="C12" i="17"/>
  <c r="M71" i="16"/>
  <c r="M62" i="16"/>
  <c r="M58" i="16"/>
  <c r="M53" i="16"/>
  <c r="M39" i="16"/>
  <c r="M31" i="16"/>
  <c r="M43" i="16"/>
  <c r="M48" i="16"/>
  <c r="M35" i="16"/>
  <c r="M17" i="16"/>
  <c r="M12" i="16"/>
  <c r="L71" i="16"/>
  <c r="L62" i="16"/>
  <c r="L58" i="16"/>
  <c r="L53" i="16"/>
  <c r="L39" i="16"/>
  <c r="L31" i="16"/>
  <c r="L43" i="16"/>
  <c r="L48" i="16"/>
  <c r="L35" i="16"/>
  <c r="L17" i="16"/>
  <c r="L12" i="16"/>
  <c r="K71" i="16"/>
  <c r="K62" i="16"/>
  <c r="K58" i="16"/>
  <c r="K53" i="16"/>
  <c r="K39" i="16"/>
  <c r="K31" i="16"/>
  <c r="K43" i="16"/>
  <c r="K48" i="16"/>
  <c r="K35" i="16"/>
  <c r="K17" i="16"/>
  <c r="K12" i="16"/>
  <c r="J71" i="16"/>
  <c r="J62" i="16"/>
  <c r="J58" i="16"/>
  <c r="J53" i="16"/>
  <c r="J39" i="16"/>
  <c r="J31" i="16"/>
  <c r="J43" i="16"/>
  <c r="J48" i="16"/>
  <c r="J35" i="16"/>
  <c r="J17" i="16"/>
  <c r="J12" i="16"/>
  <c r="I71" i="16"/>
  <c r="I62" i="16"/>
  <c r="I58" i="16"/>
  <c r="I53" i="16"/>
  <c r="I39" i="16"/>
  <c r="I31" i="16"/>
  <c r="I43" i="16"/>
  <c r="I48" i="16"/>
  <c r="I35" i="16"/>
  <c r="I17" i="16"/>
  <c r="I12" i="16"/>
  <c r="H71" i="16"/>
  <c r="H62" i="16"/>
  <c r="H58" i="16"/>
  <c r="H53" i="16"/>
  <c r="H39" i="16"/>
  <c r="H31" i="16"/>
  <c r="H43" i="16"/>
  <c r="H48" i="16"/>
  <c r="H35" i="16"/>
  <c r="H17" i="16"/>
  <c r="H12" i="16"/>
  <c r="G71" i="16"/>
  <c r="G62" i="16"/>
  <c r="G58" i="16"/>
  <c r="G53" i="16"/>
  <c r="G39" i="16"/>
  <c r="G31" i="16"/>
  <c r="G43" i="16"/>
  <c r="G48" i="16"/>
  <c r="G35" i="16"/>
  <c r="G17" i="16"/>
  <c r="G12" i="16"/>
  <c r="F71" i="16"/>
  <c r="F62" i="16"/>
  <c r="F58" i="16"/>
  <c r="F53" i="16"/>
  <c r="F39" i="16"/>
  <c r="F31" i="16"/>
  <c r="F43" i="16"/>
  <c r="F48" i="16"/>
  <c r="F35" i="16"/>
  <c r="F17" i="16"/>
  <c r="F12" i="16"/>
  <c r="E71" i="16"/>
  <c r="E62" i="16"/>
  <c r="E58" i="16"/>
  <c r="E53" i="16"/>
  <c r="E39" i="16"/>
  <c r="E31" i="16"/>
  <c r="E43" i="16"/>
  <c r="E48" i="16"/>
  <c r="E35" i="16"/>
  <c r="E17" i="16"/>
  <c r="E12" i="16"/>
  <c r="D71" i="16"/>
  <c r="D62" i="16"/>
  <c r="D58" i="16"/>
  <c r="D53" i="16"/>
  <c r="D39" i="16"/>
  <c r="D31" i="16"/>
  <c r="D43" i="16"/>
  <c r="D48" i="16"/>
  <c r="D35" i="16"/>
  <c r="D17" i="16"/>
  <c r="D12" i="16"/>
  <c r="C71" i="16"/>
  <c r="C62" i="16"/>
  <c r="C58" i="16"/>
  <c r="C53" i="16"/>
  <c r="C39" i="16"/>
  <c r="C31" i="16"/>
  <c r="C43" i="16"/>
  <c r="C48" i="16"/>
  <c r="C35" i="16"/>
  <c r="C17" i="16"/>
  <c r="C12" i="16"/>
  <c r="M79" i="15"/>
  <c r="M70" i="15"/>
  <c r="M66" i="15"/>
  <c r="M53" i="15"/>
  <c r="M39" i="15"/>
  <c r="M31" i="15"/>
  <c r="M43" i="15"/>
  <c r="M48" i="15"/>
  <c r="M35" i="15"/>
  <c r="M17" i="15"/>
  <c r="M12" i="15"/>
  <c r="L79" i="15"/>
  <c r="L70" i="15"/>
  <c r="L66" i="15"/>
  <c r="L53" i="15"/>
  <c r="L39" i="15"/>
  <c r="L31" i="15"/>
  <c r="L43" i="15"/>
  <c r="L48" i="15"/>
  <c r="L35" i="15"/>
  <c r="L17" i="15"/>
  <c r="L12" i="15"/>
  <c r="K79" i="15"/>
  <c r="K70" i="15"/>
  <c r="K66" i="15"/>
  <c r="K53" i="15"/>
  <c r="K39" i="15"/>
  <c r="K31" i="15"/>
  <c r="K43" i="15"/>
  <c r="K48" i="15"/>
  <c r="K35" i="15"/>
  <c r="K17" i="15"/>
  <c r="K12" i="15"/>
  <c r="J79" i="15"/>
  <c r="J70" i="15"/>
  <c r="J66" i="15"/>
  <c r="J53" i="15"/>
  <c r="J39" i="15"/>
  <c r="J31" i="15"/>
  <c r="J43" i="15"/>
  <c r="J48" i="15"/>
  <c r="J35" i="15"/>
  <c r="J17" i="15"/>
  <c r="J12" i="15"/>
  <c r="I79" i="15"/>
  <c r="I70" i="15"/>
  <c r="I66" i="15"/>
  <c r="I53" i="15"/>
  <c r="I39" i="15"/>
  <c r="I31" i="15"/>
  <c r="I43" i="15"/>
  <c r="I48" i="15"/>
  <c r="I35" i="15"/>
  <c r="I17" i="15"/>
  <c r="I12" i="15"/>
  <c r="H79" i="15"/>
  <c r="H70" i="15"/>
  <c r="H66" i="15"/>
  <c r="H53" i="15"/>
  <c r="H39" i="15"/>
  <c r="H31" i="15"/>
  <c r="H43" i="15"/>
  <c r="H48" i="15"/>
  <c r="H35" i="15"/>
  <c r="H17" i="15"/>
  <c r="H12" i="15"/>
  <c r="G79" i="15"/>
  <c r="G70" i="15"/>
  <c r="G66" i="15"/>
  <c r="G53" i="15"/>
  <c r="G39" i="15"/>
  <c r="G31" i="15"/>
  <c r="G43" i="15"/>
  <c r="G48" i="15"/>
  <c r="G35" i="15"/>
  <c r="G17" i="15"/>
  <c r="G12" i="15"/>
  <c r="F79" i="15"/>
  <c r="F70" i="15"/>
  <c r="F66" i="15"/>
  <c r="F53" i="15"/>
  <c r="F39" i="15"/>
  <c r="F31" i="15"/>
  <c r="F43" i="15"/>
  <c r="F48" i="15"/>
  <c r="F35" i="15"/>
  <c r="F17" i="15"/>
  <c r="F12" i="15"/>
  <c r="E79" i="15"/>
  <c r="E70" i="15"/>
  <c r="E66" i="15"/>
  <c r="E53" i="15"/>
  <c r="E39" i="15"/>
  <c r="E31" i="15"/>
  <c r="E43" i="15"/>
  <c r="E48" i="15"/>
  <c r="E35" i="15"/>
  <c r="E17" i="15"/>
  <c r="E12" i="15"/>
  <c r="D79" i="15"/>
  <c r="D70" i="15"/>
  <c r="D53" i="15"/>
  <c r="D39" i="15"/>
  <c r="D31" i="15"/>
  <c r="D43" i="15"/>
  <c r="D48" i="15"/>
  <c r="D35" i="15"/>
  <c r="D17" i="15"/>
  <c r="D12" i="15"/>
  <c r="C79" i="15"/>
  <c r="C70" i="15"/>
  <c r="C66" i="15"/>
  <c r="C53" i="15"/>
  <c r="C39" i="15"/>
  <c r="C31" i="15"/>
  <c r="C43" i="15"/>
  <c r="C48" i="15"/>
  <c r="C35" i="15"/>
  <c r="C17" i="15"/>
  <c r="C12" i="15"/>
  <c r="M71" i="14"/>
  <c r="M62" i="14"/>
  <c r="M58" i="14"/>
  <c r="M53" i="14"/>
  <c r="M39" i="14"/>
  <c r="M31" i="14"/>
  <c r="M43" i="14"/>
  <c r="M48" i="14"/>
  <c r="M35" i="14"/>
  <c r="M17" i="14"/>
  <c r="M12" i="14"/>
  <c r="L71" i="14"/>
  <c r="L62" i="14"/>
  <c r="L58" i="14"/>
  <c r="L53" i="14"/>
  <c r="L39" i="14"/>
  <c r="L31" i="14"/>
  <c r="L43" i="14"/>
  <c r="L48" i="14"/>
  <c r="L35" i="14"/>
  <c r="L17" i="14"/>
  <c r="L12" i="14"/>
  <c r="K71" i="14"/>
  <c r="K62" i="14"/>
  <c r="K58" i="14"/>
  <c r="K53" i="14"/>
  <c r="K39" i="14"/>
  <c r="K31" i="14"/>
  <c r="K43" i="14"/>
  <c r="K48" i="14"/>
  <c r="K35" i="14"/>
  <c r="K17" i="14"/>
  <c r="K12" i="14"/>
  <c r="J71" i="14"/>
  <c r="J62" i="14"/>
  <c r="J58" i="14"/>
  <c r="J53" i="14"/>
  <c r="J39" i="14"/>
  <c r="J31" i="14"/>
  <c r="J43" i="14"/>
  <c r="J48" i="14"/>
  <c r="J35" i="14"/>
  <c r="J17" i="14"/>
  <c r="J12" i="14"/>
  <c r="I71" i="14"/>
  <c r="I62" i="14"/>
  <c r="I58" i="14"/>
  <c r="I53" i="14"/>
  <c r="I39" i="14"/>
  <c r="I31" i="14"/>
  <c r="I43" i="14"/>
  <c r="I48" i="14"/>
  <c r="I35" i="14"/>
  <c r="I17" i="14"/>
  <c r="I12" i="14"/>
  <c r="H71" i="14"/>
  <c r="H62" i="14"/>
  <c r="H58" i="14"/>
  <c r="H53" i="14"/>
  <c r="H39" i="14"/>
  <c r="H31" i="14"/>
  <c r="H43" i="14"/>
  <c r="H48" i="14"/>
  <c r="H35" i="14"/>
  <c r="H17" i="14"/>
  <c r="H12" i="14"/>
  <c r="G71" i="14"/>
  <c r="G62" i="14"/>
  <c r="G58" i="14"/>
  <c r="G53" i="14"/>
  <c r="G39" i="14"/>
  <c r="G31" i="14"/>
  <c r="G43" i="14"/>
  <c r="G48" i="14"/>
  <c r="G35" i="14"/>
  <c r="G17" i="14"/>
  <c r="G12" i="14"/>
  <c r="F71" i="14"/>
  <c r="F62" i="14"/>
  <c r="F58" i="14"/>
  <c r="F53" i="14"/>
  <c r="F39" i="14"/>
  <c r="F31" i="14"/>
  <c r="F43" i="14"/>
  <c r="F48" i="14"/>
  <c r="F35" i="14"/>
  <c r="F17" i="14"/>
  <c r="F12" i="14"/>
  <c r="E71" i="14"/>
  <c r="E62" i="14"/>
  <c r="E58" i="14"/>
  <c r="E53" i="14"/>
  <c r="E39" i="14"/>
  <c r="E31" i="14"/>
  <c r="E43" i="14"/>
  <c r="E48" i="14"/>
  <c r="E35" i="14"/>
  <c r="E17" i="14"/>
  <c r="E12" i="14"/>
  <c r="D71" i="14"/>
  <c r="D62" i="14"/>
  <c r="D58" i="14"/>
  <c r="D53" i="14"/>
  <c r="D39" i="14"/>
  <c r="D31" i="14"/>
  <c r="D43" i="14"/>
  <c r="D48" i="14"/>
  <c r="D35" i="14"/>
  <c r="D17" i="14"/>
  <c r="D12" i="14"/>
  <c r="C71" i="14"/>
  <c r="C62" i="14"/>
  <c r="C58" i="14"/>
  <c r="C53" i="14"/>
  <c r="C39" i="14"/>
  <c r="C31" i="14"/>
  <c r="C43" i="14"/>
  <c r="C48" i="14"/>
  <c r="C35" i="14"/>
  <c r="C17" i="14"/>
  <c r="C12" i="14"/>
  <c r="M71" i="13"/>
  <c r="M62" i="13"/>
  <c r="M58" i="13"/>
  <c r="M53" i="13"/>
  <c r="M39" i="13"/>
  <c r="M31" i="13"/>
  <c r="M43" i="13"/>
  <c r="M48" i="13"/>
  <c r="M35" i="13"/>
  <c r="M17" i="13"/>
  <c r="M12" i="13"/>
  <c r="L71" i="13"/>
  <c r="L62" i="13"/>
  <c r="L58" i="13"/>
  <c r="L53" i="13"/>
  <c r="L39" i="13"/>
  <c r="L31" i="13"/>
  <c r="L43" i="13"/>
  <c r="L48" i="13"/>
  <c r="L35" i="13"/>
  <c r="L17" i="13"/>
  <c r="L12" i="13"/>
  <c r="K71" i="13"/>
  <c r="K62" i="13"/>
  <c r="K58" i="13"/>
  <c r="K53" i="13"/>
  <c r="K39" i="13"/>
  <c r="K31" i="13"/>
  <c r="K43" i="13"/>
  <c r="K48" i="13"/>
  <c r="K35" i="13"/>
  <c r="K17" i="13"/>
  <c r="K12" i="13"/>
  <c r="J71" i="13"/>
  <c r="J62" i="13"/>
  <c r="J58" i="13"/>
  <c r="J53" i="13"/>
  <c r="J39" i="13"/>
  <c r="J31" i="13"/>
  <c r="J43" i="13"/>
  <c r="J48" i="13"/>
  <c r="J35" i="13"/>
  <c r="J17" i="13"/>
  <c r="J12" i="13"/>
  <c r="I71" i="13"/>
  <c r="I62" i="13"/>
  <c r="I58" i="13"/>
  <c r="I53" i="13"/>
  <c r="I39" i="13"/>
  <c r="I31" i="13"/>
  <c r="I43" i="13"/>
  <c r="I48" i="13"/>
  <c r="I35" i="13"/>
  <c r="I17" i="13"/>
  <c r="I12" i="13"/>
  <c r="H71" i="13"/>
  <c r="H62" i="13"/>
  <c r="H58" i="13"/>
  <c r="H53" i="13"/>
  <c r="H39" i="13"/>
  <c r="H31" i="13"/>
  <c r="H43" i="13"/>
  <c r="H48" i="13"/>
  <c r="H35" i="13"/>
  <c r="H17" i="13"/>
  <c r="H12" i="13"/>
  <c r="G71" i="13"/>
  <c r="G62" i="13"/>
  <c r="G58" i="13"/>
  <c r="G53" i="13"/>
  <c r="G39" i="13"/>
  <c r="G31" i="13"/>
  <c r="G43" i="13"/>
  <c r="G48" i="13"/>
  <c r="G35" i="13"/>
  <c r="G17" i="13"/>
  <c r="G12" i="13"/>
  <c r="F71" i="13"/>
  <c r="F62" i="13"/>
  <c r="F58" i="13"/>
  <c r="F53" i="13"/>
  <c r="F39" i="13"/>
  <c r="F31" i="13"/>
  <c r="F43" i="13"/>
  <c r="F48" i="13"/>
  <c r="F35" i="13"/>
  <c r="F17" i="13"/>
  <c r="F12" i="13"/>
  <c r="E71" i="13"/>
  <c r="E62" i="13"/>
  <c r="E58" i="13"/>
  <c r="E53" i="13"/>
  <c r="E39" i="13"/>
  <c r="E31" i="13"/>
  <c r="E43" i="13"/>
  <c r="E48" i="13"/>
  <c r="E35" i="13"/>
  <c r="E17" i="13"/>
  <c r="E12" i="13"/>
  <c r="D71" i="13"/>
  <c r="D62" i="13"/>
  <c r="D58" i="13"/>
  <c r="D53" i="13"/>
  <c r="D39" i="13"/>
  <c r="D31" i="13"/>
  <c r="D43" i="13"/>
  <c r="D48" i="13"/>
  <c r="D35" i="13"/>
  <c r="D17" i="13"/>
  <c r="D12" i="13"/>
  <c r="C71" i="13"/>
  <c r="C62" i="13"/>
  <c r="C58" i="13"/>
  <c r="C53" i="13"/>
  <c r="C39" i="13"/>
  <c r="C31" i="13"/>
  <c r="C43" i="13"/>
  <c r="C48" i="13"/>
  <c r="C35" i="13"/>
  <c r="C17" i="13"/>
  <c r="C12" i="13"/>
  <c r="M79" i="12"/>
  <c r="M70" i="12"/>
  <c r="M66" i="12"/>
  <c r="M53" i="12"/>
  <c r="M39" i="12"/>
  <c r="M31" i="12"/>
  <c r="M43" i="12"/>
  <c r="M48" i="12"/>
  <c r="M35" i="12"/>
  <c r="M17" i="12"/>
  <c r="M12" i="12"/>
  <c r="L79" i="12"/>
  <c r="L70" i="12"/>
  <c r="L66" i="12"/>
  <c r="L53" i="12"/>
  <c r="L39" i="12"/>
  <c r="L31" i="12"/>
  <c r="L43" i="12"/>
  <c r="L48" i="12"/>
  <c r="L35" i="12"/>
  <c r="L17" i="12"/>
  <c r="L12" i="12"/>
  <c r="K79" i="12"/>
  <c r="K70" i="12"/>
  <c r="K66" i="12"/>
  <c r="K53" i="12"/>
  <c r="K39" i="12"/>
  <c r="K31" i="12"/>
  <c r="K43" i="12"/>
  <c r="K48" i="12"/>
  <c r="K35" i="12"/>
  <c r="K17" i="12"/>
  <c r="K12" i="12"/>
  <c r="J79" i="12"/>
  <c r="J70" i="12"/>
  <c r="J66" i="12"/>
  <c r="J53" i="12"/>
  <c r="J39" i="12"/>
  <c r="J31" i="12"/>
  <c r="J43" i="12"/>
  <c r="J48" i="12"/>
  <c r="J35" i="12"/>
  <c r="J17" i="12"/>
  <c r="J12" i="12"/>
  <c r="I79" i="12"/>
  <c r="I70" i="12"/>
  <c r="I66" i="12"/>
  <c r="I53" i="12"/>
  <c r="I39" i="12"/>
  <c r="I31" i="12"/>
  <c r="I43" i="12"/>
  <c r="I48" i="12"/>
  <c r="I35" i="12"/>
  <c r="I17" i="12"/>
  <c r="I12" i="12"/>
  <c r="H79" i="12"/>
  <c r="H70" i="12"/>
  <c r="H66" i="12"/>
  <c r="H53" i="12"/>
  <c r="H39" i="12"/>
  <c r="H31" i="12"/>
  <c r="H43" i="12"/>
  <c r="H48" i="12"/>
  <c r="H35" i="12"/>
  <c r="H17" i="12"/>
  <c r="H12" i="12"/>
  <c r="G79" i="12"/>
  <c r="G70" i="12"/>
  <c r="G66" i="12"/>
  <c r="G53" i="12"/>
  <c r="G39" i="12"/>
  <c r="G31" i="12"/>
  <c r="G43" i="12"/>
  <c r="G48" i="12"/>
  <c r="G35" i="12"/>
  <c r="G17" i="12"/>
  <c r="G12" i="12"/>
  <c r="F79" i="12"/>
  <c r="F70" i="12"/>
  <c r="F66" i="12"/>
  <c r="F53" i="12"/>
  <c r="F39" i="12"/>
  <c r="F31" i="12"/>
  <c r="F43" i="12"/>
  <c r="F48" i="12"/>
  <c r="F35" i="12"/>
  <c r="F17" i="12"/>
  <c r="F12" i="12"/>
  <c r="E79" i="12"/>
  <c r="E70" i="12"/>
  <c r="E66" i="12"/>
  <c r="E53" i="12"/>
  <c r="E39" i="12"/>
  <c r="E31" i="12"/>
  <c r="E43" i="12"/>
  <c r="E48" i="12"/>
  <c r="E35" i="12"/>
  <c r="E17" i="12"/>
  <c r="E12" i="12"/>
  <c r="D79" i="12"/>
  <c r="D70" i="12"/>
  <c r="D66" i="12"/>
  <c r="D53" i="12"/>
  <c r="D39" i="12"/>
  <c r="D31" i="12"/>
  <c r="D43" i="12"/>
  <c r="D48" i="12"/>
  <c r="D35" i="12"/>
  <c r="D17" i="12"/>
  <c r="D12" i="12"/>
  <c r="C79" i="12"/>
  <c r="C70" i="12"/>
  <c r="C53" i="12"/>
  <c r="C39" i="12"/>
  <c r="C31" i="12"/>
  <c r="C43" i="12"/>
  <c r="C48" i="12"/>
  <c r="C35" i="12"/>
  <c r="C17" i="12"/>
  <c r="C12" i="12"/>
  <c r="M71" i="11"/>
  <c r="M62" i="11"/>
  <c r="M58" i="11"/>
  <c r="M53" i="11"/>
  <c r="M39" i="11"/>
  <c r="M31" i="11"/>
  <c r="M43" i="11"/>
  <c r="M48" i="11"/>
  <c r="M35" i="11"/>
  <c r="M17" i="11"/>
  <c r="M12" i="11"/>
  <c r="L71" i="11"/>
  <c r="L62" i="11"/>
  <c r="L58" i="11"/>
  <c r="L53" i="11"/>
  <c r="L39" i="11"/>
  <c r="L31" i="11"/>
  <c r="L43" i="11"/>
  <c r="L48" i="11"/>
  <c r="L35" i="11"/>
  <c r="L17" i="11"/>
  <c r="L12" i="11"/>
  <c r="K71" i="11"/>
  <c r="K62" i="11"/>
  <c r="K58" i="11"/>
  <c r="K53" i="11"/>
  <c r="K39" i="11"/>
  <c r="K31" i="11"/>
  <c r="K43" i="11"/>
  <c r="K48" i="11"/>
  <c r="K35" i="11"/>
  <c r="K17" i="11"/>
  <c r="K12" i="11"/>
  <c r="J71" i="11"/>
  <c r="J62" i="11"/>
  <c r="J58" i="11"/>
  <c r="J53" i="11"/>
  <c r="J39" i="11"/>
  <c r="J31" i="11"/>
  <c r="J43" i="11"/>
  <c r="J48" i="11"/>
  <c r="J35" i="11"/>
  <c r="J17" i="11"/>
  <c r="J12" i="11"/>
  <c r="I71" i="11"/>
  <c r="I62" i="11"/>
  <c r="I58" i="11"/>
  <c r="I53" i="11"/>
  <c r="I39" i="11"/>
  <c r="I31" i="11"/>
  <c r="I43" i="11"/>
  <c r="I48" i="11"/>
  <c r="I35" i="11"/>
  <c r="I17" i="11"/>
  <c r="I12" i="11"/>
  <c r="H71" i="11"/>
  <c r="H62" i="11"/>
  <c r="H58" i="11"/>
  <c r="H53" i="11"/>
  <c r="H39" i="11"/>
  <c r="H31" i="11"/>
  <c r="H43" i="11"/>
  <c r="H48" i="11"/>
  <c r="H35" i="11"/>
  <c r="H17" i="11"/>
  <c r="H12" i="11"/>
  <c r="G71" i="11"/>
  <c r="G62" i="11"/>
  <c r="G58" i="11"/>
  <c r="G53" i="11"/>
  <c r="G39" i="11"/>
  <c r="G31" i="11"/>
  <c r="G43" i="11"/>
  <c r="G48" i="11"/>
  <c r="G35" i="11"/>
  <c r="G17" i="11"/>
  <c r="G12" i="11"/>
  <c r="F71" i="11"/>
  <c r="F62" i="11"/>
  <c r="F58" i="11"/>
  <c r="F53" i="11"/>
  <c r="F39" i="11"/>
  <c r="F31" i="11"/>
  <c r="F43" i="11"/>
  <c r="F48" i="11"/>
  <c r="F35" i="11"/>
  <c r="F17" i="11"/>
  <c r="F12" i="11"/>
  <c r="E71" i="11"/>
  <c r="E62" i="11"/>
  <c r="E58" i="11"/>
  <c r="E53" i="11"/>
  <c r="E39" i="11"/>
  <c r="E31" i="11"/>
  <c r="E43" i="11"/>
  <c r="E48" i="11"/>
  <c r="E35" i="11"/>
  <c r="E17" i="11"/>
  <c r="E12" i="11"/>
  <c r="D71" i="11"/>
  <c r="D62" i="11"/>
  <c r="D58" i="11"/>
  <c r="D53" i="11"/>
  <c r="D39" i="11"/>
  <c r="D31" i="11"/>
  <c r="D43" i="11"/>
  <c r="D48" i="11"/>
  <c r="D35" i="11"/>
  <c r="D17" i="11"/>
  <c r="D12" i="11"/>
  <c r="C71" i="11"/>
  <c r="C62" i="11"/>
  <c r="C58" i="11"/>
  <c r="C53" i="11"/>
  <c r="C39" i="11"/>
  <c r="C31" i="11"/>
  <c r="C43" i="11"/>
  <c r="C48" i="11"/>
  <c r="C35" i="11"/>
  <c r="C17" i="11"/>
  <c r="C12" i="11"/>
  <c r="M1" i="57"/>
  <c r="L1" i="57"/>
  <c r="K1" i="57"/>
  <c r="J1" i="57"/>
  <c r="I1" i="57"/>
  <c r="H1" i="57"/>
  <c r="G1" i="57"/>
  <c r="F1" i="57"/>
  <c r="E1" i="57"/>
  <c r="D1" i="57"/>
  <c r="C1" i="57"/>
  <c r="M1" i="56"/>
  <c r="L1" i="56"/>
  <c r="K1" i="56"/>
  <c r="J1" i="56"/>
  <c r="I1" i="56"/>
  <c r="H1" i="56"/>
  <c r="G1" i="56"/>
  <c r="F1" i="56"/>
  <c r="E1" i="56"/>
  <c r="D1" i="56"/>
  <c r="C1" i="56"/>
  <c r="M1" i="55"/>
  <c r="L1" i="55"/>
  <c r="K1" i="55"/>
  <c r="J1" i="55"/>
  <c r="I1" i="55"/>
  <c r="H1" i="55"/>
  <c r="G1" i="55"/>
  <c r="F1" i="55"/>
  <c r="E1" i="55"/>
  <c r="D1" i="55"/>
  <c r="C1" i="55"/>
  <c r="M1" i="54"/>
  <c r="L1" i="54"/>
  <c r="K1" i="54"/>
  <c r="J1" i="54"/>
  <c r="I1" i="54"/>
  <c r="H1" i="54"/>
  <c r="G1" i="54"/>
  <c r="F1" i="54"/>
  <c r="E1" i="54"/>
  <c r="D1" i="54"/>
  <c r="C1" i="54"/>
  <c r="M1" i="53"/>
  <c r="L1" i="53"/>
  <c r="K1" i="53"/>
  <c r="J1" i="53"/>
  <c r="I1" i="53"/>
  <c r="H1" i="53"/>
  <c r="G1" i="53"/>
  <c r="F1" i="53"/>
  <c r="E1" i="53"/>
  <c r="D1" i="53"/>
  <c r="C1" i="53"/>
  <c r="M1" i="52"/>
  <c r="L1" i="52"/>
  <c r="K1" i="52"/>
  <c r="J1" i="52"/>
  <c r="I1" i="52"/>
  <c r="H1" i="52"/>
  <c r="G1" i="52"/>
  <c r="F1" i="52"/>
  <c r="E1" i="52"/>
  <c r="D1" i="52"/>
  <c r="C1" i="52"/>
  <c r="M1" i="51"/>
  <c r="L1" i="51"/>
  <c r="K1" i="51"/>
  <c r="J1" i="51"/>
  <c r="I1" i="51"/>
  <c r="H1" i="51"/>
  <c r="G1" i="51"/>
  <c r="F1" i="51"/>
  <c r="E1" i="51"/>
  <c r="D1" i="51"/>
  <c r="C1" i="51"/>
  <c r="M1" i="50"/>
  <c r="L1" i="50"/>
  <c r="K1" i="50"/>
  <c r="J1" i="50"/>
  <c r="I1" i="50"/>
  <c r="H1" i="50"/>
  <c r="G1" i="50"/>
  <c r="F1" i="50"/>
  <c r="E1" i="50"/>
  <c r="D1" i="50"/>
  <c r="C1" i="50"/>
  <c r="M1" i="49"/>
  <c r="L1" i="49"/>
  <c r="K1" i="49"/>
  <c r="J1" i="49"/>
  <c r="I1" i="49"/>
  <c r="H1" i="49"/>
  <c r="G1" i="49"/>
  <c r="F1" i="49"/>
  <c r="E1" i="49"/>
  <c r="D1" i="49"/>
  <c r="C1" i="49"/>
  <c r="M1" i="48"/>
  <c r="M53" i="48"/>
  <c r="M37" i="48"/>
  <c r="M41" i="48"/>
  <c r="L1" i="48"/>
  <c r="L53" i="48"/>
  <c r="L37" i="48"/>
  <c r="L41" i="48"/>
  <c r="K1" i="48"/>
  <c r="K53" i="48"/>
  <c r="K37" i="48"/>
  <c r="K41" i="48"/>
  <c r="J1" i="48"/>
  <c r="J37" i="48"/>
  <c r="J41" i="48"/>
  <c r="I1" i="48"/>
  <c r="I37" i="48"/>
  <c r="I41" i="48"/>
  <c r="H1" i="48"/>
  <c r="H37" i="48"/>
  <c r="H41" i="48"/>
  <c r="G1" i="48"/>
  <c r="G37" i="48"/>
  <c r="G41" i="48"/>
  <c r="F1" i="48"/>
  <c r="F37" i="48"/>
  <c r="F41" i="48"/>
  <c r="E1" i="48"/>
  <c r="E53" i="48"/>
  <c r="E37" i="48"/>
  <c r="E41" i="48"/>
  <c r="D1" i="48"/>
  <c r="D53" i="48"/>
  <c r="D37" i="48"/>
  <c r="D41" i="48"/>
  <c r="C1" i="48"/>
  <c r="C53" i="48"/>
  <c r="C37" i="48"/>
  <c r="C41" i="48"/>
  <c r="M1" i="47"/>
  <c r="M53" i="47"/>
  <c r="M37" i="47"/>
  <c r="M41" i="47"/>
  <c r="L1" i="47"/>
  <c r="L53" i="47"/>
  <c r="L37" i="47"/>
  <c r="L41" i="47"/>
  <c r="K1" i="47"/>
  <c r="K53" i="47"/>
  <c r="K37" i="47"/>
  <c r="K41" i="47"/>
  <c r="J1" i="47"/>
  <c r="J37" i="47"/>
  <c r="J41" i="47"/>
  <c r="I1" i="47"/>
  <c r="I37" i="47"/>
  <c r="I41" i="47"/>
  <c r="H1" i="47"/>
  <c r="H37" i="47"/>
  <c r="H41" i="47"/>
  <c r="G1" i="47"/>
  <c r="G37" i="47"/>
  <c r="G41" i="47"/>
  <c r="F1" i="47"/>
  <c r="F37" i="47"/>
  <c r="F41" i="47"/>
  <c r="E1" i="47"/>
  <c r="E53" i="47"/>
  <c r="E37" i="47"/>
  <c r="E41" i="47"/>
  <c r="D1" i="47"/>
  <c r="D53" i="47"/>
  <c r="D37" i="47"/>
  <c r="D41" i="47"/>
  <c r="C1" i="47"/>
  <c r="C53" i="47"/>
  <c r="C37" i="47"/>
  <c r="C41" i="47"/>
  <c r="M1" i="46"/>
  <c r="M53" i="46"/>
  <c r="M37" i="46"/>
  <c r="M41" i="46"/>
  <c r="L1" i="46"/>
  <c r="L53" i="46"/>
  <c r="L37" i="46"/>
  <c r="L41" i="46"/>
  <c r="K1" i="46"/>
  <c r="K53" i="46"/>
  <c r="K37" i="46"/>
  <c r="K41" i="46"/>
  <c r="J1" i="46"/>
  <c r="J37" i="46"/>
  <c r="J41" i="46"/>
  <c r="I1" i="46"/>
  <c r="I37" i="46"/>
  <c r="I41" i="46"/>
  <c r="H1" i="46"/>
  <c r="H37" i="46"/>
  <c r="H41" i="46"/>
  <c r="G1" i="46"/>
  <c r="G37" i="46"/>
  <c r="G41" i="46"/>
  <c r="F1" i="46"/>
  <c r="F37" i="46"/>
  <c r="F41" i="46"/>
  <c r="E1" i="46"/>
  <c r="E53" i="46"/>
  <c r="E37" i="46"/>
  <c r="E41" i="46"/>
  <c r="D1" i="46"/>
  <c r="D53" i="46"/>
  <c r="D37" i="46"/>
  <c r="D41" i="46"/>
  <c r="C1" i="46"/>
  <c r="C53" i="46"/>
  <c r="C37" i="46"/>
  <c r="C41" i="46"/>
  <c r="M1" i="45"/>
  <c r="M53" i="45"/>
  <c r="M37" i="45"/>
  <c r="M41" i="45"/>
  <c r="L1" i="45"/>
  <c r="L53" i="45"/>
  <c r="L37" i="45"/>
  <c r="L41" i="45"/>
  <c r="K1" i="45"/>
  <c r="K53" i="45"/>
  <c r="K37" i="45"/>
  <c r="K41" i="45"/>
  <c r="J1" i="45"/>
  <c r="J37" i="45"/>
  <c r="J41" i="45"/>
  <c r="I1" i="45"/>
  <c r="I37" i="45"/>
  <c r="I41" i="45"/>
  <c r="H1" i="45"/>
  <c r="H37" i="45"/>
  <c r="H41" i="45"/>
  <c r="G1" i="45"/>
  <c r="G37" i="45"/>
  <c r="G41" i="45"/>
  <c r="F1" i="45"/>
  <c r="F37" i="45"/>
  <c r="F41" i="45"/>
  <c r="E1" i="45"/>
  <c r="E53" i="45"/>
  <c r="E37" i="45"/>
  <c r="E41" i="45"/>
  <c r="D1" i="45"/>
  <c r="D53" i="45"/>
  <c r="D37" i="45"/>
  <c r="D41" i="45"/>
  <c r="C1" i="45"/>
  <c r="C53" i="45"/>
  <c r="C37" i="45"/>
  <c r="C41" i="45"/>
  <c r="M1" i="44"/>
  <c r="M53" i="44"/>
  <c r="M37" i="44"/>
  <c r="M41" i="44"/>
  <c r="L1" i="44"/>
  <c r="L53" i="44"/>
  <c r="L37" i="44"/>
  <c r="L41" i="44"/>
  <c r="K1" i="44"/>
  <c r="K53" i="44"/>
  <c r="K37" i="44"/>
  <c r="K41" i="44"/>
  <c r="J1" i="44"/>
  <c r="J37" i="44"/>
  <c r="J41" i="44"/>
  <c r="I1" i="44"/>
  <c r="I37" i="44"/>
  <c r="I41" i="44"/>
  <c r="H1" i="44"/>
  <c r="H37" i="44"/>
  <c r="H41" i="44"/>
  <c r="G1" i="44"/>
  <c r="G37" i="44"/>
  <c r="G41" i="44"/>
  <c r="F1" i="44"/>
  <c r="F37" i="44"/>
  <c r="F41" i="44"/>
  <c r="E1" i="44"/>
  <c r="E53" i="44"/>
  <c r="E37" i="44"/>
  <c r="E41" i="44"/>
  <c r="D1" i="44"/>
  <c r="D53" i="44"/>
  <c r="D37" i="44"/>
  <c r="D41" i="44"/>
  <c r="C1" i="44"/>
  <c r="C53" i="44"/>
  <c r="C37" i="44"/>
  <c r="C41" i="44"/>
  <c r="M1" i="43"/>
  <c r="M53" i="43"/>
  <c r="M37" i="43"/>
  <c r="M41" i="43"/>
  <c r="L1" i="43"/>
  <c r="L53" i="43"/>
  <c r="L37" i="43"/>
  <c r="L41" i="43"/>
  <c r="K1" i="43"/>
  <c r="K53" i="43"/>
  <c r="K37" i="43"/>
  <c r="K41" i="43"/>
  <c r="J1" i="43"/>
  <c r="J37" i="43"/>
  <c r="J41" i="43"/>
  <c r="I1" i="43"/>
  <c r="I37" i="43"/>
  <c r="I41" i="43"/>
  <c r="H1" i="43"/>
  <c r="H37" i="43"/>
  <c r="H41" i="43"/>
  <c r="G1" i="43"/>
  <c r="G37" i="43"/>
  <c r="G41" i="43"/>
  <c r="F1" i="43"/>
  <c r="F37" i="43"/>
  <c r="F41" i="43"/>
  <c r="E1" i="43"/>
  <c r="E53" i="43"/>
  <c r="E37" i="43"/>
  <c r="E41" i="43"/>
  <c r="D1" i="43"/>
  <c r="D53" i="43"/>
  <c r="D37" i="43"/>
  <c r="D41" i="43"/>
  <c r="C1" i="43"/>
  <c r="C53" i="43"/>
  <c r="C37" i="43"/>
  <c r="C41" i="43"/>
  <c r="M1" i="42"/>
  <c r="M53" i="42"/>
  <c r="M37" i="42"/>
  <c r="M41" i="42"/>
  <c r="L1" i="42"/>
  <c r="L53" i="42"/>
  <c r="L37" i="42"/>
  <c r="L41" i="42"/>
  <c r="K1" i="42"/>
  <c r="K37" i="42"/>
  <c r="K41" i="42"/>
  <c r="J1" i="42"/>
  <c r="J37" i="42"/>
  <c r="J41" i="42"/>
  <c r="I1" i="42"/>
  <c r="I37" i="42"/>
  <c r="I41" i="42"/>
  <c r="H1" i="42"/>
  <c r="H37" i="42"/>
  <c r="H41" i="42"/>
  <c r="G1" i="42"/>
  <c r="G53" i="42"/>
  <c r="G37" i="42"/>
  <c r="G41" i="42"/>
  <c r="F1" i="42"/>
  <c r="F53" i="42"/>
  <c r="F37" i="42"/>
  <c r="F41" i="42"/>
  <c r="E1" i="42"/>
  <c r="E53" i="42"/>
  <c r="E37" i="42"/>
  <c r="E41" i="42"/>
  <c r="D1" i="42"/>
  <c r="D53" i="42"/>
  <c r="D37" i="42"/>
  <c r="D41" i="42"/>
  <c r="C1" i="42"/>
  <c r="C53" i="42"/>
  <c r="C37" i="42"/>
  <c r="C41" i="42"/>
  <c r="M1" i="41"/>
  <c r="L1" i="41"/>
  <c r="K1" i="41"/>
  <c r="J1" i="41"/>
  <c r="I1" i="41"/>
  <c r="H1" i="41"/>
  <c r="G1" i="41"/>
  <c r="F1" i="41"/>
  <c r="E1" i="41"/>
  <c r="D1" i="41"/>
  <c r="C1" i="41"/>
  <c r="M1" i="40"/>
  <c r="L1" i="40"/>
  <c r="K1" i="40"/>
  <c r="J1" i="40"/>
  <c r="I1" i="40"/>
  <c r="H1" i="40"/>
  <c r="G1" i="40"/>
  <c r="F1" i="40"/>
  <c r="E1" i="40"/>
  <c r="D1" i="40"/>
  <c r="C1" i="40"/>
  <c r="M1" i="39"/>
  <c r="L1" i="39"/>
  <c r="K1" i="39"/>
  <c r="J1" i="39"/>
  <c r="I1" i="39"/>
  <c r="H1" i="39"/>
  <c r="G1" i="39"/>
  <c r="F1" i="39"/>
  <c r="E1" i="39"/>
  <c r="D1" i="39"/>
  <c r="C1" i="39"/>
  <c r="M1" i="38"/>
  <c r="L1" i="38"/>
  <c r="K1" i="38"/>
  <c r="J1" i="38"/>
  <c r="I1" i="38"/>
  <c r="H1" i="38"/>
  <c r="G1" i="38"/>
  <c r="F1" i="38"/>
  <c r="E1" i="38"/>
  <c r="D1" i="38"/>
  <c r="C1" i="38"/>
  <c r="M1" i="37"/>
  <c r="L1" i="37"/>
  <c r="K1" i="37"/>
  <c r="J1" i="37"/>
  <c r="I1" i="37"/>
  <c r="H1" i="37"/>
  <c r="G1" i="37"/>
  <c r="F1" i="37"/>
  <c r="E1" i="37"/>
  <c r="D1" i="37"/>
  <c r="C1" i="37"/>
  <c r="M1" i="36"/>
  <c r="L1" i="36"/>
  <c r="K1" i="36"/>
  <c r="J1" i="36"/>
  <c r="I1" i="36"/>
  <c r="H1" i="36"/>
  <c r="G1" i="36"/>
  <c r="F1" i="36"/>
  <c r="E1" i="36"/>
  <c r="D1" i="36"/>
  <c r="C1" i="36"/>
  <c r="M1" i="35"/>
  <c r="L1" i="35"/>
  <c r="K1" i="35"/>
  <c r="J1" i="35"/>
  <c r="I1" i="35"/>
  <c r="H1" i="35"/>
  <c r="G1" i="35"/>
  <c r="F1" i="35"/>
  <c r="E1" i="35"/>
  <c r="D1" i="35"/>
  <c r="C1" i="35"/>
  <c r="M1" i="34"/>
  <c r="L1" i="34"/>
  <c r="K1" i="34"/>
  <c r="J1" i="34"/>
  <c r="I1" i="34"/>
  <c r="H1" i="34"/>
  <c r="G1" i="34"/>
  <c r="F1" i="34"/>
  <c r="E1" i="34"/>
  <c r="D1" i="34"/>
  <c r="C1" i="34"/>
  <c r="M1" i="33"/>
  <c r="L1" i="33"/>
  <c r="K1" i="33"/>
  <c r="J1" i="33"/>
  <c r="I1" i="33"/>
  <c r="H1" i="33"/>
  <c r="G1" i="33"/>
  <c r="F1" i="33"/>
  <c r="E1" i="33"/>
  <c r="D1" i="33"/>
  <c r="C1" i="33"/>
  <c r="M69" i="32"/>
  <c r="M60" i="32"/>
  <c r="M55" i="32"/>
  <c r="M50" i="32"/>
  <c r="M36" i="32"/>
  <c r="M28" i="32"/>
  <c r="M40" i="32"/>
  <c r="M45" i="32"/>
  <c r="M32" i="32"/>
  <c r="M24" i="32"/>
  <c r="M12" i="32"/>
  <c r="M1" i="32"/>
  <c r="L69" i="32"/>
  <c r="L60" i="32"/>
  <c r="L55" i="32"/>
  <c r="L50" i="32"/>
  <c r="L36" i="32"/>
  <c r="L28" i="32"/>
  <c r="L40" i="32"/>
  <c r="L45" i="32"/>
  <c r="L32" i="32"/>
  <c r="L24" i="32"/>
  <c r="L12" i="32"/>
  <c r="L1" i="32"/>
  <c r="K69" i="32"/>
  <c r="K60" i="32"/>
  <c r="K55" i="32"/>
  <c r="K50" i="32"/>
  <c r="K36" i="32"/>
  <c r="K28" i="32"/>
  <c r="K40" i="32"/>
  <c r="K45" i="32"/>
  <c r="K32" i="32"/>
  <c r="K24" i="32"/>
  <c r="K12" i="32"/>
  <c r="K1" i="32"/>
  <c r="J69" i="32"/>
  <c r="J60" i="32"/>
  <c r="J55" i="32"/>
  <c r="J50" i="32"/>
  <c r="J36" i="32"/>
  <c r="J28" i="32"/>
  <c r="J40" i="32"/>
  <c r="J45" i="32"/>
  <c r="J32" i="32"/>
  <c r="J24" i="32"/>
  <c r="J12" i="32"/>
  <c r="J1" i="32"/>
  <c r="I69" i="32"/>
  <c r="I60" i="32"/>
  <c r="I55" i="32"/>
  <c r="I50" i="32"/>
  <c r="I36" i="32"/>
  <c r="I28" i="32"/>
  <c r="I40" i="32"/>
  <c r="I45" i="32"/>
  <c r="I32" i="32"/>
  <c r="I24" i="32"/>
  <c r="I12" i="32"/>
  <c r="I1" i="32"/>
  <c r="H69" i="32"/>
  <c r="H60" i="32"/>
  <c r="H55" i="32"/>
  <c r="H50" i="32"/>
  <c r="H36" i="32"/>
  <c r="H28" i="32"/>
  <c r="H40" i="32"/>
  <c r="H45" i="32"/>
  <c r="H32" i="32"/>
  <c r="H24" i="32"/>
  <c r="H12" i="32"/>
  <c r="H1" i="32"/>
  <c r="G69" i="32"/>
  <c r="G60" i="32"/>
  <c r="G55" i="32"/>
  <c r="G50" i="32"/>
  <c r="G36" i="32"/>
  <c r="G28" i="32"/>
  <c r="G40" i="32"/>
  <c r="G45" i="32"/>
  <c r="G32" i="32"/>
  <c r="G24" i="32"/>
  <c r="G12" i="32"/>
  <c r="G1" i="32"/>
  <c r="F69" i="32"/>
  <c r="F60" i="32"/>
  <c r="F55" i="32"/>
  <c r="F50" i="32"/>
  <c r="F36" i="32"/>
  <c r="F28" i="32"/>
  <c r="F40" i="32"/>
  <c r="F45" i="32"/>
  <c r="F32" i="32"/>
  <c r="F24" i="32"/>
  <c r="F12" i="32"/>
  <c r="F1" i="32"/>
  <c r="E69" i="32"/>
  <c r="E60" i="32"/>
  <c r="E50" i="32"/>
  <c r="E28" i="32"/>
  <c r="E40" i="32"/>
  <c r="E45" i="32"/>
  <c r="E32" i="32"/>
  <c r="E24" i="32"/>
  <c r="E12" i="32"/>
  <c r="E1" i="32"/>
  <c r="D69" i="32"/>
  <c r="D60" i="32"/>
  <c r="D55" i="32"/>
  <c r="D50" i="32"/>
  <c r="D36" i="32"/>
  <c r="D28" i="32"/>
  <c r="D40" i="32"/>
  <c r="D45" i="32"/>
  <c r="D32" i="32"/>
  <c r="D24" i="32"/>
  <c r="D1" i="32"/>
  <c r="C69" i="32"/>
  <c r="C60" i="32"/>
  <c r="C50" i="32"/>
  <c r="C36" i="32"/>
  <c r="C28" i="32"/>
  <c r="C40" i="32"/>
  <c r="C45" i="32"/>
  <c r="C32" i="32"/>
  <c r="C24" i="32"/>
  <c r="C12" i="32"/>
  <c r="C1" i="32"/>
  <c r="M69" i="31"/>
  <c r="M60" i="31"/>
  <c r="M55" i="31"/>
  <c r="M50" i="31"/>
  <c r="M36" i="31"/>
  <c r="M28" i="31"/>
  <c r="M40" i="31"/>
  <c r="M45" i="31"/>
  <c r="M32" i="31"/>
  <c r="M24" i="31"/>
  <c r="M12" i="31"/>
  <c r="M1" i="31"/>
  <c r="L69" i="31"/>
  <c r="L60" i="31"/>
  <c r="L55" i="31"/>
  <c r="L50" i="31"/>
  <c r="L36" i="31"/>
  <c r="L28" i="31"/>
  <c r="L40" i="31"/>
  <c r="L45" i="31"/>
  <c r="L32" i="31"/>
  <c r="L24" i="31"/>
  <c r="L12" i="31"/>
  <c r="L1" i="31"/>
  <c r="K69" i="31"/>
  <c r="K60" i="31"/>
  <c r="K55" i="31"/>
  <c r="K50" i="31"/>
  <c r="K36" i="31"/>
  <c r="K28" i="31"/>
  <c r="K40" i="31"/>
  <c r="K45" i="31"/>
  <c r="K32" i="31"/>
  <c r="K24" i="31"/>
  <c r="K12" i="31"/>
  <c r="K1" i="31"/>
  <c r="J69" i="31"/>
  <c r="J60" i="31"/>
  <c r="J55" i="31"/>
  <c r="J50" i="31"/>
  <c r="J36" i="31"/>
  <c r="J28" i="31"/>
  <c r="J40" i="31"/>
  <c r="J45" i="31"/>
  <c r="J32" i="31"/>
  <c r="J24" i="31"/>
  <c r="J12" i="31"/>
  <c r="J1" i="31"/>
  <c r="I69" i="31"/>
  <c r="I60" i="31"/>
  <c r="I55" i="31"/>
  <c r="I50" i="31"/>
  <c r="I36" i="31"/>
  <c r="I28" i="31"/>
  <c r="I40" i="31"/>
  <c r="I45" i="31"/>
  <c r="I32" i="31"/>
  <c r="I24" i="31"/>
  <c r="I12" i="31"/>
  <c r="I1" i="31"/>
  <c r="H69" i="31"/>
  <c r="H60" i="31"/>
  <c r="H55" i="31"/>
  <c r="H50" i="31"/>
  <c r="H36" i="31"/>
  <c r="H28" i="31"/>
  <c r="H40" i="31"/>
  <c r="H45" i="31"/>
  <c r="H32" i="31"/>
  <c r="H24" i="31"/>
  <c r="H1" i="31"/>
  <c r="G69" i="31"/>
  <c r="G60" i="31"/>
  <c r="G55" i="31"/>
  <c r="G50" i="31"/>
  <c r="G36" i="31"/>
  <c r="G28" i="31"/>
  <c r="G40" i="31"/>
  <c r="G45" i="31"/>
  <c r="G32" i="31"/>
  <c r="G24" i="31"/>
  <c r="G12" i="31"/>
  <c r="G1" i="31"/>
  <c r="F69" i="31"/>
  <c r="F60" i="31"/>
  <c r="F55" i="31"/>
  <c r="F50" i="31"/>
  <c r="F36" i="31"/>
  <c r="F28" i="31"/>
  <c r="F40" i="31"/>
  <c r="F45" i="31"/>
  <c r="F32" i="31"/>
  <c r="F24" i="31"/>
  <c r="F12" i="31"/>
  <c r="F1" i="31"/>
  <c r="E69" i="31"/>
  <c r="E60" i="31"/>
  <c r="E55" i="31"/>
  <c r="E50" i="31"/>
  <c r="E36" i="31"/>
  <c r="E28" i="31"/>
  <c r="E40" i="31"/>
  <c r="E45" i="31"/>
  <c r="E32" i="31"/>
  <c r="E24" i="31"/>
  <c r="E12" i="31"/>
  <c r="E1" i="31"/>
  <c r="D69" i="31"/>
  <c r="D60" i="31"/>
  <c r="D55" i="31"/>
  <c r="D50" i="31"/>
  <c r="D36" i="31"/>
  <c r="D28" i="31"/>
  <c r="D40" i="31"/>
  <c r="D45" i="31"/>
  <c r="D32" i="31"/>
  <c r="D24" i="31"/>
  <c r="D12" i="31"/>
  <c r="D1" i="31"/>
  <c r="C69" i="31"/>
  <c r="C60" i="31"/>
  <c r="C50" i="31"/>
  <c r="C36" i="31"/>
  <c r="C28" i="31"/>
  <c r="C40" i="31"/>
  <c r="C45" i="31"/>
  <c r="C32" i="31"/>
  <c r="C24" i="31"/>
  <c r="C12" i="31"/>
  <c r="C1" i="31"/>
  <c r="M74" i="30"/>
  <c r="M65" i="30"/>
  <c r="M60" i="30"/>
  <c r="M50" i="30"/>
  <c r="M36" i="30"/>
  <c r="M28" i="30"/>
  <c r="M40" i="30"/>
  <c r="M45" i="30"/>
  <c r="M32" i="30"/>
  <c r="M24" i="30"/>
  <c r="M12" i="30"/>
  <c r="M1" i="30"/>
  <c r="L74" i="30"/>
  <c r="L65" i="30"/>
  <c r="L60" i="30"/>
  <c r="L50" i="30"/>
  <c r="L36" i="30"/>
  <c r="L28" i="30"/>
  <c r="L40" i="30"/>
  <c r="L45" i="30"/>
  <c r="L32" i="30"/>
  <c r="L24" i="30"/>
  <c r="L12" i="30"/>
  <c r="L1" i="30"/>
  <c r="K74" i="30"/>
  <c r="K65" i="30"/>
  <c r="K60" i="30"/>
  <c r="K50" i="30"/>
  <c r="K36" i="30"/>
  <c r="K28" i="30"/>
  <c r="K40" i="30"/>
  <c r="K45" i="30"/>
  <c r="K32" i="30"/>
  <c r="K24" i="30"/>
  <c r="K12" i="30"/>
  <c r="K1" i="30"/>
  <c r="J74" i="30"/>
  <c r="J65" i="30"/>
  <c r="J60" i="30"/>
  <c r="J50" i="30"/>
  <c r="J36" i="30"/>
  <c r="J28" i="30"/>
  <c r="J40" i="30"/>
  <c r="J45" i="30"/>
  <c r="J32" i="30"/>
  <c r="J24" i="30"/>
  <c r="J12" i="30"/>
  <c r="J1" i="30"/>
  <c r="I74" i="30"/>
  <c r="I65" i="30"/>
  <c r="I60" i="30"/>
  <c r="I50" i="30"/>
  <c r="I36" i="30"/>
  <c r="I28" i="30"/>
  <c r="I40" i="30"/>
  <c r="I45" i="30"/>
  <c r="I32" i="30"/>
  <c r="I24" i="30"/>
  <c r="I12" i="30"/>
  <c r="I1" i="30"/>
  <c r="H74" i="30"/>
  <c r="H65" i="30"/>
  <c r="H60" i="30"/>
  <c r="H50" i="30"/>
  <c r="H36" i="30"/>
  <c r="H28" i="30"/>
  <c r="H40" i="30"/>
  <c r="H45" i="30"/>
  <c r="H32" i="30"/>
  <c r="H24" i="30"/>
  <c r="H12" i="30"/>
  <c r="H1" i="30"/>
  <c r="G74" i="30"/>
  <c r="G65" i="30"/>
  <c r="G60" i="30"/>
  <c r="G50" i="30"/>
  <c r="G36" i="30"/>
  <c r="G28" i="30"/>
  <c r="G40" i="30"/>
  <c r="G45" i="30"/>
  <c r="G32" i="30"/>
  <c r="G24" i="30"/>
  <c r="G12" i="30"/>
  <c r="G1" i="30"/>
  <c r="F74" i="30"/>
  <c r="F65" i="30"/>
  <c r="F60" i="30"/>
  <c r="F50" i="30"/>
  <c r="F36" i="30"/>
  <c r="F28" i="30"/>
  <c r="F40" i="30"/>
  <c r="F45" i="30"/>
  <c r="F32" i="30"/>
  <c r="F12" i="30"/>
  <c r="F1" i="30"/>
  <c r="E74" i="30"/>
  <c r="E65" i="30"/>
  <c r="E60" i="30"/>
  <c r="E50" i="30"/>
  <c r="E36" i="30"/>
  <c r="E28" i="30"/>
  <c r="E40" i="30"/>
  <c r="E45" i="30"/>
  <c r="E32" i="30"/>
  <c r="E24" i="30"/>
  <c r="E12" i="30"/>
  <c r="E1" i="30"/>
  <c r="D74" i="30"/>
  <c r="D65" i="30"/>
  <c r="D50" i="30"/>
  <c r="D36" i="30"/>
  <c r="D28" i="30"/>
  <c r="D40" i="30"/>
  <c r="D45" i="30"/>
  <c r="D32" i="30"/>
  <c r="D24" i="30"/>
  <c r="D12" i="30"/>
  <c r="D1" i="30"/>
  <c r="C74" i="30"/>
  <c r="C65" i="30"/>
  <c r="C50" i="30"/>
  <c r="C36" i="30"/>
  <c r="C28" i="30"/>
  <c r="C40" i="30"/>
  <c r="C45" i="30"/>
  <c r="C32" i="30"/>
  <c r="C24" i="30"/>
  <c r="C12" i="30"/>
  <c r="C1" i="30"/>
  <c r="M70" i="29"/>
  <c r="M61" i="29"/>
  <c r="M56" i="29"/>
  <c r="M51" i="29"/>
  <c r="M37" i="29"/>
  <c r="M28" i="29"/>
  <c r="M41" i="29"/>
  <c r="M46" i="29"/>
  <c r="M33" i="29"/>
  <c r="M24" i="29"/>
  <c r="M12" i="29"/>
  <c r="M1" i="29"/>
  <c r="L70" i="29"/>
  <c r="L61" i="29"/>
  <c r="L56" i="29"/>
  <c r="L51" i="29"/>
  <c r="L37" i="29"/>
  <c r="L28" i="29"/>
  <c r="L41" i="29"/>
  <c r="L46" i="29"/>
  <c r="L33" i="29"/>
  <c r="L24" i="29"/>
  <c r="L12" i="29"/>
  <c r="L1" i="29"/>
  <c r="K70" i="29"/>
  <c r="K61" i="29"/>
  <c r="K56" i="29"/>
  <c r="K51" i="29"/>
  <c r="K37" i="29"/>
  <c r="K28" i="29"/>
  <c r="K41" i="29"/>
  <c r="K46" i="29"/>
  <c r="K33" i="29"/>
  <c r="K24" i="29"/>
  <c r="K12" i="29"/>
  <c r="K1" i="29"/>
  <c r="J70" i="29"/>
  <c r="J61" i="29"/>
  <c r="J56" i="29"/>
  <c r="J51" i="29"/>
  <c r="J37" i="29"/>
  <c r="J28" i="29"/>
  <c r="J41" i="29"/>
  <c r="J46" i="29"/>
  <c r="J33" i="29"/>
  <c r="J24" i="29"/>
  <c r="J12" i="29"/>
  <c r="J1" i="29"/>
  <c r="I70" i="29"/>
  <c r="I61" i="29"/>
  <c r="I56" i="29"/>
  <c r="I51" i="29"/>
  <c r="I37" i="29"/>
  <c r="I28" i="29"/>
  <c r="I41" i="29"/>
  <c r="I46" i="29"/>
  <c r="I33" i="29"/>
  <c r="I24" i="29"/>
  <c r="I12" i="29"/>
  <c r="I1" i="29"/>
  <c r="H70" i="29"/>
  <c r="H61" i="29"/>
  <c r="H56" i="29"/>
  <c r="H51" i="29"/>
  <c r="H37" i="29"/>
  <c r="H28" i="29"/>
  <c r="H41" i="29"/>
  <c r="H46" i="29"/>
  <c r="H33" i="29"/>
  <c r="H24" i="29"/>
  <c r="H12" i="29"/>
  <c r="H1" i="29"/>
  <c r="G70" i="29"/>
  <c r="G61" i="29"/>
  <c r="G56" i="29"/>
  <c r="G51" i="29"/>
  <c r="G37" i="29"/>
  <c r="G28" i="29"/>
  <c r="G41" i="29"/>
  <c r="G46" i="29"/>
  <c r="G33" i="29"/>
  <c r="G24" i="29"/>
  <c r="G12" i="29"/>
  <c r="G1" i="29"/>
  <c r="F70" i="29"/>
  <c r="F61" i="29"/>
  <c r="F56" i="29"/>
  <c r="F51" i="29"/>
  <c r="F37" i="29"/>
  <c r="F28" i="29"/>
  <c r="F41" i="29"/>
  <c r="F46" i="29"/>
  <c r="F33" i="29"/>
  <c r="F24" i="29"/>
  <c r="F12" i="29"/>
  <c r="F1" i="29"/>
  <c r="E70" i="29"/>
  <c r="E61" i="29"/>
  <c r="E56" i="29"/>
  <c r="E51" i="29"/>
  <c r="E37" i="29"/>
  <c r="E28" i="29"/>
  <c r="E41" i="29"/>
  <c r="E46" i="29"/>
  <c r="E33" i="29"/>
  <c r="E24" i="29"/>
  <c r="E12" i="29"/>
  <c r="E1" i="29"/>
  <c r="D70" i="29"/>
  <c r="D61" i="29"/>
  <c r="D56" i="29"/>
  <c r="D51" i="29"/>
  <c r="D37" i="29"/>
  <c r="D28" i="29"/>
  <c r="D41" i="29"/>
  <c r="D46" i="29"/>
  <c r="D33" i="29"/>
  <c r="D24" i="29"/>
  <c r="D12" i="29"/>
  <c r="D1" i="29"/>
  <c r="C70" i="29"/>
  <c r="C61" i="29"/>
  <c r="C51" i="29"/>
  <c r="C37" i="29"/>
  <c r="C28" i="29"/>
  <c r="C41" i="29"/>
  <c r="C46" i="29"/>
  <c r="C33" i="29"/>
  <c r="C24" i="29"/>
  <c r="C12" i="29"/>
  <c r="C1" i="29"/>
  <c r="M70" i="28"/>
  <c r="M61" i="28"/>
  <c r="M56" i="28"/>
  <c r="M51" i="28"/>
  <c r="M37" i="28"/>
  <c r="M28" i="28"/>
  <c r="M41" i="28"/>
  <c r="M46" i="28"/>
  <c r="M33" i="28"/>
  <c r="M24" i="28"/>
  <c r="M12" i="28"/>
  <c r="M1" i="28"/>
  <c r="L70" i="28"/>
  <c r="L61" i="28"/>
  <c r="L56" i="28"/>
  <c r="L51" i="28"/>
  <c r="L37" i="28"/>
  <c r="L28" i="28"/>
  <c r="L41" i="28"/>
  <c r="L46" i="28"/>
  <c r="L33" i="28"/>
  <c r="L24" i="28"/>
  <c r="L12" i="28"/>
  <c r="L1" i="28"/>
  <c r="K70" i="28"/>
  <c r="K61" i="28"/>
  <c r="K56" i="28"/>
  <c r="K51" i="28"/>
  <c r="K37" i="28"/>
  <c r="K28" i="28"/>
  <c r="K41" i="28"/>
  <c r="K46" i="28"/>
  <c r="K33" i="28"/>
  <c r="K24" i="28"/>
  <c r="K12" i="28"/>
  <c r="K1" i="28"/>
  <c r="J70" i="28"/>
  <c r="J61" i="28"/>
  <c r="J56" i="28"/>
  <c r="J51" i="28"/>
  <c r="J37" i="28"/>
  <c r="J28" i="28"/>
  <c r="J41" i="28"/>
  <c r="J46" i="28"/>
  <c r="J33" i="28"/>
  <c r="J24" i="28"/>
  <c r="J12" i="28"/>
  <c r="J1" i="28"/>
  <c r="I70" i="28"/>
  <c r="I61" i="28"/>
  <c r="I56" i="28"/>
  <c r="I51" i="28"/>
  <c r="I37" i="28"/>
  <c r="I28" i="28"/>
  <c r="I41" i="28"/>
  <c r="I46" i="28"/>
  <c r="I33" i="28"/>
  <c r="I24" i="28"/>
  <c r="I12" i="28"/>
  <c r="I1" i="28"/>
  <c r="H70" i="28"/>
  <c r="H61" i="28"/>
  <c r="H56" i="28"/>
  <c r="H51" i="28"/>
  <c r="H37" i="28"/>
  <c r="H28" i="28"/>
  <c r="H41" i="28"/>
  <c r="H46" i="28"/>
  <c r="H33" i="28"/>
  <c r="H24" i="28"/>
  <c r="H12" i="28"/>
  <c r="H1" i="28"/>
  <c r="G70" i="28"/>
  <c r="G61" i="28"/>
  <c r="G56" i="28"/>
  <c r="G51" i="28"/>
  <c r="G37" i="28"/>
  <c r="G28" i="28"/>
  <c r="G41" i="28"/>
  <c r="G46" i="28"/>
  <c r="G33" i="28"/>
  <c r="G24" i="28"/>
  <c r="G12" i="28"/>
  <c r="G1" i="28"/>
  <c r="F70" i="28"/>
  <c r="F61" i="28"/>
  <c r="F56" i="28"/>
  <c r="F51" i="28"/>
  <c r="F37" i="28"/>
  <c r="F28" i="28"/>
  <c r="F41" i="28"/>
  <c r="F46" i="28"/>
  <c r="F33" i="28"/>
  <c r="F24" i="28"/>
  <c r="F12" i="28"/>
  <c r="F1" i="28"/>
  <c r="E70" i="28"/>
  <c r="E61" i="28"/>
  <c r="E56" i="28"/>
  <c r="E51" i="28"/>
  <c r="E37" i="28"/>
  <c r="E28" i="28"/>
  <c r="E41" i="28"/>
  <c r="E46" i="28"/>
  <c r="E33" i="28"/>
  <c r="E24" i="28"/>
  <c r="E12" i="28"/>
  <c r="E1" i="28"/>
  <c r="D70" i="28"/>
  <c r="D61" i="28"/>
  <c r="D56" i="28"/>
  <c r="D51" i="28"/>
  <c r="D37" i="28"/>
  <c r="D28" i="28"/>
  <c r="D41" i="28"/>
  <c r="D46" i="28"/>
  <c r="D33" i="28"/>
  <c r="D24" i="28"/>
  <c r="D12" i="28"/>
  <c r="D1" i="28"/>
  <c r="C70" i="28"/>
  <c r="C61" i="28"/>
  <c r="C51" i="28"/>
  <c r="C37" i="28"/>
  <c r="C28" i="28"/>
  <c r="C41" i="28"/>
  <c r="C46" i="28"/>
  <c r="C33" i="28"/>
  <c r="C24" i="28"/>
  <c r="C12" i="28"/>
  <c r="C1" i="28"/>
  <c r="M75" i="27"/>
  <c r="M66" i="27"/>
  <c r="M61" i="27"/>
  <c r="M51" i="27"/>
  <c r="M37" i="27"/>
  <c r="M28" i="27"/>
  <c r="M41" i="27"/>
  <c r="M46" i="27"/>
  <c r="M33" i="27"/>
  <c r="M24" i="27"/>
  <c r="M12" i="27"/>
  <c r="M1" i="27"/>
  <c r="L75" i="27"/>
  <c r="L66" i="27"/>
  <c r="L61" i="27"/>
  <c r="L51" i="27"/>
  <c r="L37" i="27"/>
  <c r="L28" i="27"/>
  <c r="L41" i="27"/>
  <c r="L46" i="27"/>
  <c r="L33" i="27"/>
  <c r="L24" i="27"/>
  <c r="L12" i="27"/>
  <c r="L1" i="27"/>
  <c r="K75" i="27"/>
  <c r="K66" i="27"/>
  <c r="K61" i="27"/>
  <c r="K51" i="27"/>
  <c r="K37" i="27"/>
  <c r="K28" i="27"/>
  <c r="K41" i="27"/>
  <c r="K46" i="27"/>
  <c r="K33" i="27"/>
  <c r="K24" i="27"/>
  <c r="K12" i="27"/>
  <c r="K1" i="27"/>
  <c r="J75" i="27"/>
  <c r="J66" i="27"/>
  <c r="J61" i="27"/>
  <c r="J51" i="27"/>
  <c r="J37" i="27"/>
  <c r="J28" i="27"/>
  <c r="J41" i="27"/>
  <c r="J46" i="27"/>
  <c r="J33" i="27"/>
  <c r="J24" i="27"/>
  <c r="J12" i="27"/>
  <c r="J1" i="27"/>
  <c r="I75" i="27"/>
  <c r="I66" i="27"/>
  <c r="I61" i="27"/>
  <c r="I51" i="27"/>
  <c r="I37" i="27"/>
  <c r="I28" i="27"/>
  <c r="I41" i="27"/>
  <c r="I46" i="27"/>
  <c r="I33" i="27"/>
  <c r="I24" i="27"/>
  <c r="I12" i="27"/>
  <c r="I1" i="27"/>
  <c r="H75" i="27"/>
  <c r="H66" i="27"/>
  <c r="H61" i="27"/>
  <c r="H51" i="27"/>
  <c r="H37" i="27"/>
  <c r="H28" i="27"/>
  <c r="H41" i="27"/>
  <c r="H46" i="27"/>
  <c r="H33" i="27"/>
  <c r="H24" i="27"/>
  <c r="H12" i="27"/>
  <c r="H1" i="27"/>
  <c r="G75" i="27"/>
  <c r="G66" i="27"/>
  <c r="G61" i="27"/>
  <c r="G51" i="27"/>
  <c r="G37" i="27"/>
  <c r="G28" i="27"/>
  <c r="G41" i="27"/>
  <c r="G46" i="27"/>
  <c r="G33" i="27"/>
  <c r="G24" i="27"/>
  <c r="G12" i="27"/>
  <c r="G1" i="27"/>
  <c r="F75" i="27"/>
  <c r="F66" i="27"/>
  <c r="F61" i="27"/>
  <c r="F51" i="27"/>
  <c r="F37" i="27"/>
  <c r="F28" i="27"/>
  <c r="F41" i="27"/>
  <c r="F46" i="27"/>
  <c r="F33" i="27"/>
  <c r="F24" i="27"/>
  <c r="F12" i="27"/>
  <c r="F1" i="27"/>
  <c r="E75" i="27"/>
  <c r="E66" i="27"/>
  <c r="E61" i="27"/>
  <c r="E51" i="27"/>
  <c r="E37" i="27"/>
  <c r="E28" i="27"/>
  <c r="E41" i="27"/>
  <c r="E46" i="27"/>
  <c r="E33" i="27"/>
  <c r="E24" i="27"/>
  <c r="E12" i="27"/>
  <c r="E1" i="27"/>
  <c r="D75" i="27"/>
  <c r="D66" i="27"/>
  <c r="D61" i="27"/>
  <c r="D51" i="27"/>
  <c r="D37" i="27"/>
  <c r="D28" i="27"/>
  <c r="D41" i="27"/>
  <c r="D46" i="27"/>
  <c r="D33" i="27"/>
  <c r="D24" i="27"/>
  <c r="D12" i="27"/>
  <c r="D1" i="27"/>
  <c r="C75" i="27"/>
  <c r="C66" i="27"/>
  <c r="C51" i="27"/>
  <c r="C37" i="27"/>
  <c r="C28" i="27"/>
  <c r="C41" i="27"/>
  <c r="C46" i="27"/>
  <c r="C33" i="27"/>
  <c r="C24" i="27"/>
  <c r="C12" i="27"/>
  <c r="C1" i="27"/>
  <c r="M70" i="26"/>
  <c r="M61" i="26"/>
  <c r="M57" i="26"/>
  <c r="M52" i="26"/>
  <c r="M38" i="26"/>
  <c r="M30" i="26"/>
  <c r="M42" i="26"/>
  <c r="M47" i="26"/>
  <c r="M34" i="26"/>
  <c r="M26" i="26"/>
  <c r="M16" i="26"/>
  <c r="M11" i="26"/>
  <c r="L70" i="26"/>
  <c r="L61" i="26"/>
  <c r="L57" i="26"/>
  <c r="L52" i="26"/>
  <c r="L38" i="26"/>
  <c r="L30" i="26"/>
  <c r="L42" i="26"/>
  <c r="L47" i="26"/>
  <c r="L34" i="26"/>
  <c r="L26" i="26"/>
  <c r="L16" i="26"/>
  <c r="L11" i="26"/>
  <c r="K70" i="26"/>
  <c r="K61" i="26"/>
  <c r="K57" i="26"/>
  <c r="K52" i="26"/>
  <c r="K38" i="26"/>
  <c r="K30" i="26"/>
  <c r="K42" i="26"/>
  <c r="K47" i="26"/>
  <c r="K34" i="26"/>
  <c r="K26" i="26"/>
  <c r="K16" i="26"/>
  <c r="K11" i="26"/>
  <c r="J70" i="26"/>
  <c r="J61" i="26"/>
  <c r="J57" i="26"/>
  <c r="J52" i="26"/>
  <c r="J38" i="26"/>
  <c r="J30" i="26"/>
  <c r="J42" i="26"/>
  <c r="J47" i="26"/>
  <c r="J34" i="26"/>
  <c r="J26" i="26"/>
  <c r="J16" i="26"/>
  <c r="J11" i="26"/>
  <c r="I70" i="26"/>
  <c r="I61" i="26"/>
  <c r="I57" i="26"/>
  <c r="I52" i="26"/>
  <c r="I38" i="26"/>
  <c r="I30" i="26"/>
  <c r="I42" i="26"/>
  <c r="I47" i="26"/>
  <c r="I34" i="26"/>
  <c r="I26" i="26"/>
  <c r="I16" i="26"/>
  <c r="I11" i="26"/>
  <c r="H70" i="26"/>
  <c r="H61" i="26"/>
  <c r="H57" i="26"/>
  <c r="H52" i="26"/>
  <c r="H38" i="26"/>
  <c r="H30" i="26"/>
  <c r="H42" i="26"/>
  <c r="H47" i="26"/>
  <c r="H34" i="26"/>
  <c r="H26" i="26"/>
  <c r="H16" i="26"/>
  <c r="H11" i="26"/>
  <c r="G70" i="26"/>
  <c r="G61" i="26"/>
  <c r="G57" i="26"/>
  <c r="G52" i="26"/>
  <c r="G38" i="26"/>
  <c r="G30" i="26"/>
  <c r="G42" i="26"/>
  <c r="G47" i="26"/>
  <c r="G34" i="26"/>
  <c r="G26" i="26"/>
  <c r="G16" i="26"/>
  <c r="G11" i="26"/>
  <c r="F70" i="26"/>
  <c r="F61" i="26"/>
  <c r="F57" i="26"/>
  <c r="F52" i="26"/>
  <c r="F38" i="26"/>
  <c r="F30" i="26"/>
  <c r="F42" i="26"/>
  <c r="F47" i="26"/>
  <c r="F34" i="26"/>
  <c r="F26" i="26"/>
  <c r="F16" i="26"/>
  <c r="F11" i="26"/>
  <c r="E70" i="26"/>
  <c r="E61" i="26"/>
  <c r="E57" i="26"/>
  <c r="E52" i="26"/>
  <c r="E38" i="26"/>
  <c r="E30" i="26"/>
  <c r="E42" i="26"/>
  <c r="E47" i="26"/>
  <c r="E34" i="26"/>
  <c r="E26" i="26"/>
  <c r="E16" i="26"/>
  <c r="E11" i="26"/>
  <c r="D70" i="26"/>
  <c r="D61" i="26"/>
  <c r="D57" i="26"/>
  <c r="D52" i="26"/>
  <c r="D38" i="26"/>
  <c r="D30" i="26"/>
  <c r="D42" i="26"/>
  <c r="D47" i="26"/>
  <c r="D34" i="26"/>
  <c r="D26" i="26"/>
  <c r="D16" i="26"/>
  <c r="D11" i="26"/>
  <c r="C70" i="26"/>
  <c r="C61" i="26"/>
  <c r="C52" i="26"/>
  <c r="C38" i="26"/>
  <c r="C30" i="26"/>
  <c r="C42" i="26"/>
  <c r="C47" i="26"/>
  <c r="C34" i="26"/>
  <c r="C26" i="26"/>
  <c r="C16" i="26"/>
  <c r="C11" i="26"/>
  <c r="M70" i="25"/>
  <c r="M61" i="25"/>
  <c r="M57" i="25"/>
  <c r="M52" i="25"/>
  <c r="M38" i="25"/>
  <c r="M30" i="25"/>
  <c r="M42" i="25"/>
  <c r="M47" i="25"/>
  <c r="M34" i="25"/>
  <c r="M26" i="25"/>
  <c r="M16" i="25"/>
  <c r="M11" i="25"/>
  <c r="L70" i="25"/>
  <c r="L61" i="25"/>
  <c r="L57" i="25"/>
  <c r="L52" i="25"/>
  <c r="L38" i="25"/>
  <c r="L30" i="25"/>
  <c r="L42" i="25"/>
  <c r="L47" i="25"/>
  <c r="L34" i="25"/>
  <c r="L26" i="25"/>
  <c r="L16" i="25"/>
  <c r="L11" i="25"/>
  <c r="K70" i="25"/>
  <c r="K61" i="25"/>
  <c r="K57" i="25"/>
  <c r="K52" i="25"/>
  <c r="K38" i="25"/>
  <c r="K30" i="25"/>
  <c r="K42" i="25"/>
  <c r="K47" i="25"/>
  <c r="K34" i="25"/>
  <c r="K26" i="25"/>
  <c r="K16" i="25"/>
  <c r="K11" i="25"/>
  <c r="J70" i="25"/>
  <c r="J61" i="25"/>
  <c r="J57" i="25"/>
  <c r="J52" i="25"/>
  <c r="J38" i="25"/>
  <c r="J30" i="25"/>
  <c r="J42" i="25"/>
  <c r="J47" i="25"/>
  <c r="J34" i="25"/>
  <c r="J26" i="25"/>
  <c r="J16" i="25"/>
  <c r="J11" i="25"/>
  <c r="I70" i="25"/>
  <c r="I61" i="25"/>
  <c r="I57" i="25"/>
  <c r="I52" i="25"/>
  <c r="I38" i="25"/>
  <c r="I30" i="25"/>
  <c r="I42" i="25"/>
  <c r="I47" i="25"/>
  <c r="I34" i="25"/>
  <c r="I26" i="25"/>
  <c r="I16" i="25"/>
  <c r="I11" i="25"/>
  <c r="H70" i="25"/>
  <c r="H61" i="25"/>
  <c r="H57" i="25"/>
  <c r="H52" i="25"/>
  <c r="H38" i="25"/>
  <c r="H30" i="25"/>
  <c r="H42" i="25"/>
  <c r="H47" i="25"/>
  <c r="H34" i="25"/>
  <c r="H26" i="25"/>
  <c r="H16" i="25"/>
  <c r="H11" i="25"/>
  <c r="G70" i="25"/>
  <c r="G61" i="25"/>
  <c r="G57" i="25"/>
  <c r="G52" i="25"/>
  <c r="G38" i="25"/>
  <c r="G30" i="25"/>
  <c r="G42" i="25"/>
  <c r="G47" i="25"/>
  <c r="G34" i="25"/>
  <c r="G26" i="25"/>
  <c r="G16" i="25"/>
  <c r="G11" i="25"/>
  <c r="F70" i="25"/>
  <c r="F61" i="25"/>
  <c r="F57" i="25"/>
  <c r="F52" i="25"/>
  <c r="F38" i="25"/>
  <c r="F30" i="25"/>
  <c r="F42" i="25"/>
  <c r="F47" i="25"/>
  <c r="F34" i="25"/>
  <c r="F26" i="25"/>
  <c r="F16" i="25"/>
  <c r="F11" i="25"/>
  <c r="E70" i="25"/>
  <c r="E61" i="25"/>
  <c r="E57" i="25"/>
  <c r="E52" i="25"/>
  <c r="E38" i="25"/>
  <c r="E30" i="25"/>
  <c r="E42" i="25"/>
  <c r="E47" i="25"/>
  <c r="E34" i="25"/>
  <c r="E26" i="25"/>
  <c r="E16" i="25"/>
  <c r="E11" i="25"/>
  <c r="D70" i="25"/>
  <c r="D61" i="25"/>
  <c r="D57" i="25"/>
  <c r="D52" i="25"/>
  <c r="D38" i="25"/>
  <c r="D30" i="25"/>
  <c r="D42" i="25"/>
  <c r="D47" i="25"/>
  <c r="D34" i="25"/>
  <c r="D26" i="25"/>
  <c r="D16" i="25"/>
  <c r="D11" i="25"/>
  <c r="C70" i="25"/>
  <c r="C61" i="25"/>
  <c r="C52" i="25"/>
  <c r="C38" i="25"/>
  <c r="C30" i="25"/>
  <c r="C42" i="25"/>
  <c r="C47" i="25"/>
  <c r="C34" i="25"/>
  <c r="C26" i="25"/>
  <c r="C16" i="25"/>
  <c r="C11" i="25"/>
  <c r="M78" i="24"/>
  <c r="M69" i="24"/>
  <c r="M65" i="24"/>
  <c r="M52" i="24"/>
  <c r="M38" i="24"/>
  <c r="M30" i="24"/>
  <c r="M42" i="24"/>
  <c r="M47" i="24"/>
  <c r="M34" i="24"/>
  <c r="M26" i="24"/>
  <c r="M16" i="24"/>
  <c r="M11" i="24"/>
  <c r="L78" i="24"/>
  <c r="L69" i="24"/>
  <c r="L65" i="24"/>
  <c r="L52" i="24"/>
  <c r="L38" i="24"/>
  <c r="L30" i="24"/>
  <c r="L42" i="24"/>
  <c r="L47" i="24"/>
  <c r="L34" i="24"/>
  <c r="L26" i="24"/>
  <c r="L16" i="24"/>
  <c r="L11" i="24"/>
  <c r="K78" i="24"/>
  <c r="K69" i="24"/>
  <c r="K65" i="24"/>
  <c r="K52" i="24"/>
  <c r="K38" i="24"/>
  <c r="K30" i="24"/>
  <c r="K42" i="24"/>
  <c r="K47" i="24"/>
  <c r="K34" i="24"/>
  <c r="K26" i="24"/>
  <c r="K16" i="24"/>
  <c r="K11" i="24"/>
  <c r="J78" i="24"/>
  <c r="J69" i="24"/>
  <c r="J65" i="24"/>
  <c r="J52" i="24"/>
  <c r="J38" i="24"/>
  <c r="J30" i="24"/>
  <c r="J42" i="24"/>
  <c r="J47" i="24"/>
  <c r="J34" i="24"/>
  <c r="J26" i="24"/>
  <c r="J16" i="24"/>
  <c r="J11" i="24"/>
  <c r="I78" i="24"/>
  <c r="I69" i="24"/>
  <c r="I65" i="24"/>
  <c r="I52" i="24"/>
  <c r="I38" i="24"/>
  <c r="I30" i="24"/>
  <c r="I42" i="24"/>
  <c r="I47" i="24"/>
  <c r="I34" i="24"/>
  <c r="I26" i="24"/>
  <c r="I16" i="24"/>
  <c r="I11" i="24"/>
  <c r="H78" i="24"/>
  <c r="H69" i="24"/>
  <c r="H65" i="24"/>
  <c r="H52" i="24"/>
  <c r="H38" i="24"/>
  <c r="H30" i="24"/>
  <c r="H42" i="24"/>
  <c r="H47" i="24"/>
  <c r="H34" i="24"/>
  <c r="H26" i="24"/>
  <c r="H16" i="24"/>
  <c r="H11" i="24"/>
  <c r="G78" i="24"/>
  <c r="G69" i="24"/>
  <c r="G65" i="24"/>
  <c r="G52" i="24"/>
  <c r="G38" i="24"/>
  <c r="G30" i="24"/>
  <c r="G42" i="24"/>
  <c r="G47" i="24"/>
  <c r="G34" i="24"/>
  <c r="G26" i="24"/>
  <c r="G16" i="24"/>
  <c r="G11" i="24"/>
  <c r="F78" i="24"/>
  <c r="F69" i="24"/>
  <c r="F65" i="24"/>
  <c r="F52" i="24"/>
  <c r="F38" i="24"/>
  <c r="F30" i="24"/>
  <c r="F42" i="24"/>
  <c r="F47" i="24"/>
  <c r="F34" i="24"/>
  <c r="F26" i="24"/>
  <c r="F16" i="24"/>
  <c r="F11" i="24"/>
  <c r="E78" i="24"/>
  <c r="E69" i="24"/>
  <c r="E65" i="24"/>
  <c r="E52" i="24"/>
  <c r="E38" i="24"/>
  <c r="E30" i="24"/>
  <c r="E42" i="24"/>
  <c r="E47" i="24"/>
  <c r="E34" i="24"/>
  <c r="E26" i="24"/>
  <c r="E16" i="24"/>
  <c r="E11" i="24"/>
  <c r="D78" i="24"/>
  <c r="D69" i="24"/>
  <c r="D65" i="24"/>
  <c r="D52" i="24"/>
  <c r="D38" i="24"/>
  <c r="D30" i="24"/>
  <c r="D42" i="24"/>
  <c r="D47" i="24"/>
  <c r="D34" i="24"/>
  <c r="D26" i="24"/>
  <c r="D16" i="24"/>
  <c r="D11" i="24"/>
  <c r="C78" i="24"/>
  <c r="C69" i="24"/>
  <c r="C52" i="24"/>
  <c r="C38" i="24"/>
  <c r="C30" i="24"/>
  <c r="C42" i="24"/>
  <c r="C47" i="24"/>
  <c r="C34" i="24"/>
  <c r="C26" i="24"/>
  <c r="C16" i="24"/>
  <c r="C11" i="24"/>
  <c r="M70" i="23"/>
  <c r="M61" i="23"/>
  <c r="M57" i="23"/>
  <c r="M52" i="23"/>
  <c r="M38" i="23"/>
  <c r="M30" i="23"/>
  <c r="M42" i="23"/>
  <c r="M47" i="23"/>
  <c r="M34" i="23"/>
  <c r="M26" i="23"/>
  <c r="M16" i="23"/>
  <c r="M11" i="23"/>
  <c r="L70" i="23"/>
  <c r="L61" i="23"/>
  <c r="L57" i="23"/>
  <c r="L52" i="23"/>
  <c r="L38" i="23"/>
  <c r="L30" i="23"/>
  <c r="L42" i="23"/>
  <c r="L47" i="23"/>
  <c r="L34" i="23"/>
  <c r="L26" i="23"/>
  <c r="L16" i="23"/>
  <c r="L11" i="23"/>
  <c r="K70" i="23"/>
  <c r="K61" i="23"/>
  <c r="K57" i="23"/>
  <c r="K52" i="23"/>
  <c r="K38" i="23"/>
  <c r="K30" i="23"/>
  <c r="K42" i="23"/>
  <c r="K47" i="23"/>
  <c r="K34" i="23"/>
  <c r="K26" i="23"/>
  <c r="K16" i="23"/>
  <c r="K11" i="23"/>
  <c r="J70" i="23"/>
  <c r="J61" i="23"/>
  <c r="J57" i="23"/>
  <c r="J52" i="23"/>
  <c r="J38" i="23"/>
  <c r="J30" i="23"/>
  <c r="J42" i="23"/>
  <c r="J47" i="23"/>
  <c r="J34" i="23"/>
  <c r="J26" i="23"/>
  <c r="J16" i="23"/>
  <c r="J11" i="23"/>
  <c r="I70" i="23"/>
  <c r="I61" i="23"/>
  <c r="I57" i="23"/>
  <c r="I52" i="23"/>
  <c r="I38" i="23"/>
  <c r="I30" i="23"/>
  <c r="I42" i="23"/>
  <c r="I47" i="23"/>
  <c r="I34" i="23"/>
  <c r="I26" i="23"/>
  <c r="I16" i="23"/>
  <c r="I11" i="23"/>
  <c r="H70" i="23"/>
  <c r="H61" i="23"/>
  <c r="H57" i="23"/>
  <c r="H52" i="23"/>
  <c r="H38" i="23"/>
  <c r="H30" i="23"/>
  <c r="H42" i="23"/>
  <c r="H47" i="23"/>
  <c r="H34" i="23"/>
  <c r="H26" i="23"/>
  <c r="H16" i="23"/>
  <c r="H11" i="23"/>
  <c r="G70" i="23"/>
  <c r="G61" i="23"/>
  <c r="G57" i="23"/>
  <c r="G52" i="23"/>
  <c r="G38" i="23"/>
  <c r="G30" i="23"/>
  <c r="G42" i="23"/>
  <c r="G47" i="23"/>
  <c r="G34" i="23"/>
  <c r="G26" i="23"/>
  <c r="G16" i="23"/>
  <c r="G11" i="23"/>
  <c r="F70" i="23"/>
  <c r="F61" i="23"/>
  <c r="F57" i="23"/>
  <c r="F52" i="23"/>
  <c r="F38" i="23"/>
  <c r="F30" i="23"/>
  <c r="F42" i="23"/>
  <c r="F47" i="23"/>
  <c r="F34" i="23"/>
  <c r="F26" i="23"/>
  <c r="F16" i="23"/>
  <c r="F11" i="23"/>
  <c r="E70" i="23"/>
  <c r="E61" i="23"/>
  <c r="E57" i="23"/>
  <c r="E52" i="23"/>
  <c r="E38" i="23"/>
  <c r="E30" i="23"/>
  <c r="E42" i="23"/>
  <c r="E47" i="23"/>
  <c r="E34" i="23"/>
  <c r="E26" i="23"/>
  <c r="E16" i="23"/>
  <c r="E11" i="23"/>
  <c r="D70" i="23"/>
  <c r="D61" i="23"/>
  <c r="D57" i="23"/>
  <c r="D52" i="23"/>
  <c r="D38" i="23"/>
  <c r="D30" i="23"/>
  <c r="D42" i="23"/>
  <c r="D47" i="23"/>
  <c r="D34" i="23"/>
  <c r="D26" i="23"/>
  <c r="D16" i="23"/>
  <c r="D11" i="23"/>
  <c r="C70" i="23"/>
  <c r="C61" i="23"/>
  <c r="C52" i="23"/>
  <c r="C38" i="23"/>
  <c r="C30" i="23"/>
  <c r="C42" i="23"/>
  <c r="C47" i="23"/>
  <c r="C34" i="23"/>
  <c r="C26" i="23"/>
  <c r="C16" i="23"/>
  <c r="C11" i="23"/>
  <c r="M70" i="22"/>
  <c r="M61" i="22"/>
  <c r="M57" i="22"/>
  <c r="M52" i="22"/>
  <c r="M38" i="22"/>
  <c r="M30" i="22"/>
  <c r="M42" i="22"/>
  <c r="M47" i="22"/>
  <c r="M34" i="22"/>
  <c r="M26" i="22"/>
  <c r="M16" i="22"/>
  <c r="M11" i="22"/>
  <c r="L70" i="22"/>
  <c r="L61" i="22"/>
  <c r="L57" i="22"/>
  <c r="L52" i="22"/>
  <c r="L38" i="22"/>
  <c r="L30" i="22"/>
  <c r="L42" i="22"/>
  <c r="L47" i="22"/>
  <c r="L34" i="22"/>
  <c r="L26" i="22"/>
  <c r="L16" i="22"/>
  <c r="L11" i="22"/>
  <c r="K70" i="22"/>
  <c r="K61" i="22"/>
  <c r="K57" i="22"/>
  <c r="K52" i="22"/>
  <c r="K38" i="22"/>
  <c r="K30" i="22"/>
  <c r="K42" i="22"/>
  <c r="K47" i="22"/>
  <c r="K34" i="22"/>
  <c r="K26" i="22"/>
  <c r="K16" i="22"/>
  <c r="K11" i="22"/>
  <c r="J70" i="22"/>
  <c r="J61" i="22"/>
  <c r="J57" i="22"/>
  <c r="J52" i="22"/>
  <c r="J38" i="22"/>
  <c r="J30" i="22"/>
  <c r="J42" i="22"/>
  <c r="J47" i="22"/>
  <c r="J34" i="22"/>
  <c r="J26" i="22"/>
  <c r="J16" i="22"/>
  <c r="J11" i="22"/>
  <c r="I70" i="22"/>
  <c r="I61" i="22"/>
  <c r="I57" i="22"/>
  <c r="I52" i="22"/>
  <c r="I38" i="22"/>
  <c r="I30" i="22"/>
  <c r="I42" i="22"/>
  <c r="I47" i="22"/>
  <c r="I34" i="22"/>
  <c r="I26" i="22"/>
  <c r="I16" i="22"/>
  <c r="I11" i="22"/>
  <c r="H70" i="22"/>
  <c r="H61" i="22"/>
  <c r="H57" i="22"/>
  <c r="H52" i="22"/>
  <c r="H38" i="22"/>
  <c r="H30" i="22"/>
  <c r="H42" i="22"/>
  <c r="H47" i="22"/>
  <c r="H34" i="22"/>
  <c r="H26" i="22"/>
  <c r="H16" i="22"/>
  <c r="H11" i="22"/>
  <c r="G70" i="22"/>
  <c r="G61" i="22"/>
  <c r="G57" i="22"/>
  <c r="G52" i="22"/>
  <c r="G38" i="22"/>
  <c r="G30" i="22"/>
  <c r="G42" i="22"/>
  <c r="G47" i="22"/>
  <c r="G34" i="22"/>
  <c r="G26" i="22"/>
  <c r="G16" i="22"/>
  <c r="G11" i="22"/>
  <c r="F70" i="22"/>
  <c r="F61" i="22"/>
  <c r="F57" i="22"/>
  <c r="F52" i="22"/>
  <c r="F38" i="22"/>
  <c r="F30" i="22"/>
  <c r="F42" i="22"/>
  <c r="F47" i="22"/>
  <c r="F34" i="22"/>
  <c r="F26" i="22"/>
  <c r="F16" i="22"/>
  <c r="F11" i="22"/>
  <c r="E70" i="22"/>
  <c r="E61" i="22"/>
  <c r="E57" i="22"/>
  <c r="E52" i="22"/>
  <c r="E38" i="22"/>
  <c r="E30" i="22"/>
  <c r="E42" i="22"/>
  <c r="E47" i="22"/>
  <c r="E34" i="22"/>
  <c r="E26" i="22"/>
  <c r="E16" i="22"/>
  <c r="E11" i="22"/>
  <c r="D70" i="22"/>
  <c r="D61" i="22"/>
  <c r="D57" i="22"/>
  <c r="D52" i="22"/>
  <c r="D38" i="22"/>
  <c r="D30" i="22"/>
  <c r="D42" i="22"/>
  <c r="D47" i="22"/>
  <c r="D34" i="22"/>
  <c r="D26" i="22"/>
  <c r="D16" i="22"/>
  <c r="D11" i="22"/>
  <c r="C70" i="22"/>
  <c r="C61" i="22"/>
  <c r="C52" i="22"/>
  <c r="C38" i="22"/>
  <c r="C30" i="22"/>
  <c r="C42" i="22"/>
  <c r="C47" i="22"/>
  <c r="C34" i="22"/>
  <c r="C26" i="22"/>
  <c r="C16" i="22"/>
  <c r="C11" i="22"/>
  <c r="M78" i="21"/>
  <c r="M69" i="21"/>
  <c r="M65" i="21"/>
  <c r="M52" i="21"/>
  <c r="M38" i="21"/>
  <c r="M30" i="21"/>
  <c r="M42" i="21"/>
  <c r="M47" i="21"/>
  <c r="M34" i="21"/>
  <c r="M26" i="21"/>
  <c r="M16" i="21"/>
  <c r="M11" i="21"/>
  <c r="L78" i="21"/>
  <c r="L69" i="21"/>
  <c r="L65" i="21"/>
  <c r="L52" i="21"/>
  <c r="L38" i="21"/>
  <c r="L30" i="21"/>
  <c r="L42" i="21"/>
  <c r="L47" i="21"/>
  <c r="L34" i="21"/>
  <c r="L26" i="21"/>
  <c r="L16" i="21"/>
  <c r="L11" i="21"/>
  <c r="K78" i="21"/>
  <c r="K69" i="21"/>
  <c r="K65" i="21"/>
  <c r="K52" i="21"/>
  <c r="K38" i="21"/>
  <c r="K30" i="21"/>
  <c r="K42" i="21"/>
  <c r="K47" i="21"/>
  <c r="K34" i="21"/>
  <c r="K26" i="21"/>
  <c r="K16" i="21"/>
  <c r="K11" i="21"/>
  <c r="J78" i="21"/>
  <c r="J69" i="21"/>
  <c r="J65" i="21"/>
  <c r="J52" i="21"/>
  <c r="J38" i="21"/>
  <c r="J30" i="21"/>
  <c r="J42" i="21"/>
  <c r="J47" i="21"/>
  <c r="J34" i="21"/>
  <c r="J26" i="21"/>
  <c r="J16" i="21"/>
  <c r="J11" i="21"/>
  <c r="I78" i="21"/>
  <c r="I69" i="21"/>
  <c r="I65" i="21"/>
  <c r="I52" i="21"/>
  <c r="I38" i="21"/>
  <c r="I30" i="21"/>
  <c r="I42" i="21"/>
  <c r="I47" i="21"/>
  <c r="I34" i="21"/>
  <c r="I26" i="21"/>
  <c r="I16" i="21"/>
  <c r="I11" i="21"/>
  <c r="H78" i="21"/>
  <c r="H69" i="21"/>
  <c r="H65" i="21"/>
  <c r="H52" i="21"/>
  <c r="H38" i="21"/>
  <c r="H30" i="21"/>
  <c r="H42" i="21"/>
  <c r="H47" i="21"/>
  <c r="H34" i="21"/>
  <c r="H26" i="21"/>
  <c r="H16" i="21"/>
  <c r="H11" i="21"/>
  <c r="G78" i="21"/>
  <c r="G69" i="21"/>
  <c r="G65" i="21"/>
  <c r="G52" i="21"/>
  <c r="G38" i="21"/>
  <c r="G30" i="21"/>
  <c r="G42" i="21"/>
  <c r="G47" i="21"/>
  <c r="G34" i="21"/>
  <c r="G26" i="21"/>
  <c r="G16" i="21"/>
  <c r="G11" i="21"/>
  <c r="F78" i="21"/>
  <c r="F69" i="21"/>
  <c r="F65" i="21"/>
  <c r="F52" i="21"/>
  <c r="F38" i="21"/>
  <c r="F30" i="21"/>
  <c r="F42" i="21"/>
  <c r="F47" i="21"/>
  <c r="F34" i="21"/>
  <c r="F26" i="21"/>
  <c r="F16" i="21"/>
  <c r="F11" i="21"/>
  <c r="E78" i="21"/>
  <c r="E69" i="21"/>
  <c r="E65" i="21"/>
  <c r="E52" i="21"/>
  <c r="E38" i="21"/>
  <c r="E30" i="21"/>
  <c r="E42" i="21"/>
  <c r="E47" i="21"/>
  <c r="E34" i="21"/>
  <c r="E26" i="21"/>
  <c r="E16" i="21"/>
  <c r="E11" i="21"/>
  <c r="D78" i="21"/>
  <c r="D69" i="21"/>
  <c r="D65" i="21"/>
  <c r="D52" i="21"/>
  <c r="D38" i="21"/>
  <c r="D30" i="21"/>
  <c r="D42" i="21"/>
  <c r="D47" i="21"/>
  <c r="D34" i="21"/>
  <c r="D26" i="21"/>
  <c r="D16" i="21"/>
  <c r="D11" i="21"/>
  <c r="C78" i="21"/>
  <c r="C69" i="21"/>
  <c r="C52" i="21"/>
  <c r="C38" i="21"/>
  <c r="C30" i="21"/>
  <c r="C42" i="21"/>
  <c r="C47" i="21"/>
  <c r="C34" i="21"/>
  <c r="C26" i="21"/>
  <c r="C16" i="21"/>
  <c r="C11" i="21"/>
  <c r="M70" i="20"/>
  <c r="M61" i="20"/>
  <c r="M57" i="20"/>
  <c r="M52" i="20"/>
  <c r="M38" i="20"/>
  <c r="M30" i="20"/>
  <c r="M42" i="20"/>
  <c r="M47" i="20"/>
  <c r="M34" i="20"/>
  <c r="M26" i="20"/>
  <c r="M16" i="20"/>
  <c r="M11" i="20"/>
  <c r="L70" i="20"/>
  <c r="L61" i="20"/>
  <c r="L57" i="20"/>
  <c r="L52" i="20"/>
  <c r="L38" i="20"/>
  <c r="L30" i="20"/>
  <c r="L42" i="20"/>
  <c r="L47" i="20"/>
  <c r="L34" i="20"/>
  <c r="L26" i="20"/>
  <c r="L16" i="20"/>
  <c r="L11" i="20"/>
  <c r="K70" i="20"/>
  <c r="K61" i="20"/>
  <c r="K57" i="20"/>
  <c r="K52" i="20"/>
  <c r="K38" i="20"/>
  <c r="K30" i="20"/>
  <c r="K42" i="20"/>
  <c r="K47" i="20"/>
  <c r="K34" i="20"/>
  <c r="K26" i="20"/>
  <c r="K16" i="20"/>
  <c r="K11" i="20"/>
  <c r="J70" i="20"/>
  <c r="J61" i="20"/>
  <c r="J57" i="20"/>
  <c r="J52" i="20"/>
  <c r="J38" i="20"/>
  <c r="J30" i="20"/>
  <c r="J42" i="20"/>
  <c r="J47" i="20"/>
  <c r="J34" i="20"/>
  <c r="J26" i="20"/>
  <c r="J16" i="20"/>
  <c r="J11" i="20"/>
  <c r="I70" i="20"/>
  <c r="I61" i="20"/>
  <c r="I57" i="20"/>
  <c r="I52" i="20"/>
  <c r="I38" i="20"/>
  <c r="I30" i="20"/>
  <c r="I42" i="20"/>
  <c r="I47" i="20"/>
  <c r="I34" i="20"/>
  <c r="I26" i="20"/>
  <c r="I16" i="20"/>
  <c r="I11" i="20"/>
  <c r="H70" i="20"/>
  <c r="H61" i="20"/>
  <c r="H57" i="20"/>
  <c r="H52" i="20"/>
  <c r="H38" i="20"/>
  <c r="H30" i="20"/>
  <c r="H42" i="20"/>
  <c r="H47" i="20"/>
  <c r="H34" i="20"/>
  <c r="H26" i="20"/>
  <c r="H16" i="20"/>
  <c r="H11" i="20"/>
  <c r="G70" i="20"/>
  <c r="G61" i="20"/>
  <c r="G57" i="20"/>
  <c r="G52" i="20"/>
  <c r="G38" i="20"/>
  <c r="G30" i="20"/>
  <c r="G42" i="20"/>
  <c r="G47" i="20"/>
  <c r="G34" i="20"/>
  <c r="G26" i="20"/>
  <c r="G16" i="20"/>
  <c r="G11" i="20"/>
  <c r="F70" i="20"/>
  <c r="F61" i="20"/>
  <c r="F57" i="20"/>
  <c r="F52" i="20"/>
  <c r="F38" i="20"/>
  <c r="F30" i="20"/>
  <c r="F42" i="20"/>
  <c r="F47" i="20"/>
  <c r="F34" i="20"/>
  <c r="F26" i="20"/>
  <c r="F16" i="20"/>
  <c r="F11" i="20"/>
  <c r="E70" i="20"/>
  <c r="E61" i="20"/>
  <c r="E57" i="20"/>
  <c r="E52" i="20"/>
  <c r="E38" i="20"/>
  <c r="E30" i="20"/>
  <c r="E42" i="20"/>
  <c r="E47" i="20"/>
  <c r="E34" i="20"/>
  <c r="E26" i="20"/>
  <c r="E16" i="20"/>
  <c r="E11" i="20"/>
  <c r="D70" i="20"/>
  <c r="D61" i="20"/>
  <c r="D57" i="20"/>
  <c r="D52" i="20"/>
  <c r="D38" i="20"/>
  <c r="D30" i="20"/>
  <c r="D42" i="20"/>
  <c r="D47" i="20"/>
  <c r="D34" i="20"/>
  <c r="D26" i="20"/>
  <c r="D16" i="20"/>
  <c r="D11" i="20"/>
  <c r="C70" i="20"/>
  <c r="C61" i="20"/>
  <c r="C52" i="20"/>
  <c r="C38" i="20"/>
  <c r="C30" i="20"/>
  <c r="C42" i="20"/>
  <c r="C47" i="20"/>
  <c r="C34" i="20"/>
  <c r="C26" i="20"/>
  <c r="C16" i="20"/>
  <c r="C11" i="20"/>
  <c r="M70" i="19"/>
  <c r="M61" i="19"/>
  <c r="M57" i="19"/>
  <c r="M52" i="19"/>
  <c r="M38" i="19"/>
  <c r="M30" i="19"/>
  <c r="M42" i="19"/>
  <c r="M47" i="19"/>
  <c r="M34" i="19"/>
  <c r="M26" i="19"/>
  <c r="M16" i="19"/>
  <c r="M11" i="19"/>
  <c r="L70" i="19"/>
  <c r="L61" i="19"/>
  <c r="L57" i="19"/>
  <c r="L52" i="19"/>
  <c r="L38" i="19"/>
  <c r="L30" i="19"/>
  <c r="L42" i="19"/>
  <c r="L47" i="19"/>
  <c r="L34" i="19"/>
  <c r="L26" i="19"/>
  <c r="L16" i="19"/>
  <c r="L11" i="19"/>
  <c r="K70" i="19"/>
  <c r="K61" i="19"/>
  <c r="K57" i="19"/>
  <c r="K52" i="19"/>
  <c r="K38" i="19"/>
  <c r="K30" i="19"/>
  <c r="K42" i="19"/>
  <c r="K47" i="19"/>
  <c r="K34" i="19"/>
  <c r="K26" i="19"/>
  <c r="K16" i="19"/>
  <c r="K11" i="19"/>
  <c r="J70" i="19"/>
  <c r="J61" i="19"/>
  <c r="J57" i="19"/>
  <c r="J52" i="19"/>
  <c r="J38" i="19"/>
  <c r="J30" i="19"/>
  <c r="J42" i="19"/>
  <c r="J47" i="19"/>
  <c r="J34" i="19"/>
  <c r="J26" i="19"/>
  <c r="J16" i="19"/>
  <c r="J11" i="19"/>
  <c r="I70" i="19"/>
  <c r="I61" i="19"/>
  <c r="I57" i="19"/>
  <c r="I52" i="19"/>
  <c r="I38" i="19"/>
  <c r="I30" i="19"/>
  <c r="I42" i="19"/>
  <c r="I47" i="19"/>
  <c r="I34" i="19"/>
  <c r="I26" i="19"/>
  <c r="I16" i="19"/>
  <c r="I11" i="19"/>
  <c r="H70" i="19"/>
  <c r="H61" i="19"/>
  <c r="H57" i="19"/>
  <c r="H52" i="19"/>
  <c r="H38" i="19"/>
  <c r="H30" i="19"/>
  <c r="H42" i="19"/>
  <c r="H47" i="19"/>
  <c r="H34" i="19"/>
  <c r="H26" i="19"/>
  <c r="H16" i="19"/>
  <c r="H11" i="19"/>
  <c r="G70" i="19"/>
  <c r="G61" i="19"/>
  <c r="G57" i="19"/>
  <c r="G52" i="19"/>
  <c r="G38" i="19"/>
  <c r="G30" i="19"/>
  <c r="G42" i="19"/>
  <c r="G47" i="19"/>
  <c r="G34" i="19"/>
  <c r="G26" i="19"/>
  <c r="G16" i="19"/>
  <c r="G11" i="19"/>
  <c r="F70" i="19"/>
  <c r="F61" i="19"/>
  <c r="F57" i="19"/>
  <c r="F52" i="19"/>
  <c r="F38" i="19"/>
  <c r="F30" i="19"/>
  <c r="F42" i="19"/>
  <c r="F47" i="19"/>
  <c r="F34" i="19"/>
  <c r="F26" i="19"/>
  <c r="F16" i="19"/>
  <c r="F11" i="19"/>
  <c r="E70" i="19"/>
  <c r="E61" i="19"/>
  <c r="E57" i="19"/>
  <c r="E52" i="19"/>
  <c r="E38" i="19"/>
  <c r="E30" i="19"/>
  <c r="E42" i="19"/>
  <c r="E47" i="19"/>
  <c r="E34" i="19"/>
  <c r="E26" i="19"/>
  <c r="E16" i="19"/>
  <c r="E11" i="19"/>
  <c r="D70" i="19"/>
  <c r="D61" i="19"/>
  <c r="D57" i="19"/>
  <c r="D52" i="19"/>
  <c r="D38" i="19"/>
  <c r="D30" i="19"/>
  <c r="D42" i="19"/>
  <c r="D47" i="19"/>
  <c r="D34" i="19"/>
  <c r="D26" i="19"/>
  <c r="D16" i="19"/>
  <c r="D11" i="19"/>
  <c r="C70" i="19"/>
  <c r="C61" i="19"/>
  <c r="C52" i="19"/>
  <c r="C38" i="19"/>
  <c r="C30" i="19"/>
  <c r="C42" i="19"/>
  <c r="C47" i="19"/>
  <c r="C34" i="19"/>
  <c r="C26" i="19"/>
  <c r="C16" i="19"/>
  <c r="C11" i="19"/>
  <c r="M78" i="18"/>
  <c r="M69" i="18"/>
  <c r="M65" i="18"/>
  <c r="M52" i="18"/>
  <c r="M38" i="18"/>
  <c r="M30" i="18"/>
  <c r="M42" i="18"/>
  <c r="M47" i="18"/>
  <c r="M34" i="18"/>
  <c r="M26" i="18"/>
  <c r="M16" i="18"/>
  <c r="M11" i="18"/>
  <c r="L78" i="18"/>
  <c r="L69" i="18"/>
  <c r="L65" i="18"/>
  <c r="L52" i="18"/>
  <c r="L38" i="18"/>
  <c r="L30" i="18"/>
  <c r="L42" i="18"/>
  <c r="L47" i="18"/>
  <c r="L34" i="18"/>
  <c r="L26" i="18"/>
  <c r="L16" i="18"/>
  <c r="L11" i="18"/>
  <c r="K78" i="18"/>
  <c r="K69" i="18"/>
  <c r="K65" i="18"/>
  <c r="K52" i="18"/>
  <c r="K38" i="18"/>
  <c r="K30" i="18"/>
  <c r="K42" i="18"/>
  <c r="K47" i="18"/>
  <c r="K34" i="18"/>
  <c r="K26" i="18"/>
  <c r="K16" i="18"/>
  <c r="K11" i="18"/>
  <c r="J78" i="18"/>
  <c r="J69" i="18"/>
  <c r="J65" i="18"/>
  <c r="J52" i="18"/>
  <c r="J38" i="18"/>
  <c r="J30" i="18"/>
  <c r="J42" i="18"/>
  <c r="J47" i="18"/>
  <c r="J34" i="18"/>
  <c r="J26" i="18"/>
  <c r="J16" i="18"/>
  <c r="J11" i="18"/>
  <c r="I78" i="18"/>
  <c r="I69" i="18"/>
  <c r="I65" i="18"/>
  <c r="I52" i="18"/>
  <c r="I38" i="18"/>
  <c r="I30" i="18"/>
  <c r="I42" i="18"/>
  <c r="I47" i="18"/>
  <c r="I34" i="18"/>
  <c r="I26" i="18"/>
  <c r="I16" i="18"/>
  <c r="I11" i="18"/>
  <c r="H78" i="18"/>
  <c r="H69" i="18"/>
  <c r="H65" i="18"/>
  <c r="H52" i="18"/>
  <c r="H38" i="18"/>
  <c r="H30" i="18"/>
  <c r="H42" i="18"/>
  <c r="H47" i="18"/>
  <c r="H34" i="18"/>
  <c r="H26" i="18"/>
  <c r="H16" i="18"/>
  <c r="H11" i="18"/>
  <c r="G78" i="18"/>
  <c r="G69" i="18"/>
  <c r="G65" i="18"/>
  <c r="G52" i="18"/>
  <c r="G38" i="18"/>
  <c r="G30" i="18"/>
  <c r="G42" i="18"/>
  <c r="G47" i="18"/>
  <c r="G34" i="18"/>
  <c r="G26" i="18"/>
  <c r="G16" i="18"/>
  <c r="G11" i="18"/>
  <c r="F78" i="18"/>
  <c r="F69" i="18"/>
  <c r="F65" i="18"/>
  <c r="F52" i="18"/>
  <c r="F38" i="18"/>
  <c r="F30" i="18"/>
  <c r="F42" i="18"/>
  <c r="F47" i="18"/>
  <c r="F34" i="18"/>
  <c r="F26" i="18"/>
  <c r="F16" i="18"/>
  <c r="F11" i="18"/>
  <c r="E78" i="18"/>
  <c r="E69" i="18"/>
  <c r="E65" i="18"/>
  <c r="E52" i="18"/>
  <c r="E38" i="18"/>
  <c r="E30" i="18"/>
  <c r="E42" i="18"/>
  <c r="E47" i="18"/>
  <c r="E34" i="18"/>
  <c r="E26" i="18"/>
  <c r="E16" i="18"/>
  <c r="E11" i="18"/>
  <c r="D78" i="18"/>
  <c r="D69" i="18"/>
  <c r="D65" i="18"/>
  <c r="D52" i="18"/>
  <c r="D38" i="18"/>
  <c r="D30" i="18"/>
  <c r="D42" i="18"/>
  <c r="D47" i="18"/>
  <c r="D34" i="18"/>
  <c r="D26" i="18"/>
  <c r="D16" i="18"/>
  <c r="D11" i="18"/>
  <c r="C78" i="18"/>
  <c r="C69" i="18"/>
  <c r="C52" i="18"/>
  <c r="C38" i="18"/>
  <c r="C30" i="18"/>
  <c r="C42" i="18"/>
  <c r="C47" i="18"/>
  <c r="C34" i="18"/>
  <c r="C26" i="18"/>
  <c r="C16" i="18"/>
  <c r="C11" i="18"/>
  <c r="M70" i="17"/>
  <c r="M61" i="17"/>
  <c r="M57" i="17"/>
  <c r="M52" i="17"/>
  <c r="M38" i="17"/>
  <c r="M30" i="17"/>
  <c r="M42" i="17"/>
  <c r="M47" i="17"/>
  <c r="M34" i="17"/>
  <c r="M26" i="17"/>
  <c r="M16" i="17"/>
  <c r="M11" i="17"/>
  <c r="L70" i="17"/>
  <c r="L61" i="17"/>
  <c r="L57" i="17"/>
  <c r="L52" i="17"/>
  <c r="L38" i="17"/>
  <c r="L30" i="17"/>
  <c r="L42" i="17"/>
  <c r="L47" i="17"/>
  <c r="L34" i="17"/>
  <c r="L26" i="17"/>
  <c r="L16" i="17"/>
  <c r="L11" i="17"/>
  <c r="K70" i="17"/>
  <c r="K61" i="17"/>
  <c r="K57" i="17"/>
  <c r="K52" i="17"/>
  <c r="K38" i="17"/>
  <c r="K30" i="17"/>
  <c r="K42" i="17"/>
  <c r="K47" i="17"/>
  <c r="K34" i="17"/>
  <c r="K26" i="17"/>
  <c r="K16" i="17"/>
  <c r="K11" i="17"/>
  <c r="J70" i="17"/>
  <c r="J61" i="17"/>
  <c r="J57" i="17"/>
  <c r="J52" i="17"/>
  <c r="J38" i="17"/>
  <c r="J30" i="17"/>
  <c r="J42" i="17"/>
  <c r="J47" i="17"/>
  <c r="J34" i="17"/>
  <c r="J26" i="17"/>
  <c r="J16" i="17"/>
  <c r="J11" i="17"/>
  <c r="I70" i="17"/>
  <c r="I61" i="17"/>
  <c r="I57" i="17"/>
  <c r="I52" i="17"/>
  <c r="I38" i="17"/>
  <c r="I30" i="17"/>
  <c r="I42" i="17"/>
  <c r="I47" i="17"/>
  <c r="I34" i="17"/>
  <c r="I26" i="17"/>
  <c r="I16" i="17"/>
  <c r="I11" i="17"/>
  <c r="H70" i="17"/>
  <c r="H61" i="17"/>
  <c r="H57" i="17"/>
  <c r="H52" i="17"/>
  <c r="H38" i="17"/>
  <c r="H30" i="17"/>
  <c r="H42" i="17"/>
  <c r="H47" i="17"/>
  <c r="H34" i="17"/>
  <c r="H26" i="17"/>
  <c r="H16" i="17"/>
  <c r="H11" i="17"/>
  <c r="G70" i="17"/>
  <c r="G61" i="17"/>
  <c r="G57" i="17"/>
  <c r="G52" i="17"/>
  <c r="G38" i="17"/>
  <c r="G30" i="17"/>
  <c r="G42" i="17"/>
  <c r="G47" i="17"/>
  <c r="G34" i="17"/>
  <c r="G26" i="17"/>
  <c r="G16" i="17"/>
  <c r="G11" i="17"/>
  <c r="F70" i="17"/>
  <c r="F61" i="17"/>
  <c r="F57" i="17"/>
  <c r="F52" i="17"/>
  <c r="F38" i="17"/>
  <c r="F30" i="17"/>
  <c r="F42" i="17"/>
  <c r="F47" i="17"/>
  <c r="F34" i="17"/>
  <c r="F26" i="17"/>
  <c r="F16" i="17"/>
  <c r="F11" i="17"/>
  <c r="E70" i="17"/>
  <c r="E61" i="17"/>
  <c r="E57" i="17"/>
  <c r="E52" i="17"/>
  <c r="E38" i="17"/>
  <c r="E30" i="17"/>
  <c r="E42" i="17"/>
  <c r="E47" i="17"/>
  <c r="E34" i="17"/>
  <c r="E26" i="17"/>
  <c r="E16" i="17"/>
  <c r="E11" i="17"/>
  <c r="D70" i="17"/>
  <c r="D61" i="17"/>
  <c r="D57" i="17"/>
  <c r="D52" i="17"/>
  <c r="D38" i="17"/>
  <c r="D30" i="17"/>
  <c r="D42" i="17"/>
  <c r="D47" i="17"/>
  <c r="D34" i="17"/>
  <c r="D26" i="17"/>
  <c r="D16" i="17"/>
  <c r="D11" i="17"/>
  <c r="C70" i="17"/>
  <c r="C61" i="17"/>
  <c r="C52" i="17"/>
  <c r="C38" i="17"/>
  <c r="C30" i="17"/>
  <c r="C42" i="17"/>
  <c r="C47" i="17"/>
  <c r="C34" i="17"/>
  <c r="C26" i="17"/>
  <c r="C16" i="17"/>
  <c r="C11" i="17"/>
  <c r="M70" i="16"/>
  <c r="M61" i="16"/>
  <c r="M57" i="16"/>
  <c r="M52" i="16"/>
  <c r="M38" i="16"/>
  <c r="M30" i="16"/>
  <c r="M42" i="16"/>
  <c r="M47" i="16"/>
  <c r="M34" i="16"/>
  <c r="M26" i="16"/>
  <c r="M16" i="16"/>
  <c r="M11" i="16"/>
  <c r="L70" i="16"/>
  <c r="L61" i="16"/>
  <c r="L57" i="16"/>
  <c r="L52" i="16"/>
  <c r="L38" i="16"/>
  <c r="L30" i="16"/>
  <c r="L42" i="16"/>
  <c r="L47" i="16"/>
  <c r="L34" i="16"/>
  <c r="L26" i="16"/>
  <c r="L16" i="16"/>
  <c r="L11" i="16"/>
  <c r="K70" i="16"/>
  <c r="K61" i="16"/>
  <c r="K57" i="16"/>
  <c r="K52" i="16"/>
  <c r="K38" i="16"/>
  <c r="K30" i="16"/>
  <c r="K42" i="16"/>
  <c r="K47" i="16"/>
  <c r="K34" i="16"/>
  <c r="K26" i="16"/>
  <c r="K16" i="16"/>
  <c r="K11" i="16"/>
  <c r="J70" i="16"/>
  <c r="J61" i="16"/>
  <c r="J57" i="16"/>
  <c r="J52" i="16"/>
  <c r="J38" i="16"/>
  <c r="J30" i="16"/>
  <c r="J42" i="16"/>
  <c r="J47" i="16"/>
  <c r="J34" i="16"/>
  <c r="J26" i="16"/>
  <c r="J16" i="16"/>
  <c r="J11" i="16"/>
  <c r="I70" i="16"/>
  <c r="I61" i="16"/>
  <c r="I57" i="16"/>
  <c r="I52" i="16"/>
  <c r="I38" i="16"/>
  <c r="I30" i="16"/>
  <c r="I42" i="16"/>
  <c r="I47" i="16"/>
  <c r="I34" i="16"/>
  <c r="I26" i="16"/>
  <c r="I16" i="16"/>
  <c r="I11" i="16"/>
  <c r="H70" i="16"/>
  <c r="H61" i="16"/>
  <c r="H57" i="16"/>
  <c r="H52" i="16"/>
  <c r="H38" i="16"/>
  <c r="H30" i="16"/>
  <c r="H42" i="16"/>
  <c r="H47" i="16"/>
  <c r="H34" i="16"/>
  <c r="H26" i="16"/>
  <c r="H16" i="16"/>
  <c r="H11" i="16"/>
  <c r="G70" i="16"/>
  <c r="G61" i="16"/>
  <c r="G57" i="16"/>
  <c r="G52" i="16"/>
  <c r="G38" i="16"/>
  <c r="G30" i="16"/>
  <c r="G42" i="16"/>
  <c r="G47" i="16"/>
  <c r="G34" i="16"/>
  <c r="G26" i="16"/>
  <c r="G16" i="16"/>
  <c r="G11" i="16"/>
  <c r="F70" i="16"/>
  <c r="F61" i="16"/>
  <c r="F57" i="16"/>
  <c r="F52" i="16"/>
  <c r="F38" i="16"/>
  <c r="F30" i="16"/>
  <c r="F42" i="16"/>
  <c r="F47" i="16"/>
  <c r="F34" i="16"/>
  <c r="F26" i="16"/>
  <c r="F16" i="16"/>
  <c r="F11" i="16"/>
  <c r="E70" i="16"/>
  <c r="E61" i="16"/>
  <c r="E57" i="16"/>
  <c r="E52" i="16"/>
  <c r="E38" i="16"/>
  <c r="E30" i="16"/>
  <c r="E42" i="16"/>
  <c r="E47" i="16"/>
  <c r="E34" i="16"/>
  <c r="E26" i="16"/>
  <c r="E16" i="16"/>
  <c r="E11" i="16"/>
  <c r="D70" i="16"/>
  <c r="D61" i="16"/>
  <c r="D57" i="16"/>
  <c r="D52" i="16"/>
  <c r="D38" i="16"/>
  <c r="D30" i="16"/>
  <c r="D42" i="16"/>
  <c r="D47" i="16"/>
  <c r="D34" i="16"/>
  <c r="D26" i="16"/>
  <c r="D16" i="16"/>
  <c r="D11" i="16"/>
  <c r="C70" i="16"/>
  <c r="C61" i="16"/>
  <c r="C52" i="16"/>
  <c r="C38" i="16"/>
  <c r="C30" i="16"/>
  <c r="C42" i="16"/>
  <c r="C47" i="16"/>
  <c r="C34" i="16"/>
  <c r="C26" i="16"/>
  <c r="C16" i="16"/>
  <c r="C11" i="16"/>
  <c r="M78" i="15"/>
  <c r="M69" i="15"/>
  <c r="M65" i="15"/>
  <c r="M52" i="15"/>
  <c r="M38" i="15"/>
  <c r="M30" i="15"/>
  <c r="M42" i="15"/>
  <c r="M47" i="15"/>
  <c r="M34" i="15"/>
  <c r="M26" i="15"/>
  <c r="M16" i="15"/>
  <c r="M11" i="15"/>
  <c r="L78" i="15"/>
  <c r="L69" i="15"/>
  <c r="L65" i="15"/>
  <c r="L52" i="15"/>
  <c r="L38" i="15"/>
  <c r="L30" i="15"/>
  <c r="L42" i="15"/>
  <c r="L47" i="15"/>
  <c r="L34" i="15"/>
  <c r="L26" i="15"/>
  <c r="L16" i="15"/>
  <c r="L11" i="15"/>
  <c r="K78" i="15"/>
  <c r="K69" i="15"/>
  <c r="K65" i="15"/>
  <c r="K52" i="15"/>
  <c r="K38" i="15"/>
  <c r="K30" i="15"/>
  <c r="K42" i="15"/>
  <c r="K47" i="15"/>
  <c r="K34" i="15"/>
  <c r="K26" i="15"/>
  <c r="K16" i="15"/>
  <c r="K11" i="15"/>
  <c r="J78" i="15"/>
  <c r="J69" i="15"/>
  <c r="J65" i="15"/>
  <c r="J52" i="15"/>
  <c r="J38" i="15"/>
  <c r="J30" i="15"/>
  <c r="J42" i="15"/>
  <c r="J47" i="15"/>
  <c r="J34" i="15"/>
  <c r="J26" i="15"/>
  <c r="J16" i="15"/>
  <c r="J11" i="15"/>
  <c r="I78" i="15"/>
  <c r="I69" i="15"/>
  <c r="I65" i="15"/>
  <c r="I52" i="15"/>
  <c r="I38" i="15"/>
  <c r="I30" i="15"/>
  <c r="I42" i="15"/>
  <c r="I47" i="15"/>
  <c r="I34" i="15"/>
  <c r="I26" i="15"/>
  <c r="I16" i="15"/>
  <c r="I11" i="15"/>
  <c r="H78" i="15"/>
  <c r="H69" i="15"/>
  <c r="H65" i="15"/>
  <c r="H52" i="15"/>
  <c r="H38" i="15"/>
  <c r="H30" i="15"/>
  <c r="H42" i="15"/>
  <c r="H47" i="15"/>
  <c r="H34" i="15"/>
  <c r="H26" i="15"/>
  <c r="H16" i="15"/>
  <c r="H11" i="15"/>
  <c r="G78" i="15"/>
  <c r="G69" i="15"/>
  <c r="G65" i="15"/>
  <c r="G52" i="15"/>
  <c r="G38" i="15"/>
  <c r="G30" i="15"/>
  <c r="G42" i="15"/>
  <c r="G47" i="15"/>
  <c r="G34" i="15"/>
  <c r="G26" i="15"/>
  <c r="G16" i="15"/>
  <c r="G11" i="15"/>
  <c r="F78" i="15"/>
  <c r="F69" i="15"/>
  <c r="F65" i="15"/>
  <c r="F52" i="15"/>
  <c r="F38" i="15"/>
  <c r="F30" i="15"/>
  <c r="F42" i="15"/>
  <c r="F47" i="15"/>
  <c r="F34" i="15"/>
  <c r="F26" i="15"/>
  <c r="F16" i="15"/>
  <c r="F11" i="15"/>
  <c r="E78" i="15"/>
  <c r="E69" i="15"/>
  <c r="E65" i="15"/>
  <c r="E52" i="15"/>
  <c r="E38" i="15"/>
  <c r="E30" i="15"/>
  <c r="E42" i="15"/>
  <c r="E47" i="15"/>
  <c r="E34" i="15"/>
  <c r="E26" i="15"/>
  <c r="E16" i="15"/>
  <c r="E11" i="15"/>
  <c r="D78" i="15"/>
  <c r="D69" i="15"/>
  <c r="D52" i="15"/>
  <c r="D38" i="15"/>
  <c r="D30" i="15"/>
  <c r="D42" i="15"/>
  <c r="D47" i="15"/>
  <c r="D34" i="15"/>
  <c r="D26" i="15"/>
  <c r="D16" i="15"/>
  <c r="D11" i="15"/>
  <c r="C78" i="15"/>
  <c r="C69" i="15"/>
  <c r="C52" i="15"/>
  <c r="C38" i="15"/>
  <c r="C30" i="15"/>
  <c r="C42" i="15"/>
  <c r="C47" i="15"/>
  <c r="C34" i="15"/>
  <c r="C26" i="15"/>
  <c r="C16" i="15"/>
  <c r="C11" i="15"/>
  <c r="M70" i="14"/>
  <c r="M61" i="14"/>
  <c r="M57" i="14"/>
  <c r="M52" i="14"/>
  <c r="M38" i="14"/>
  <c r="M30" i="14"/>
  <c r="M42" i="14"/>
  <c r="M47" i="14"/>
  <c r="M34" i="14"/>
  <c r="M26" i="14"/>
  <c r="M16" i="14"/>
  <c r="M11" i="14"/>
  <c r="L70" i="14"/>
  <c r="L61" i="14"/>
  <c r="L57" i="14"/>
  <c r="L52" i="14"/>
  <c r="L38" i="14"/>
  <c r="L30" i="14"/>
  <c r="L42" i="14"/>
  <c r="L47" i="14"/>
  <c r="L34" i="14"/>
  <c r="L26" i="14"/>
  <c r="L16" i="14"/>
  <c r="L11" i="14"/>
  <c r="K70" i="14"/>
  <c r="K61" i="14"/>
  <c r="K57" i="14"/>
  <c r="K52" i="14"/>
  <c r="K38" i="14"/>
  <c r="K30" i="14"/>
  <c r="K42" i="14"/>
  <c r="K47" i="14"/>
  <c r="K34" i="14"/>
  <c r="K26" i="14"/>
  <c r="K16" i="14"/>
  <c r="K11" i="14"/>
  <c r="J70" i="14"/>
  <c r="J61" i="14"/>
  <c r="J57" i="14"/>
  <c r="J52" i="14"/>
  <c r="J38" i="14"/>
  <c r="J30" i="14"/>
  <c r="J42" i="14"/>
  <c r="J47" i="14"/>
  <c r="J34" i="14"/>
  <c r="J26" i="14"/>
  <c r="J16" i="14"/>
  <c r="J11" i="14"/>
  <c r="I70" i="14"/>
  <c r="I61" i="14"/>
  <c r="I57" i="14"/>
  <c r="I52" i="14"/>
  <c r="I38" i="14"/>
  <c r="I30" i="14"/>
  <c r="I42" i="14"/>
  <c r="I47" i="14"/>
  <c r="I34" i="14"/>
  <c r="I26" i="14"/>
  <c r="I16" i="14"/>
  <c r="I11" i="14"/>
  <c r="H70" i="14"/>
  <c r="H61" i="14"/>
  <c r="H57" i="14"/>
  <c r="H52" i="14"/>
  <c r="H38" i="14"/>
  <c r="H30" i="14"/>
  <c r="H42" i="14"/>
  <c r="H47" i="14"/>
  <c r="H34" i="14"/>
  <c r="H26" i="14"/>
  <c r="H16" i="14"/>
  <c r="H11" i="14"/>
  <c r="G70" i="14"/>
  <c r="G61" i="14"/>
  <c r="G57" i="14"/>
  <c r="G52" i="14"/>
  <c r="G38" i="14"/>
  <c r="G30" i="14"/>
  <c r="G42" i="14"/>
  <c r="G47" i="14"/>
  <c r="G34" i="14"/>
  <c r="G26" i="14"/>
  <c r="G16" i="14"/>
  <c r="G11" i="14"/>
  <c r="F70" i="14"/>
  <c r="F61" i="14"/>
  <c r="F57" i="14"/>
  <c r="F52" i="14"/>
  <c r="F38" i="14"/>
  <c r="F30" i="14"/>
  <c r="F42" i="14"/>
  <c r="F47" i="14"/>
  <c r="F34" i="14"/>
  <c r="F26" i="14"/>
  <c r="F16" i="14"/>
  <c r="F11" i="14"/>
  <c r="E70" i="14"/>
  <c r="E61" i="14"/>
  <c r="E57" i="14"/>
  <c r="E52" i="14"/>
  <c r="E38" i="14"/>
  <c r="E30" i="14"/>
  <c r="E42" i="14"/>
  <c r="E47" i="14"/>
  <c r="E34" i="14"/>
  <c r="E26" i="14"/>
  <c r="E16" i="14"/>
  <c r="E11" i="14"/>
  <c r="D70" i="14"/>
  <c r="D61" i="14"/>
  <c r="D57" i="14"/>
  <c r="D52" i="14"/>
  <c r="D38" i="14"/>
  <c r="D30" i="14"/>
  <c r="D42" i="14"/>
  <c r="D47" i="14"/>
  <c r="D34" i="14"/>
  <c r="D26" i="14"/>
  <c r="D16" i="14"/>
  <c r="D11" i="14"/>
  <c r="C70" i="14"/>
  <c r="C61" i="14"/>
  <c r="C52" i="14"/>
  <c r="C38" i="14"/>
  <c r="C30" i="14"/>
  <c r="C42" i="14"/>
  <c r="C47" i="14"/>
  <c r="C34" i="14"/>
  <c r="C26" i="14"/>
  <c r="C16" i="14"/>
  <c r="C11" i="14"/>
  <c r="M70" i="13"/>
  <c r="M61" i="13"/>
  <c r="M57" i="13"/>
  <c r="M52" i="13"/>
  <c r="M38" i="13"/>
  <c r="M30" i="13"/>
  <c r="M42" i="13"/>
  <c r="M47" i="13"/>
  <c r="M34" i="13"/>
  <c r="M26" i="13"/>
  <c r="M16" i="13"/>
  <c r="M11" i="13"/>
  <c r="L70" i="13"/>
  <c r="L61" i="13"/>
  <c r="L57" i="13"/>
  <c r="L52" i="13"/>
  <c r="L38" i="13"/>
  <c r="L30" i="13"/>
  <c r="L42" i="13"/>
  <c r="L47" i="13"/>
  <c r="L34" i="13"/>
  <c r="L26" i="13"/>
  <c r="L16" i="13"/>
  <c r="L11" i="13"/>
  <c r="K70" i="13"/>
  <c r="K61" i="13"/>
  <c r="K57" i="13"/>
  <c r="K52" i="13"/>
  <c r="K38" i="13"/>
  <c r="K30" i="13"/>
  <c r="K42" i="13"/>
  <c r="K47" i="13"/>
  <c r="K34" i="13"/>
  <c r="K26" i="13"/>
  <c r="K16" i="13"/>
  <c r="K11" i="13"/>
  <c r="J70" i="13"/>
  <c r="J61" i="13"/>
  <c r="J57" i="13"/>
  <c r="J52" i="13"/>
  <c r="J38" i="13"/>
  <c r="J30" i="13"/>
  <c r="J42" i="13"/>
  <c r="J47" i="13"/>
  <c r="J34" i="13"/>
  <c r="J26" i="13"/>
  <c r="J16" i="13"/>
  <c r="J11" i="13"/>
  <c r="I70" i="13"/>
  <c r="I61" i="13"/>
  <c r="I57" i="13"/>
  <c r="I52" i="13"/>
  <c r="I38" i="13"/>
  <c r="I30" i="13"/>
  <c r="I42" i="13"/>
  <c r="I47" i="13"/>
  <c r="I34" i="13"/>
  <c r="I26" i="13"/>
  <c r="I16" i="13"/>
  <c r="I11" i="13"/>
  <c r="H70" i="13"/>
  <c r="H61" i="13"/>
  <c r="H57" i="13"/>
  <c r="H52" i="13"/>
  <c r="H38" i="13"/>
  <c r="H30" i="13"/>
  <c r="H42" i="13"/>
  <c r="H47" i="13"/>
  <c r="H34" i="13"/>
  <c r="H26" i="13"/>
  <c r="H16" i="13"/>
  <c r="H11" i="13"/>
  <c r="G70" i="13"/>
  <c r="G61" i="13"/>
  <c r="G57" i="13"/>
  <c r="G52" i="13"/>
  <c r="G38" i="13"/>
  <c r="G30" i="13"/>
  <c r="G42" i="13"/>
  <c r="G47" i="13"/>
  <c r="G34" i="13"/>
  <c r="G26" i="13"/>
  <c r="G16" i="13"/>
  <c r="G11" i="13"/>
  <c r="F70" i="13"/>
  <c r="F61" i="13"/>
  <c r="F57" i="13"/>
  <c r="F52" i="13"/>
  <c r="F38" i="13"/>
  <c r="F30" i="13"/>
  <c r="F42" i="13"/>
  <c r="F47" i="13"/>
  <c r="F34" i="13"/>
  <c r="F26" i="13"/>
  <c r="F16" i="13"/>
  <c r="F11" i="13"/>
  <c r="E70" i="13"/>
  <c r="E61" i="13"/>
  <c r="E57" i="13"/>
  <c r="E52" i="13"/>
  <c r="E38" i="13"/>
  <c r="E30" i="13"/>
  <c r="E42" i="13"/>
  <c r="E47" i="13"/>
  <c r="E34" i="13"/>
  <c r="E26" i="13"/>
  <c r="E16" i="13"/>
  <c r="E11" i="13"/>
  <c r="D70" i="13"/>
  <c r="D61" i="13"/>
  <c r="D57" i="13"/>
  <c r="D52" i="13"/>
  <c r="D38" i="13"/>
  <c r="D30" i="13"/>
  <c r="D42" i="13"/>
  <c r="D47" i="13"/>
  <c r="D34" i="13"/>
  <c r="D26" i="13"/>
  <c r="D16" i="13"/>
  <c r="D11" i="13"/>
  <c r="C70" i="13"/>
  <c r="C61" i="13"/>
  <c r="C52" i="13"/>
  <c r="C38" i="13"/>
  <c r="C30" i="13"/>
  <c r="C42" i="13"/>
  <c r="C47" i="13"/>
  <c r="C34" i="13"/>
  <c r="C26" i="13"/>
  <c r="C16" i="13"/>
  <c r="C11" i="13"/>
  <c r="M78" i="12"/>
  <c r="M69" i="12"/>
  <c r="M65" i="12"/>
  <c r="M52" i="12"/>
  <c r="M38" i="12"/>
  <c r="M30" i="12"/>
  <c r="M42" i="12"/>
  <c r="M47" i="12"/>
  <c r="M34" i="12"/>
  <c r="M26" i="12"/>
  <c r="M16" i="12"/>
  <c r="M11" i="12"/>
  <c r="L78" i="12"/>
  <c r="L69" i="12"/>
  <c r="L65" i="12"/>
  <c r="L52" i="12"/>
  <c r="L38" i="12"/>
  <c r="L30" i="12"/>
  <c r="L42" i="12"/>
  <c r="L47" i="12"/>
  <c r="L34" i="12"/>
  <c r="L26" i="12"/>
  <c r="L16" i="12"/>
  <c r="L11" i="12"/>
  <c r="K78" i="12"/>
  <c r="K69" i="12"/>
  <c r="K65" i="12"/>
  <c r="K52" i="12"/>
  <c r="K38" i="12"/>
  <c r="K30" i="12"/>
  <c r="K42" i="12"/>
  <c r="K47" i="12"/>
  <c r="K34" i="12"/>
  <c r="K26" i="12"/>
  <c r="K16" i="12"/>
  <c r="K11" i="12"/>
  <c r="J78" i="12"/>
  <c r="J69" i="12"/>
  <c r="J65" i="12"/>
  <c r="J52" i="12"/>
  <c r="J38" i="12"/>
  <c r="J30" i="12"/>
  <c r="J42" i="12"/>
  <c r="J47" i="12"/>
  <c r="J34" i="12"/>
  <c r="J26" i="12"/>
  <c r="J16" i="12"/>
  <c r="J11" i="12"/>
  <c r="I78" i="12"/>
  <c r="I69" i="12"/>
  <c r="I65" i="12"/>
  <c r="I52" i="12"/>
  <c r="I38" i="12"/>
  <c r="I30" i="12"/>
  <c r="I42" i="12"/>
  <c r="I47" i="12"/>
  <c r="I34" i="12"/>
  <c r="I26" i="12"/>
  <c r="I16" i="12"/>
  <c r="I11" i="12"/>
  <c r="H78" i="12"/>
  <c r="H69" i="12"/>
  <c r="H65" i="12"/>
  <c r="H52" i="12"/>
  <c r="H38" i="12"/>
  <c r="H30" i="12"/>
  <c r="H42" i="12"/>
  <c r="H47" i="12"/>
  <c r="H34" i="12"/>
  <c r="H26" i="12"/>
  <c r="H16" i="12"/>
  <c r="H11" i="12"/>
  <c r="G78" i="12"/>
  <c r="G69" i="12"/>
  <c r="G65" i="12"/>
  <c r="G52" i="12"/>
  <c r="G38" i="12"/>
  <c r="G30" i="12"/>
  <c r="G42" i="12"/>
  <c r="G47" i="12"/>
  <c r="G34" i="12"/>
  <c r="G26" i="12"/>
  <c r="G16" i="12"/>
  <c r="G11" i="12"/>
  <c r="F78" i="12"/>
  <c r="F69" i="12"/>
  <c r="F65" i="12"/>
  <c r="F52" i="12"/>
  <c r="F38" i="12"/>
  <c r="F30" i="12"/>
  <c r="F42" i="12"/>
  <c r="F47" i="12"/>
  <c r="F34" i="12"/>
  <c r="F26" i="12"/>
  <c r="F16" i="12"/>
  <c r="F11" i="12"/>
  <c r="E78" i="12"/>
  <c r="E69" i="12"/>
  <c r="E65" i="12"/>
  <c r="E52" i="12"/>
  <c r="E38" i="12"/>
  <c r="E30" i="12"/>
  <c r="E42" i="12"/>
  <c r="E47" i="12"/>
  <c r="E34" i="12"/>
  <c r="E26" i="12"/>
  <c r="E16" i="12"/>
  <c r="E11" i="12"/>
  <c r="D78" i="12"/>
  <c r="D69" i="12"/>
  <c r="D65" i="12"/>
  <c r="D52" i="12"/>
  <c r="D38" i="12"/>
  <c r="D30" i="12"/>
  <c r="D42" i="12"/>
  <c r="D47" i="12"/>
  <c r="D34" i="12"/>
  <c r="D26" i="12"/>
  <c r="D16" i="12"/>
  <c r="D11" i="12"/>
  <c r="C78" i="12"/>
  <c r="C69" i="12"/>
  <c r="C52" i="12"/>
  <c r="C38" i="12"/>
  <c r="C30" i="12"/>
  <c r="C42" i="12"/>
  <c r="C47" i="12"/>
  <c r="C34" i="12"/>
  <c r="C26" i="12"/>
  <c r="C16" i="12"/>
  <c r="C11" i="12"/>
  <c r="M70" i="11"/>
  <c r="M61" i="11"/>
  <c r="M57" i="11"/>
  <c r="M52" i="11"/>
  <c r="M38" i="11"/>
  <c r="M30" i="11"/>
  <c r="M42" i="11"/>
  <c r="M47" i="11"/>
  <c r="M34" i="11"/>
  <c r="M26" i="11"/>
  <c r="M16" i="11"/>
  <c r="M11" i="11"/>
  <c r="L70" i="11"/>
  <c r="L61" i="11"/>
  <c r="L57" i="11"/>
  <c r="L52" i="11"/>
  <c r="L38" i="11"/>
  <c r="L30" i="11"/>
  <c r="L42" i="11"/>
  <c r="L47" i="11"/>
  <c r="L34" i="11"/>
  <c r="L26" i="11"/>
  <c r="L16" i="11"/>
  <c r="L11" i="11"/>
  <c r="K70" i="11"/>
  <c r="K61" i="11"/>
  <c r="K57" i="11"/>
  <c r="K52" i="11"/>
  <c r="K38" i="11"/>
  <c r="K30" i="11"/>
  <c r="K42" i="11"/>
  <c r="K47" i="11"/>
  <c r="K34" i="11"/>
  <c r="K26" i="11"/>
  <c r="K16" i="11"/>
  <c r="K11" i="11"/>
  <c r="J70" i="11"/>
  <c r="J61" i="11"/>
  <c r="J57" i="11"/>
  <c r="J52" i="11"/>
  <c r="J38" i="11"/>
  <c r="J30" i="11"/>
  <c r="J42" i="11"/>
  <c r="J47" i="11"/>
  <c r="J34" i="11"/>
  <c r="J26" i="11"/>
  <c r="J16" i="11"/>
  <c r="J11" i="11"/>
  <c r="I70" i="11"/>
  <c r="I61" i="11"/>
  <c r="I57" i="11"/>
  <c r="I52" i="11"/>
  <c r="I38" i="11"/>
  <c r="I30" i="11"/>
  <c r="I42" i="11"/>
  <c r="I47" i="11"/>
  <c r="I34" i="11"/>
  <c r="I26" i="11"/>
  <c r="I16" i="11"/>
  <c r="I11" i="11"/>
  <c r="H70" i="11"/>
  <c r="H61" i="11"/>
  <c r="H57" i="11"/>
  <c r="H52" i="11"/>
  <c r="H38" i="11"/>
  <c r="H30" i="11"/>
  <c r="H42" i="11"/>
  <c r="H47" i="11"/>
  <c r="H34" i="11"/>
  <c r="H26" i="11"/>
  <c r="H16" i="11"/>
  <c r="H11" i="11"/>
  <c r="G70" i="11"/>
  <c r="G61" i="11"/>
  <c r="G57" i="11"/>
  <c r="G52" i="11"/>
  <c r="G38" i="11"/>
  <c r="G30" i="11"/>
  <c r="G42" i="11"/>
  <c r="G47" i="11"/>
  <c r="G34" i="11"/>
  <c r="G26" i="11"/>
  <c r="G16" i="11"/>
  <c r="G11" i="11"/>
  <c r="F70" i="11"/>
  <c r="F61" i="11"/>
  <c r="F57" i="11"/>
  <c r="F52" i="11"/>
  <c r="F38" i="11"/>
  <c r="F30" i="11"/>
  <c r="F42" i="11"/>
  <c r="F47" i="11"/>
  <c r="F34" i="11"/>
  <c r="F26" i="11"/>
  <c r="F16" i="11"/>
  <c r="F11" i="11"/>
  <c r="E70" i="11"/>
  <c r="E61" i="11"/>
  <c r="E57" i="11"/>
  <c r="E52" i="11"/>
  <c r="E38" i="11"/>
  <c r="E30" i="11"/>
  <c r="E42" i="11"/>
  <c r="E47" i="11"/>
  <c r="E34" i="11"/>
  <c r="E26" i="11"/>
  <c r="E16" i="11"/>
  <c r="E11" i="11"/>
  <c r="D70" i="11"/>
  <c r="D61" i="11"/>
  <c r="D57" i="11"/>
  <c r="D52" i="11"/>
  <c r="D38" i="11"/>
  <c r="D30" i="11"/>
  <c r="D42" i="11"/>
  <c r="D47" i="11"/>
  <c r="D34" i="11"/>
  <c r="D26" i="11"/>
  <c r="D16" i="11"/>
  <c r="D11" i="11"/>
  <c r="C70" i="11"/>
  <c r="C61" i="11"/>
  <c r="C52" i="11"/>
  <c r="C38" i="11"/>
  <c r="C30" i="11"/>
  <c r="C42" i="11"/>
  <c r="C47" i="11"/>
  <c r="C34" i="11"/>
  <c r="C26" i="11"/>
  <c r="C16" i="11"/>
  <c r="C11" i="11"/>
  <c r="M70" i="10"/>
  <c r="M61" i="10"/>
  <c r="M57" i="10"/>
  <c r="M52" i="10"/>
  <c r="M38" i="10"/>
  <c r="M30" i="10"/>
  <c r="M42" i="10"/>
  <c r="M47" i="10"/>
  <c r="M34" i="10"/>
  <c r="M26" i="10"/>
  <c r="M16" i="10"/>
  <c r="M11" i="10"/>
  <c r="L70" i="10"/>
  <c r="L61" i="10"/>
  <c r="L57" i="10"/>
  <c r="L52" i="10"/>
  <c r="L38" i="10"/>
  <c r="L30" i="10"/>
  <c r="L42" i="10"/>
  <c r="L47" i="10"/>
  <c r="L34" i="10"/>
  <c r="L26" i="10"/>
  <c r="L16" i="10"/>
  <c r="L11" i="10"/>
  <c r="K70" i="10"/>
  <c r="K61" i="10"/>
  <c r="K57" i="10"/>
  <c r="K52" i="10"/>
  <c r="K38" i="10"/>
  <c r="K30" i="10"/>
  <c r="K42" i="10"/>
  <c r="K47" i="10"/>
  <c r="K34" i="10"/>
  <c r="K26" i="10"/>
  <c r="K16" i="10"/>
  <c r="K11" i="10"/>
  <c r="J70" i="10"/>
  <c r="J61" i="10"/>
  <c r="J57" i="10"/>
  <c r="J52" i="10"/>
  <c r="J38" i="10"/>
  <c r="J30" i="10"/>
  <c r="J42" i="10"/>
  <c r="J47" i="10"/>
  <c r="J34" i="10"/>
  <c r="J26" i="10"/>
  <c r="J16" i="10"/>
  <c r="J11" i="10"/>
  <c r="I70" i="10"/>
  <c r="I61" i="10"/>
  <c r="I57" i="10"/>
  <c r="I52" i="10"/>
  <c r="I38" i="10"/>
  <c r="I30" i="10"/>
  <c r="I42" i="10"/>
  <c r="I47" i="10"/>
  <c r="I34" i="10"/>
  <c r="I26" i="10"/>
  <c r="I16" i="10"/>
  <c r="I11" i="10"/>
  <c r="H70" i="10"/>
  <c r="H61" i="10"/>
  <c r="H57" i="10"/>
  <c r="H52" i="10"/>
  <c r="H38" i="10"/>
  <c r="H30" i="10"/>
  <c r="H42" i="10"/>
  <c r="H47" i="10"/>
  <c r="H34" i="10"/>
  <c r="H26" i="10"/>
  <c r="H16" i="10"/>
  <c r="H11" i="10"/>
  <c r="G70" i="10"/>
  <c r="G61" i="10"/>
  <c r="G57" i="10"/>
  <c r="G52" i="10"/>
  <c r="G38" i="10"/>
  <c r="G30" i="10"/>
  <c r="G42" i="10"/>
  <c r="G47" i="10"/>
  <c r="G34" i="10"/>
  <c r="G26" i="10"/>
  <c r="G16" i="10"/>
  <c r="G11" i="10"/>
  <c r="F70" i="10"/>
  <c r="F61" i="10"/>
  <c r="F57" i="10"/>
  <c r="F52" i="10"/>
  <c r="F38" i="10"/>
  <c r="F30" i="10"/>
  <c r="F42" i="10"/>
  <c r="F47" i="10"/>
  <c r="F34" i="10"/>
  <c r="F26" i="10"/>
  <c r="F16" i="10"/>
  <c r="F11" i="10"/>
  <c r="E70" i="10"/>
  <c r="E61" i="10"/>
  <c r="E57" i="10"/>
  <c r="E52" i="10"/>
  <c r="E38" i="10"/>
  <c r="E30" i="10"/>
  <c r="E42" i="10"/>
  <c r="E47" i="10"/>
  <c r="E34" i="10"/>
  <c r="E26" i="10"/>
  <c r="E16" i="10"/>
  <c r="E11" i="10"/>
  <c r="D70" i="10"/>
  <c r="D61" i="10"/>
  <c r="D57" i="10"/>
  <c r="D52" i="10"/>
  <c r="D38" i="10"/>
  <c r="D30" i="10"/>
  <c r="D42" i="10"/>
  <c r="D47" i="10"/>
  <c r="D34" i="10"/>
  <c r="D26" i="10"/>
  <c r="D16" i="10"/>
  <c r="D11" i="10"/>
  <c r="C70" i="10"/>
  <c r="C61" i="10"/>
  <c r="C52" i="10"/>
  <c r="C38" i="10"/>
  <c r="C30" i="10"/>
  <c r="C42" i="10"/>
  <c r="C47" i="10"/>
  <c r="C34" i="10"/>
  <c r="C26" i="10"/>
  <c r="C16" i="10"/>
  <c r="C11" i="10"/>
  <c r="M1" i="10"/>
  <c r="L1" i="10"/>
  <c r="K1" i="10"/>
  <c r="J1" i="10"/>
  <c r="I1" i="10"/>
  <c r="H1" i="10"/>
  <c r="G1" i="10"/>
  <c r="F1" i="10"/>
  <c r="E1" i="10"/>
  <c r="D1" i="10"/>
  <c r="C1" i="10"/>
  <c r="G27" i="11"/>
  <c r="D25" i="27"/>
  <c r="L27" i="13"/>
  <c r="D27" i="23"/>
  <c r="J27" i="12"/>
  <c r="K27" i="21"/>
  <c r="F27" i="21"/>
  <c r="I27" i="17"/>
  <c r="M25" i="30"/>
  <c r="L25" i="29"/>
  <c r="F27" i="24"/>
  <c r="F25" i="27"/>
  <c r="L27" i="17"/>
  <c r="G25" i="28"/>
  <c r="J27" i="14"/>
  <c r="C27" i="12"/>
  <c r="C25" i="30"/>
  <c r="G25" i="29"/>
  <c r="C27" i="18"/>
  <c r="G27" i="16"/>
  <c r="J25" i="31"/>
  <c r="M25" i="32"/>
  <c r="G27" i="17"/>
  <c r="J27" i="11"/>
  <c r="H25" i="28"/>
  <c r="L27" i="19"/>
  <c r="M25" i="31"/>
  <c r="I27" i="13"/>
  <c r="E27" i="21"/>
  <c r="I27" i="11"/>
  <c r="E25" i="27"/>
  <c r="L27" i="18"/>
  <c r="L27" i="21"/>
  <c r="M27" i="20"/>
  <c r="I27" i="24"/>
  <c r="D27" i="12"/>
  <c r="K27" i="17"/>
  <c r="J27" i="17"/>
  <c r="I25" i="32"/>
  <c r="M25" i="27"/>
  <c r="H27" i="21"/>
  <c r="C25" i="31"/>
  <c r="M27" i="22"/>
  <c r="H27" i="25"/>
  <c r="M27" i="11"/>
  <c r="L27" i="14"/>
  <c r="K27" i="11"/>
  <c r="I25" i="29"/>
  <c r="K27" i="24"/>
  <c r="K27" i="13"/>
  <c r="D27" i="22"/>
  <c r="C27" i="17"/>
  <c r="D27" i="13"/>
  <c r="H27" i="17"/>
  <c r="D27" i="20"/>
  <c r="J25" i="29"/>
  <c r="G27" i="19"/>
  <c r="E27" i="23"/>
  <c r="J27" i="22"/>
  <c r="G27" i="26"/>
  <c r="J27" i="13"/>
  <c r="L27" i="25"/>
  <c r="F25" i="31"/>
  <c r="K25" i="27"/>
  <c r="M27" i="24"/>
  <c r="M27" i="16"/>
  <c r="K27" i="20"/>
  <c r="D27" i="19"/>
  <c r="L27" i="15"/>
  <c r="F27" i="17"/>
  <c r="L27" i="24"/>
  <c r="C25" i="32"/>
  <c r="H27" i="14"/>
  <c r="L25" i="31"/>
  <c r="H27" i="24"/>
  <c r="C27" i="19"/>
  <c r="L25" i="27"/>
  <c r="I25" i="27"/>
  <c r="G27" i="22"/>
  <c r="M27" i="12"/>
  <c r="H27" i="22"/>
  <c r="G25" i="31"/>
  <c r="E25" i="29"/>
  <c r="M27" i="18"/>
  <c r="E27" i="19"/>
  <c r="D27" i="17"/>
  <c r="J25" i="30"/>
  <c r="C27" i="20"/>
  <c r="I27" i="21"/>
  <c r="J27" i="24"/>
  <c r="E25" i="28"/>
  <c r="H25" i="30"/>
  <c r="J27" i="19"/>
  <c r="K27" i="22"/>
  <c r="M27" i="25"/>
  <c r="C27" i="13"/>
  <c r="D27" i="18"/>
  <c r="J25" i="28"/>
  <c r="H27" i="11"/>
  <c r="F27" i="16"/>
  <c r="D25" i="30"/>
  <c r="E27" i="15"/>
  <c r="G25" i="27"/>
  <c r="J27" i="21"/>
  <c r="I25" i="31"/>
  <c r="H27" i="18"/>
  <c r="L27" i="26"/>
  <c r="F27" i="15"/>
  <c r="E27" i="13"/>
  <c r="K25" i="31"/>
  <c r="C27" i="24"/>
  <c r="L27" i="20"/>
  <c r="L25" i="28"/>
  <c r="L27" i="11"/>
  <c r="E27" i="24"/>
  <c r="G25" i="32"/>
  <c r="F25" i="29"/>
  <c r="K27" i="23"/>
  <c r="M27" i="13"/>
  <c r="H27" i="20"/>
  <c r="L27" i="23"/>
  <c r="G27" i="23"/>
  <c r="F27" i="11"/>
  <c r="D25" i="29"/>
  <c r="H25" i="27"/>
  <c r="L27" i="22"/>
  <c r="C27" i="26"/>
  <c r="J27" i="20"/>
  <c r="J27" i="16"/>
  <c r="E27" i="12"/>
  <c r="G27" i="20"/>
  <c r="F27" i="14"/>
  <c r="D27" i="14"/>
  <c r="I27" i="12"/>
  <c r="M25" i="28"/>
  <c r="C27" i="16"/>
  <c r="E27" i="18"/>
  <c r="I27" i="23"/>
  <c r="F25" i="30"/>
  <c r="F27" i="26"/>
  <c r="E27" i="17"/>
  <c r="F25" i="32"/>
  <c r="G27" i="24"/>
  <c r="D27" i="15"/>
  <c r="E25" i="32"/>
  <c r="M27" i="21"/>
  <c r="I27" i="16"/>
  <c r="H27" i="19"/>
  <c r="G27" i="18"/>
  <c r="I25" i="28"/>
  <c r="H25" i="32"/>
  <c r="I27" i="19"/>
  <c r="D27" i="16"/>
  <c r="I27" i="22"/>
  <c r="M27" i="14"/>
  <c r="D27" i="26"/>
  <c r="C25" i="27"/>
  <c r="D25" i="28"/>
  <c r="F27" i="18"/>
  <c r="G27" i="13"/>
  <c r="D27" i="25"/>
  <c r="K27" i="18"/>
  <c r="F25" i="28"/>
  <c r="E27" i="14"/>
  <c r="D25" i="31"/>
  <c r="C27" i="11"/>
  <c r="G27" i="25"/>
  <c r="K27" i="12"/>
  <c r="H25" i="31"/>
  <c r="H27" i="13"/>
  <c r="J25" i="27"/>
  <c r="G27" i="14"/>
  <c r="K25" i="32"/>
  <c r="I27" i="25"/>
  <c r="C27" i="14"/>
  <c r="L27" i="16"/>
  <c r="J27" i="23"/>
  <c r="D25" i="32"/>
  <c r="C27" i="25"/>
  <c r="G25" i="30"/>
  <c r="K25" i="30"/>
  <c r="F27" i="12"/>
  <c r="K25" i="28"/>
  <c r="C25" i="28"/>
  <c r="J27" i="26"/>
  <c r="J25" i="32"/>
  <c r="H27" i="16"/>
  <c r="F27" i="20"/>
  <c r="K27" i="25"/>
  <c r="K27" i="15"/>
  <c r="M25" i="29"/>
  <c r="E27" i="26"/>
  <c r="H25" i="29"/>
  <c r="F27" i="19"/>
  <c r="L25" i="30"/>
  <c r="K27" i="16"/>
  <c r="J27" i="15"/>
  <c r="H27" i="12"/>
  <c r="M27" i="26"/>
  <c r="K27" i="14"/>
  <c r="M27" i="15"/>
  <c r="C27" i="23"/>
  <c r="I27" i="15"/>
  <c r="E27" i="16"/>
  <c r="L25" i="32"/>
  <c r="J27" i="18"/>
  <c r="K27" i="26"/>
  <c r="I25" i="30"/>
  <c r="M27" i="23"/>
  <c r="H27" i="15"/>
  <c r="H27" i="26"/>
  <c r="G27" i="12"/>
  <c r="F27" i="25"/>
  <c r="J27" i="25"/>
  <c r="G27" i="15"/>
  <c r="D27" i="21"/>
  <c r="E25" i="30"/>
  <c r="C27" i="21"/>
  <c r="G27" i="21"/>
  <c r="I27" i="14"/>
  <c r="E27" i="20"/>
  <c r="F27" i="22"/>
  <c r="C25" i="29"/>
  <c r="F27" i="13"/>
  <c r="E27" i="25"/>
  <c r="E27" i="11"/>
  <c r="E27" i="22"/>
  <c r="D27" i="24"/>
  <c r="F27" i="23"/>
  <c r="C27" i="15"/>
  <c r="M27" i="19"/>
  <c r="K27" i="19"/>
  <c r="M27" i="17"/>
  <c r="E25" i="31"/>
  <c r="K25" i="29"/>
  <c r="I27" i="26"/>
  <c r="L27" i="12"/>
  <c r="I27" i="20"/>
  <c r="D27" i="11"/>
  <c r="I27" i="18"/>
  <c r="C27" i="22"/>
  <c r="H27" i="23"/>
</calcChain>
</file>

<file path=xl/sharedStrings.xml><?xml version="1.0" encoding="utf-8"?>
<sst xmlns="http://schemas.openxmlformats.org/spreadsheetml/2006/main" count="4439" uniqueCount="851">
  <si>
    <t>Valuation &amp; Business Modeling</t>
  </si>
  <si>
    <t>Onex Corporation</t>
  </si>
  <si>
    <t>Valuation of (Certain Intangible Assets) of Certain business assets of TRSI, TRBP and TRAM of Thomson Reuters</t>
  </si>
  <si>
    <t>for ASC 805 / IFRS 3 purposes</t>
  </si>
  <si>
    <t>Valuation schedules as of 3 October 2016</t>
  </si>
  <si>
    <t>04 November 2016</t>
  </si>
  <si>
    <t>Reliance Restricted</t>
  </si>
  <si>
    <t>Draft</t>
  </si>
  <si>
    <t>Exhibit A</t>
  </si>
  <si>
    <t>Certain business assets of TRSI, TRBP and TRAM of Thomson Reuters</t>
  </si>
  <si>
    <t>Summary of values</t>
  </si>
  <si>
    <t>Valuation as of 3 October 2016</t>
  </si>
  <si>
    <t>(USD in million)</t>
  </si>
  <si>
    <t>Recommended Fair Value</t>
  </si>
  <si>
    <t>Remaining Useful Life</t>
  </si>
  <si>
    <t>Cash and Cash Equivalents</t>
  </si>
  <si>
    <t>Current Assets</t>
  </si>
  <si>
    <t>Computer Hardware, and other property</t>
  </si>
  <si>
    <t>Other Assets</t>
  </si>
  <si>
    <t>Subtotal, Current and tangible assets</t>
  </si>
  <si>
    <t>Identifiable intangible assets</t>
  </si>
  <si>
    <t>Database - Web of Science + Incites</t>
  </si>
  <si>
    <t>17 years</t>
  </si>
  <si>
    <t>Database - Cortellis</t>
  </si>
  <si>
    <t>13 years</t>
  </si>
  <si>
    <t>Database - Integrity</t>
  </si>
  <si>
    <t>Database - Newport</t>
  </si>
  <si>
    <t>Database - Compumark</t>
  </si>
  <si>
    <t>20 years</t>
  </si>
  <si>
    <t>Database - Metacore</t>
  </si>
  <si>
    <t>Database - Innovation</t>
  </si>
  <si>
    <t>Total Database</t>
  </si>
  <si>
    <t>Internally developed software associated with database</t>
  </si>
  <si>
    <t>7 years</t>
  </si>
  <si>
    <t>Customer relationships-WOS</t>
  </si>
  <si>
    <t>2.5 years</t>
  </si>
  <si>
    <t>Customer relationships-Cortellis</t>
  </si>
  <si>
    <t>Customer relationships-Newport</t>
  </si>
  <si>
    <t>Customer relationships-Integrity</t>
  </si>
  <si>
    <t>Customer relationships-Innovation</t>
  </si>
  <si>
    <t>Customer relationships-CompuMark</t>
  </si>
  <si>
    <t>Customer relationships-Metacore</t>
  </si>
  <si>
    <t>Total Customer Relationship</t>
  </si>
  <si>
    <t>7.5 years</t>
  </si>
  <si>
    <t>Developed Technology for Application</t>
  </si>
  <si>
    <t>Customer Relationships for Applications</t>
  </si>
  <si>
    <t>14 Years</t>
  </si>
  <si>
    <t>Service Customer Relationship</t>
  </si>
  <si>
    <t>Trademarks and trade names</t>
  </si>
  <si>
    <t>Indefinite</t>
  </si>
  <si>
    <t>Total Identified Intangibles (Rounded)</t>
  </si>
  <si>
    <t>Assembled Workforce</t>
  </si>
  <si>
    <t>Implied Goodwill</t>
  </si>
  <si>
    <t>Fair Value of Total Assets</t>
  </si>
  <si>
    <t>Deferred Revenue Haircut</t>
  </si>
  <si>
    <t>Consideration Paid</t>
  </si>
  <si>
    <t>Long-Term Liabilities</t>
  </si>
  <si>
    <t>Acquired Cash</t>
  </si>
  <si>
    <t>Deferred Revenue (Fair Value)</t>
  </si>
  <si>
    <t>Current Non-interest bearing liabilities (excluding deferred revenue)</t>
  </si>
  <si>
    <t>Note:</t>
  </si>
  <si>
    <t>Some totals may not add due to rounding.  See Statement of Limiting Conditions.</t>
  </si>
  <si>
    <t>4-November-2016 -- Draft document.  All data subject to change upon completion of additional analysis.</t>
  </si>
  <si>
    <t>E</t>
  </si>
  <si>
    <t>Exhibit B</t>
  </si>
  <si>
    <t>Weighted average return on assets</t>
  </si>
  <si>
    <t>Recommended Fair</t>
  </si>
  <si>
    <t>Value</t>
  </si>
  <si>
    <t>After-tax return</t>
  </si>
  <si>
    <t>Weighted return</t>
  </si>
  <si>
    <t>Cash, acquired</t>
  </si>
  <si>
    <t>- %</t>
  </si>
  <si>
    <t>Debt-free net working capital</t>
  </si>
  <si>
    <t>Database Asset</t>
  </si>
  <si>
    <t>Software</t>
  </si>
  <si>
    <t>Developed Technology - Application</t>
  </si>
  <si>
    <t>Customer Relationships - Database</t>
  </si>
  <si>
    <t>Assembled workforce (part of goodwill)</t>
  </si>
  <si>
    <t>Implied goodwill (excluding workforce)</t>
  </si>
  <si>
    <t>Operational invested capital, incl req cash</t>
  </si>
  <si>
    <t>11.3%  Weighted average return on assets</t>
  </si>
  <si>
    <t>11.0%  Weighted average cost of capital</t>
  </si>
  <si>
    <t>Purchase price</t>
  </si>
  <si>
    <t>11.4% Internal Rate of Return</t>
  </si>
  <si>
    <t>Interest-bearing liabilities assumed</t>
  </si>
  <si>
    <t>Transaction enterprise value (EV), excl cash</t>
  </si>
  <si>
    <t>Plus: required cash</t>
  </si>
  <si>
    <t>Note - check if already includ</t>
  </si>
  <si>
    <t>Transaction enterprise value (EV), incl req cash</t>
  </si>
  <si>
    <t>Less: (excess)/deficient DFNWC</t>
  </si>
  <si>
    <t>-</t>
  </si>
  <si>
    <t>note - excess DFNWC shoul</t>
  </si>
  <si>
    <t>Less: non-operating assets, net</t>
  </si>
  <si>
    <t>Exhibit C</t>
  </si>
  <si>
    <t>Internal rate of return</t>
  </si>
  <si>
    <t>2.9 months</t>
  </si>
  <si>
    <t>For the years ending 31 Dec</t>
  </si>
  <si>
    <t>2016E</t>
  </si>
  <si>
    <t>2017E</t>
  </si>
  <si>
    <t>2018E</t>
  </si>
  <si>
    <t>2019E</t>
  </si>
  <si>
    <t>2020E</t>
  </si>
  <si>
    <t>2021E</t>
  </si>
  <si>
    <t>2022E</t>
  </si>
  <si>
    <t>2023E</t>
  </si>
  <si>
    <t>Total revenue</t>
  </si>
  <si>
    <t>Adjusted EBITDA</t>
  </si>
  <si>
    <t>Depreciation (tax)</t>
  </si>
  <si>
    <t>Pretax income (loss)</t>
  </si>
  <si>
    <t>Income taxes</t>
  </si>
  <si>
    <t>Debt-free net income (loss)</t>
  </si>
  <si>
    <t>Add: Depreciation</t>
  </si>
  <si>
    <t>Add/(less): Changes in DFNWC</t>
  </si>
  <si>
    <t>Less: Capital expenditures</t>
  </si>
  <si>
    <t>Debt-free cash flow</t>
  </si>
  <si>
    <t>Present value factor</t>
  </si>
  <si>
    <t>Present value of after-tax cash flow</t>
  </si>
  <si>
    <t>Present value of discrete cash flows</t>
  </si>
  <si>
    <t>Terminal value calculation</t>
  </si>
  <si>
    <t>Present value of terminal cash flow</t>
  </si>
  <si>
    <t>Debt-free cash flow, normalized</t>
  </si>
  <si>
    <t>Tax amortization benefit</t>
  </si>
  <si>
    <t>(a)</t>
  </si>
  <si>
    <t>Long-term growth rate</t>
  </si>
  <si>
    <t>Cash and equivalents</t>
  </si>
  <si>
    <t>Total enterprise value, including cash</t>
  </si>
  <si>
    <t>Total purchase price, including cash</t>
  </si>
  <si>
    <t>Notes:</t>
  </si>
  <si>
    <t>(a) Based on book value as of the Valuation Date.</t>
  </si>
  <si>
    <t>Exhibit D</t>
  </si>
  <si>
    <t>Weighted average cost of capital</t>
  </si>
  <si>
    <t>Equity market</t>
  </si>
  <si>
    <t>Debt/equity</t>
  </si>
  <si>
    <t>Income tax</t>
  </si>
  <si>
    <t>Identifier</t>
  </si>
  <si>
    <t>Currency</t>
  </si>
  <si>
    <t>Equity beta   (a)</t>
  </si>
  <si>
    <t>Total debt</t>
  </si>
  <si>
    <t>value</t>
  </si>
  <si>
    <t>market value</t>
  </si>
  <si>
    <t>rate</t>
  </si>
  <si>
    <t>Asset beta</t>
  </si>
  <si>
    <t>RELX PLC</t>
  </si>
  <si>
    <t>LSE:REL</t>
  </si>
  <si>
    <t>GBP</t>
  </si>
  <si>
    <t>Thomson Reuters Corporation</t>
  </si>
  <si>
    <t>TSX:TRI</t>
  </si>
  <si>
    <t>USD</t>
  </si>
  <si>
    <t>S&amp;P Global, Inc.</t>
  </si>
  <si>
    <t>NYSE:SPGI</t>
  </si>
  <si>
    <t>Nielsen Holdings plc</t>
  </si>
  <si>
    <t>NYSE:NLSN</t>
  </si>
  <si>
    <t>Verisk Analytics, Inc.</t>
  </si>
  <si>
    <t>NasdaqGS:VRSK</t>
  </si>
  <si>
    <t>Wolters Kluwer N.V.</t>
  </si>
  <si>
    <t>ENXTAM:WKL</t>
  </si>
  <si>
    <t>EUR</t>
  </si>
  <si>
    <t>Gartner Inc.</t>
  </si>
  <si>
    <t>NYSE:IT</t>
  </si>
  <si>
    <t>Informa plc</t>
  </si>
  <si>
    <t>LSE:INF</t>
  </si>
  <si>
    <t>FactSet Research Systems Inc.</t>
  </si>
  <si>
    <t>NYSE:FDS</t>
  </si>
  <si>
    <t>John Wiley &amp; Sons Inc.</t>
  </si>
  <si>
    <t>NYSE:JW.A</t>
  </si>
  <si>
    <t>Median</t>
  </si>
  <si>
    <t>Mean</t>
  </si>
  <si>
    <t>Cost of equity calculation</t>
  </si>
  <si>
    <t>Cost of debt calculation</t>
  </si>
  <si>
    <t>Selected asset beta</t>
  </si>
  <si>
    <t>0.75 (a)</t>
  </si>
  <si>
    <t>Debt borrowing rate   (g)</t>
  </si>
  <si>
    <t>Debt to equity market value</t>
  </si>
  <si>
    <t>19.1%   (b)</t>
  </si>
  <si>
    <t>Expected income tax rate</t>
  </si>
  <si>
    <t>After-tax cost of debt</t>
  </si>
  <si>
    <t>Risk-free rate:20 yr. Treasury Bonds</t>
  </si>
  <si>
    <t>2.0%   (c)</t>
  </si>
  <si>
    <r>
      <t>Re</t>
    </r>
    <r>
      <rPr>
        <sz val="8"/>
        <color rgb="FF000000"/>
        <rFont val="Arial"/>
        <family val="2"/>
      </rPr>
      <t>-</t>
    </r>
    <r>
      <rPr>
        <sz val="8"/>
        <color rgb="FF000000"/>
        <rFont val="Arial Narrow"/>
        <family val="2"/>
      </rPr>
      <t>levered beta</t>
    </r>
  </si>
  <si>
    <t>Debt</t>
  </si>
  <si>
    <t>Market equity risk premium</t>
  </si>
  <si>
    <t>6.5%   (d)</t>
  </si>
  <si>
    <t>Equity</t>
  </si>
  <si>
    <t>Company specific risk premium</t>
  </si>
  <si>
    <t>3.5%   (e)</t>
  </si>
  <si>
    <t>WACC</t>
  </si>
  <si>
    <t>Company size/unsystematic risk premium</t>
  </si>
  <si>
    <t>1.5%   (f)</t>
  </si>
  <si>
    <t>Cost of equity capital</t>
  </si>
  <si>
    <t>WACC (rounded)</t>
  </si>
  <si>
    <t>Notes::</t>
  </si>
  <si>
    <t>(a) Based on 2-yr weekly betas. Source: Capital IQ</t>
  </si>
  <si>
    <t>(b) Based on the average of the comparables D/E ratios as of 3 October 2016 and a review of historical D/E ratios of peers.</t>
  </si>
  <si>
    <t>(c) Source: Federal Reserve Board statistical release as of 3 October 2016.</t>
  </si>
  <si>
    <t>(d) Equity risk premium is based on historical Ibbotson equity risk premium, forward-looking premium estimates, and recent academic studies.</t>
  </si>
  <si>
    <t>(e) Company specific risk premium estimated based on perceived risk in Management's forecast.</t>
  </si>
  <si>
    <t>(f) Small Stock/Unsystematic Risk Premium of the 5th decile, is based on Duff &amp; Phelps 2016 Valuation Handbook.</t>
  </si>
  <si>
    <t>(g) Yield on 20 year Baa rated bonds as of 3 October 2016. Source: Capital IQ</t>
  </si>
  <si>
    <t>Exhibit E.1.1</t>
  </si>
  <si>
    <t>Database - Web of Science + InCites + Other G&amp;A</t>
  </si>
  <si>
    <t>2024E</t>
  </si>
  <si>
    <t>2025E</t>
  </si>
  <si>
    <t>2026E</t>
  </si>
  <si>
    <t>Revenue associated with Database</t>
  </si>
  <si>
    <t>Less: Deferred Revenue</t>
  </si>
  <si>
    <t>Adjusted revenue from database</t>
  </si>
  <si>
    <t>Weilbull curve average</t>
  </si>
  <si>
    <t>60 Years</t>
  </si>
  <si>
    <t>End of year revenue</t>
  </si>
  <si>
    <t>Pre-Tax Income</t>
  </si>
  <si>
    <t>Trademark royalty</t>
  </si>
  <si>
    <t>EBITA</t>
  </si>
  <si>
    <t>Income tax expense</t>
  </si>
  <si>
    <t>Net income (loss)</t>
  </si>
  <si>
    <t>Less: Contributory assets' charge</t>
  </si>
  <si>
    <t>After-tax cash flow</t>
  </si>
  <si>
    <t>Present value discrete cash flows</t>
  </si>
  <si>
    <t>Long Term Growth Rate</t>
  </si>
  <si>
    <t>Subtotal</t>
  </si>
  <si>
    <t>Recommended Fair Value (rounded)</t>
  </si>
  <si>
    <t>Survival Years</t>
  </si>
  <si>
    <t>Selected assumptions</t>
  </si>
  <si>
    <t>Growth % of beginning revenue</t>
  </si>
  <si>
    <t>n/a</t>
  </si>
  <si>
    <t>Adjusted EBITDA margin</t>
  </si>
  <si>
    <t>EBITA margin</t>
  </si>
  <si>
    <t>Contributory assets charge</t>
  </si>
  <si>
    <t>(a) Calculation based on current tax legislation.  See narrative report for more detail.</t>
  </si>
  <si>
    <t>Exhibit E.1.2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</si>
  <si>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</si>
  <si>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</si>
  <si>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</si>
  <si>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</si>
  <si>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</si>
  <si>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</si>
  <si>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</si>
  <si>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</si>
  <si>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</si>
  <si>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2036E</t>
  </si>
  <si>
    <t>2037E</t>
  </si>
  <si>
    <t>Contributory assets' charge</t>
  </si>
  <si>
    <t>Exhibit E.1.3</t>
  </si>
  <si>
    <t>2038E</t>
  </si>
  <si>
    <t>2039E</t>
  </si>
  <si>
    <t>2040E</t>
  </si>
  <si>
    <t>2041E</t>
  </si>
  <si>
    <t>2042E</t>
  </si>
  <si>
    <t>2043E</t>
  </si>
  <si>
    <t>2044E</t>
  </si>
  <si>
    <t>2045E</t>
  </si>
  <si>
    <t>2046E</t>
  </si>
  <si>
    <t>Exhibit E.2.1</t>
  </si>
  <si>
    <t>Database - Cortellis + LS Others</t>
  </si>
  <si>
    <t>Adjusted Revenue from Database</t>
  </si>
  <si>
    <t>30 Years</t>
  </si>
  <si>
    <t>Exhibit E.2.2</t>
  </si>
  <si>
    <t>Exhibit E.2.3</t>
  </si>
  <si>
    <t>Exhibit E.3.1</t>
  </si>
  <si>
    <t>Database- Integrity</t>
  </si>
  <si>
    <t>Exhibit E.3.2</t>
  </si>
  <si>
    <t>Exhibit E.3.3</t>
  </si>
  <si>
    <t>Exhibit E.4.1</t>
  </si>
  <si>
    <t>Database- Newport</t>
  </si>
  <si>
    <t>Exhibit E.4.2</t>
  </si>
  <si>
    <t>Exhibit E.4.3</t>
  </si>
  <si>
    <t>Exhibit E.5.1</t>
  </si>
  <si>
    <t>Database- Innovation</t>
  </si>
  <si>
    <t>Exhibit E.5.2</t>
  </si>
  <si>
    <t>Exhibit E.5.3</t>
  </si>
  <si>
    <t>Valuation as of 11 July 2016</t>
  </si>
  <si>
    <t>Exhibit E.6.1</t>
  </si>
  <si>
    <t>Database - CompuMark</t>
  </si>
  <si>
    <t>Exhibit E.6.2</t>
  </si>
  <si>
    <t>Exhibit E.6.3</t>
  </si>
  <si>
    <t>Exhibit E.7.1</t>
  </si>
  <si>
    <t>Database- Metacore</t>
  </si>
  <si>
    <t>Exhibit E.7.2</t>
  </si>
  <si>
    <t>Exhibit E.7.3</t>
  </si>
  <si>
    <t>Applications - Customer Relationship</t>
  </si>
  <si>
    <t>Revenue associated with Applications</t>
  </si>
  <si>
    <t>Growth</t>
  </si>
  <si>
    <t>Attrition</t>
  </si>
  <si>
    <t>Average Revenue</t>
  </si>
  <si>
    <t>Deferred revenue adjustment</t>
  </si>
  <si>
    <t>Adjusted revenue from Applications</t>
  </si>
  <si>
    <t>Technology royalty</t>
  </si>
  <si>
    <t>Developed Technology Royalty Rate</t>
  </si>
  <si>
    <t>(b)</t>
  </si>
  <si>
    <t>Selling and Marketing Costs Related to New Customers</t>
  </si>
  <si>
    <t>(a) Selling and marketing adjusted to reflect only selling and marketing associated with the existing customer base.</t>
  </si>
  <si>
    <t>(b) Calculation based on current tax legislation.  See narrative report for more detail.</t>
  </si>
  <si>
    <t>Exhibit G.4</t>
  </si>
  <si>
    <t>Applications - Service Customer Relationship</t>
  </si>
  <si>
    <t>Revenue associated with Consulting Services</t>
  </si>
  <si>
    <t>Adjusted revenue from Consulting Services</t>
  </si>
  <si>
    <t>LT Growth Rate</t>
  </si>
  <si>
    <t>Exhibit G.5</t>
  </si>
  <si>
    <t>Exhibit H.1</t>
  </si>
  <si>
    <t>Application Technology</t>
  </si>
  <si>
    <t>Total</t>
  </si>
  <si>
    <t>Remaining Life</t>
  </si>
  <si>
    <t>Total revenue dependent on technology before</t>
  </si>
  <si>
    <t>obsolescence</t>
  </si>
  <si>
    <t>EndNote</t>
  </si>
  <si>
    <t>Weibull curve average</t>
  </si>
  <si>
    <t>ScholarOne</t>
  </si>
  <si>
    <t>Techstreet</t>
  </si>
  <si>
    <t>Mark Monitor</t>
  </si>
  <si>
    <t>TRAM Revenues</t>
  </si>
  <si>
    <t>Application technology revenue</t>
  </si>
  <si>
    <t>Royalty saved</t>
  </si>
  <si>
    <t>Pretax royalty income</t>
  </si>
  <si>
    <t>Net royalty income</t>
  </si>
  <si>
    <t>Present value of after-tax royalty income</t>
  </si>
  <si>
    <t>Royalty Saved</t>
  </si>
  <si>
    <t>Reasonability test</t>
  </si>
  <si>
    <t>Royalty share of EBITA margin</t>
  </si>
  <si>
    <t>Technology market royalty rates</t>
  </si>
  <si>
    <t>Royalty rate</t>
  </si>
  <si>
    <t>Licensor</t>
  </si>
  <si>
    <t>Licensee</t>
  </si>
  <si>
    <t>Licensor business</t>
  </si>
  <si>
    <t>Description</t>
  </si>
  <si>
    <t>Basis</t>
  </si>
  <si>
    <t>Robertson Technologies</t>
  </si>
  <si>
    <t>Telemedicine Africa (Pty) Ltd Business Services, Computers:</t>
  </si>
  <si>
    <t>1. Grant the right to access and the Software (the RHealth Advisor healthcare solution including web-enabled services for mobile</t>
  </si>
  <si>
    <t>Gross Sales</t>
  </si>
  <si>
    <t>Licensing LLC</t>
  </si>
  <si>
    <t>Hardware and Software, Consumer applications, user interfaces, backend knowledge management system, and the Robertson Health engines) and documentation during the</t>
  </si>
  <si>
    <t>Services, Healthcare: Facilities,</t>
  </si>
  <si>
    <t>term of this Agreement for its own internal business purposes.</t>
  </si>
  <si>
    <t>Healthcare: Products and Supplies,</t>
  </si>
  <si>
    <t>Internet, Telecommunications,</t>
  </si>
  <si>
    <t>Consumer Durables</t>
  </si>
  <si>
    <t>LOGICAPITAL</t>
  </si>
  <si>
    <t>JOHNSTONE</t>
  </si>
  <si>
    <t>Computers: Hardware and</t>
  </si>
  <si>
    <t>1. Grant the right to use, reproduce and distribute directly to paid subscribers of Licensee Websites any Output Data published on a</t>
  </si>
  <si>
    <t>CORPORATION</t>
  </si>
  <si>
    <t>SOFTMACHINE</t>
  </si>
  <si>
    <t>Software, Financial Services,</t>
  </si>
  <si>
    <t>Licensee Website generated by Licensor at Licensee's request.</t>
  </si>
  <si>
    <t>Internet, Business Services,</t>
  </si>
  <si>
    <t>Consumer Services</t>
  </si>
  <si>
    <t>2. Grant the right to use the trademark "Profit EngineTM" in association with the Licensed Products, provided that Licensor is clearly</t>
  </si>
  <si>
    <t>identified as the owner of Profit EngineTM.</t>
  </si>
  <si>
    <t>CaptureQuest, Inc.</t>
  </si>
  <si>
    <t>eWorldMedia, Inc.</t>
  </si>
  <si>
    <t>1. Grant the right to use CaptureQuest's Technology relating to  email and on-line advertising, and Software designed to create customized</t>
  </si>
  <si>
    <t>Net Sales</t>
  </si>
  <si>
    <t>Software, Advertising</t>
  </si>
  <si>
    <t>email marketing campaigns, deliver such campaigns or track their success.</t>
  </si>
  <si>
    <t>2. Grant the right to use all rights of CaptureQuest in the items designed for the Customized System and the Templates whatsoever, except</t>
  </si>
  <si>
    <t>for CaptureQuest's Toolset now existing or hereafter discovered, in all media and forms of expression.</t>
  </si>
  <si>
    <t>3. Grant the right to reproduce, make derivative works, publicly perform or publicly display the portions of the Customized System or</t>
  </si>
  <si>
    <t>Templates deemed to be EWorldMedia's intellectual property.</t>
  </si>
  <si>
    <t>MEDIA GENERAL</t>
  </si>
  <si>
    <t>AXXESS, INC.</t>
  </si>
  <si>
    <t>1. Grant the right to install, market, and distribute the QuickSource dataset of selected elements of Media's common stock database</t>
  </si>
  <si>
    <t>FINANCIAL SERVICES,</t>
  </si>
  <si>
    <t>Software, Internet</t>
  </si>
  <si>
    <t>through AXXESS's www.rapidresearch.com Web site.</t>
  </si>
  <si>
    <t>INC.</t>
  </si>
  <si>
    <t>Forecross (R) Corporation, CY2K Solutions, L.L.C.</t>
  </si>
  <si>
    <t>Business Services, Computers:</t>
  </si>
  <si>
    <t>1. Grant the right to use the Licensed Product (a proprietary software system including programs, options, documentation, data and</t>
  </si>
  <si>
    <t>FORECROSS</t>
  </si>
  <si>
    <t>Hardware and Software</t>
  </si>
  <si>
    <t>information, collectively entitled ASSESS/2000).</t>
  </si>
  <si>
    <t>CCC Information Services Synergy 2000, Inc.</t>
  </si>
  <si>
    <t>1. Grant the right to develop the claims management system for use in processing personal and commercial motor vehicle insurance claims</t>
  </si>
  <si>
    <t>Inc.</t>
  </si>
  <si>
    <t>and to process multiple lines of insurance (e.g., Homeowners, Personal Liability, Personal Umbrella) in accordance with the Specifications;</t>
  </si>
  <si>
    <t>Business Services</t>
  </si>
  <si>
    <t>and to use its best efforts to develop the ability to process claims involving commercial lines of insurance, excluding motor vehicle claims.</t>
  </si>
  <si>
    <t>Viaquo Corporatiob</t>
  </si>
  <si>
    <t>SiVault Analytics</t>
  </si>
  <si>
    <t>1. Grant the right to host electronically the ViaSeal software for use in protecting transactions-based data in primarily in the health care</t>
  </si>
  <si>
    <t>Software, Healthcare: Facilities</t>
  </si>
  <si>
    <t>industry, typically pharmaceutical and medical services and related transactions.</t>
  </si>
  <si>
    <t>2. Grant the right to brand its product offerings as "Secured by Viaquo"</t>
  </si>
  <si>
    <t>1. Grant the right to use, reproduce and distribute directly to paid subscribers of licensee websites any licensed products to analyze</t>
  </si>
  <si>
    <t>Software, Agribusiness</t>
  </si>
  <si>
    <t>livestock market feed data and generate useful information for investors in realtime, such as, for example, lists of the highest returning</t>
  </si>
  <si>
    <t>covered call options ("Profit EngineTM").</t>
  </si>
  <si>
    <t>Stock Siren.com, LLC</t>
  </si>
  <si>
    <t>1. Grant the right to install, market, and distribute</t>
  </si>
  <si>
    <t>the QuickSource dataset of selected elements of Media's common stock database</t>
  </si>
  <si>
    <t>Business Services, Consumer</t>
  </si>
  <si>
    <t>through StockSiren Web site.</t>
  </si>
  <si>
    <t>Services</t>
  </si>
  <si>
    <t>2. Grant the right to develop and market such other products utilizing the Media data available for all companies over all historical period</t>
  </si>
  <si>
    <t>relating to stock and other financial information.</t>
  </si>
  <si>
    <t>GSE Systems,  Inc.</t>
  </si>
  <si>
    <t>Avantium B.V.</t>
  </si>
  <si>
    <t>1. Grant the right to use the source code of the GSE Products: A. BatchCAD Version 7.0 or later; B. BatchWizard Version 1.0 or later; C.</t>
  </si>
  <si>
    <t>Hardware and Software, Chemicals, VPbatch Version 1.3 or later; D. SimSuite Pro Version 3.0 or later; and E. TotalVision Version 1.1 or later.</t>
  </si>
  <si>
    <t>Healthcare: Pharmaceutical</t>
  </si>
  <si>
    <t>2. Grant the right to use the object code of the GSE Products; for the  research and development (R&amp;D) of a HSE&amp;S informatics system</t>
  </si>
  <si>
    <t>and the development of New Software Products.</t>
  </si>
  <si>
    <t>3. Grant the right to execute the first right of refusal to be appointed as the sole and exclusive  distributor  of each such New  Software</t>
  </si>
  <si>
    <t>Product and all  upgraded,  revised,  reformatted, modified, similar or renamed version and improvement of each such New Software</t>
  </si>
  <si>
    <t>Product.</t>
  </si>
  <si>
    <t>ActiveHire, Inc.</t>
  </si>
  <si>
    <t>Bright Mountainr LLC</t>
  </si>
  <si>
    <t>Consumer Services, Business</t>
  </si>
  <si>
    <t>1. Grant the right to resell access to the Service (the Bright Mountain® LLC private label version of ActiveHire, Inc.'s ZillionResumes.com</t>
  </si>
  <si>
    <t>Other</t>
  </si>
  <si>
    <t>Services, Computers: Hardware</t>
  </si>
  <si>
    <t>service) during the Term, with respect only to any interest ActiveHire, Inc. has in the Service and in the resume data provided by the</t>
  </si>
  <si>
    <t>and Software, Internet</t>
  </si>
  <si>
    <t>Service, to use, reproduce, distribute, license and display the resume data provided by the Service, to do only the following: a. Resell</t>
  </si>
  <si>
    <t>monthly subscription access to the Service directly to its end user customers and prospects; b. Use the Service internally for selling and</t>
  </si>
  <si>
    <t>supporting the Service; c. Rename the Service under its own private branding label for use by any Customer, as long as ActiveHire, Inc. has</t>
  </si>
  <si>
    <t>reviewed and approved, in writing, all such materials before use and publication, such review and approval shall not be unreasonably</t>
  </si>
  <si>
    <t>withheld or delayed; and d. Take all such actions with respect to any and all of the foregoing as may be reasonably necessary to give full</t>
  </si>
  <si>
    <t>effect to the purposes of this Agreement.</t>
  </si>
  <si>
    <t>Authentec Corporation</t>
  </si>
  <si>
    <t>Digital Descriptor Systems</t>
  </si>
  <si>
    <t>1. Grant the right to use the PowerMatch software and all</t>
  </si>
  <si>
    <t>Software, Public Safety</t>
  </si>
  <si>
    <t>documentation with respect to the foregoing, to make, have made, use, improve, market and license products and to provide services to</t>
  </si>
  <si>
    <t>customers.</t>
  </si>
  <si>
    <t>UNIVERSITY OF</t>
  </si>
  <si>
    <t>INTELLIGENT SYSTEMS,</t>
  </si>
  <si>
    <t>1. Grant the right to use, modify and copy the "DATA CRYSTAL" software, which is designed for data mining and discovering relational</t>
  </si>
  <si>
    <t>SOUTHERN CALIFORNIA INC.</t>
  </si>
  <si>
    <t>Software, Education</t>
  </si>
  <si>
    <t>patterns from databases solely to develop or have developed derivative works.</t>
  </si>
  <si>
    <t>MRX-NET.COM, Inc.</t>
  </si>
  <si>
    <t>HealthCentrics, Inc.</t>
  </si>
  <si>
    <t>1. Grant the right to use the Licensed Materials (all HTML, XML, other Source Code, Object Code, database architectures and system</t>
  </si>
  <si>
    <t>Hardware and Software,</t>
  </si>
  <si>
    <t>documentation) related to MedBillRx (a proprietary medical billing system), ComplyMD (a physician compliance monitoring program), and</t>
  </si>
  <si>
    <t>Healthcare: Facilities, Internet</t>
  </si>
  <si>
    <t>SnaPPNet.</t>
  </si>
  <si>
    <t>FUJITSU-SIEMENS</t>
  </si>
  <si>
    <t>UNISPHERE NETWORKS</t>
  </si>
  <si>
    <t>1. Grant the right to use the human readable source code and all applicable user documentation and the matching machine readable binary Gross Sales</t>
  </si>
  <si>
    <t>Software, Internet,</t>
  </si>
  <si>
    <t>code and all applicable user documentation for any delivered RTP version or release or patch, including comments, tools, notes, and related</t>
  </si>
  <si>
    <t>Telecommunications, Business</t>
  </si>
  <si>
    <t>and supporting technical documentation of RTP (Resilient Telco Platform).</t>
  </si>
  <si>
    <t>2. Grant the right to use, copy and modify the Source Code version of the RTP Software (except 3rd party software) for purposes of</t>
  </si>
  <si>
    <t>development of bug fixes, patches or work-arounds for any reported problems or errors, which are of severity, level 1 and 2 and which</t>
  </si>
  <si>
    <t>require urgent resolution.</t>
  </si>
  <si>
    <t>3. Grant the right to copy the Source Code as required for purposes of back-up, disaster recovery or source code control.</t>
  </si>
  <si>
    <t>4. Grant the right to incorporate the Object Code version of the RTP Software into the Named Products (Unisphere Networks Inc. SRX-</t>
  </si>
  <si>
    <t>3000).</t>
  </si>
  <si>
    <t>5. Grant the right to distribute and sublicense copies of the Object Code version of the RTP Software to Licensee's end users for use with</t>
  </si>
  <si>
    <t>Prosoft I-Net Solutions,</t>
  </si>
  <si>
    <t>Training Resources</t>
  </si>
  <si>
    <t>Computers: Hardware and Software 1. Grant the right to reproduce and distribute the Courseware Titles exclusively for distribution and resale to Educational Institutions.</t>
  </si>
  <si>
    <t>International, Inc.</t>
  </si>
  <si>
    <t>THE BOARD OF</t>
  </si>
  <si>
    <t>CIRCLE GROUP</t>
  </si>
  <si>
    <t>1. Grant the right to receive assignment of rights, title and interest as licensee under the license agreement.</t>
  </si>
  <si>
    <t>TRUSTEES OF THE</t>
  </si>
  <si>
    <t>HOLDINGS, INC.</t>
  </si>
  <si>
    <t>Software, Education, Healthcare:</t>
  </si>
  <si>
    <t>Products and Supplies</t>
  </si>
  <si>
    <t>2. Grant the right to promote, copy, create derivative works, distribute, resell, install, maintain, support and otherwise market the NAT Tool</t>
  </si>
  <si>
    <t>ILLINOIS, UTEK</t>
  </si>
  <si>
    <t>Version 2.0, MyNAT, Energy Calculator, Nutrition Analysis Tool (NAT), and The Energy Calculator software.</t>
  </si>
  <si>
    <t>West Virginia University</t>
  </si>
  <si>
    <t>Cybermarche, Inc.</t>
  </si>
  <si>
    <t>1. Grant the right to use, display, copy, modify, duplicate, make, have made, sell, import, export, and otherwise distribute the Software (the</t>
  </si>
  <si>
    <t>Research Corporation,</t>
  </si>
  <si>
    <t>ARTEMIS patient medical record management software).</t>
  </si>
  <si>
    <t>Healthcare: Facilities</t>
  </si>
  <si>
    <t>BioFactors, Inc., Systems Bogart International</t>
  </si>
  <si>
    <t>Healthcare: Products and Supplies, 1. Grant the right to reproduce, manufacture, use and market directly and through sub-distributors and/or sublicensees, to commercial end-</t>
  </si>
  <si>
    <t>Technology, Inc.</t>
  </si>
  <si>
    <t>Associates, Inc.</t>
  </si>
  <si>
    <t>Biotechnology, Computers:</t>
  </si>
  <si>
    <t>user customers, the SportsTrac System (a prototype on-field athletic performance system based on the FACTOR 1000 Service, a non-</t>
  </si>
  <si>
    <t>invasive fitness-for-work testing service, and proprietary computer software and associated protocols and methodology for objectively</t>
  </si>
  <si>
    <t>Entertainment</t>
  </si>
  <si>
    <t>testing operator psychomotor skills) solely for sports-related and sports entertainment applications (Sports-related and sports entertainment</t>
  </si>
  <si>
    <t>applications shall include athletic performance enhancement, measuring sports diagnostics, sports rehabilitation and sports related clinical</t>
  </si>
  <si>
    <t>applications and applications directly related to the foregoing).</t>
  </si>
  <si>
    <t>ALTERNATE HEALTH</t>
  </si>
  <si>
    <t>NEW GLOBAL MEDICAL,</t>
  </si>
  <si>
    <t>1. Grant the right to take advantage of certain strengths it could access and develop its own Business Plan, focused primarily on the</t>
  </si>
  <si>
    <t>Software, Healthcare: Products and Medical Marijuana Industry and also in respect of the more traditional medical industry. This exclusive license grant includes no additional</t>
  </si>
  <si>
    <t>Supplies, Internet, Business</t>
  </si>
  <si>
    <t>fee or cost for all updates to the Licensed Property (the CanaCard Patient Management Software System) as well as the right of Licensee</t>
  </si>
  <si>
    <t>Services, Consumer Services,</t>
  </si>
  <si>
    <t>to use the Documentation.</t>
  </si>
  <si>
    <t>Consumer Non Durables</t>
  </si>
  <si>
    <t>High</t>
  </si>
  <si>
    <t>Average</t>
  </si>
  <si>
    <t>Low</t>
  </si>
  <si>
    <t>(a) Source: KtMINE</t>
  </si>
  <si>
    <t>Internally developed software related to databases (historical cost basis)</t>
  </si>
  <si>
    <t>(USD in Actuals, unless indicated)</t>
  </si>
  <si>
    <t>Software Fixed Asset Register</t>
  </si>
  <si>
    <t>Net Book Value based on 10</t>
  </si>
  <si>
    <t>Acquisition Value</t>
  </si>
  <si>
    <t>Accumulated Deprecation</t>
  </si>
  <si>
    <t>Book Value</t>
  </si>
  <si>
    <t>years life</t>
  </si>
  <si>
    <t>Developed Software</t>
  </si>
  <si>
    <t>AUC - Developed Software</t>
  </si>
  <si>
    <t>Fair Value of Software</t>
  </si>
  <si>
    <t>Less: Fair Value of Developed technology</t>
  </si>
  <si>
    <t>associated with applications</t>
  </si>
  <si>
    <t>Recommended Fair Value of Internally</t>
  </si>
  <si>
    <t>Developed Software (Rounded)</t>
  </si>
  <si>
    <t>(a) Provided by Management.</t>
  </si>
  <si>
    <t>Internally developed software related to databases (cost to recreate)</t>
  </si>
  <si>
    <t>(USD actual unless indicated)</t>
  </si>
  <si>
    <t>Cost to rewrite</t>
  </si>
  <si>
    <t>Program</t>
  </si>
  <si>
    <t>Annual Project Spend</t>
  </si>
  <si>
    <t>Annual Maintenance Spend</t>
  </si>
  <si>
    <t>Total Development Spend</t>
  </si>
  <si>
    <t>Years to rewrite Application</t>
  </si>
  <si>
    <t>Application</t>
  </si>
  <si>
    <t>WoS</t>
  </si>
  <si>
    <t>Cortellis</t>
  </si>
  <si>
    <t>Integrity</t>
  </si>
  <si>
    <t>Newport</t>
  </si>
  <si>
    <t>Metacore</t>
  </si>
  <si>
    <t>Innovation</t>
  </si>
  <si>
    <t>TCM</t>
  </si>
  <si>
    <t>Total Costs</t>
  </si>
  <si>
    <t>Add: Opportunity cost avoided</t>
  </si>
  <si>
    <t>Recommended Fair Value (rounded in million)</t>
  </si>
  <si>
    <t>(b) This is supporting data for a cross check purpose only.</t>
  </si>
  <si>
    <t>Contributory asset charges - TRSI High Charge</t>
  </si>
  <si>
    <t>Total Revenue - IPS</t>
  </si>
  <si>
    <t>Total Revenue - TRSI</t>
  </si>
  <si>
    <t>Total Revenue - Web of Science + Incites</t>
  </si>
  <si>
    <t>Total Revenue - Cortellis</t>
  </si>
  <si>
    <t>Total Revenue - Newport</t>
  </si>
  <si>
    <t>Total Revenue - Integrity</t>
  </si>
  <si>
    <t>Total Revenue - Innovation</t>
  </si>
  <si>
    <t>Total Revenue - Metacore</t>
  </si>
  <si>
    <t>Debt-free net working capital (DFNWC)</t>
  </si>
  <si>
    <t>Charge (after-tax rate)</t>
  </si>
  <si>
    <t>Charge (after-tax rate), % of total revenue</t>
  </si>
  <si>
    <t>Normalized level, % of revenue</t>
  </si>
  <si>
    <t>Fixed assets (excluding land)</t>
  </si>
  <si>
    <t>Assembled workforce</t>
  </si>
  <si>
    <t>Wos Customer Relationship</t>
  </si>
  <si>
    <t>Normalized level</t>
  </si>
  <si>
    <t>Cortellis Customer Relationship</t>
  </si>
  <si>
    <t>Integrity Customer Relationship</t>
  </si>
  <si>
    <t>Newport Customer Relationship</t>
  </si>
  <si>
    <t>Innovation Customer Relationship</t>
  </si>
  <si>
    <t>Metacore Customer Relationship</t>
  </si>
  <si>
    <t>Internally Developed Software -</t>
  </si>
  <si>
    <t>Database</t>
  </si>
  <si>
    <t>Total Contributory Asset Charges - WOS</t>
  </si>
  <si>
    <t>Total Contributory Asset Charges - Cortellis</t>
  </si>
  <si>
    <t>Total Contributory Asset Charges - Integrity</t>
  </si>
  <si>
    <t>Total Contributory Asset Charges - Newport</t>
  </si>
  <si>
    <t>Total Contributory Asset Charges - Innovation</t>
  </si>
  <si>
    <t>Total Contributory Asset Charges - Metacore</t>
  </si>
  <si>
    <t>Exhibit I.2</t>
  </si>
  <si>
    <t>Contributory asset charges - TRBP High Charge</t>
  </si>
  <si>
    <t>Total Revenue - TRBP</t>
  </si>
  <si>
    <t>Total Revenue - CompuMark</t>
  </si>
  <si>
    <t>CompuMark Customer Relationship</t>
  </si>
  <si>
    <t>Internally Developed Software</t>
  </si>
  <si>
    <t>Total Contributory Asset Charges - CompuMark</t>
  </si>
  <si>
    <t>Exhibit I.4</t>
  </si>
  <si>
    <t>Application Customers - Contributory Asset Charges</t>
  </si>
  <si>
    <t>Total Revenue</t>
  </si>
  <si>
    <t>Asset</t>
  </si>
  <si>
    <t>Total Contributory Asset Charges</t>
  </si>
  <si>
    <t>Exhibit I.5</t>
  </si>
  <si>
    <t>USD in Actuals unless indicated</t>
  </si>
  <si>
    <t>compensation (w/o</t>
  </si>
  <si>
    <t>Average total</t>
  </si>
  <si>
    <t>Average Weekly</t>
  </si>
  <si>
    <t>Recruiting costs per</t>
  </si>
  <si>
    <t>Other costs per</t>
  </si>
  <si>
    <t>% of Time Spent</t>
  </si>
  <si>
    <t>Employee category</t>
  </si>
  <si>
    <t>burden)</t>
  </si>
  <si>
    <t>Burden rate  (%)</t>
  </si>
  <si>
    <t>compensation</t>
  </si>
  <si>
    <t>individual</t>
  </si>
  <si>
    <t>Weeks in training</t>
  </si>
  <si>
    <t>Training</t>
  </si>
  <si>
    <t>Training Costs</t>
  </si>
  <si>
    <t>A</t>
  </si>
  <si>
    <t>B</t>
  </si>
  <si>
    <t>C = A*(1+B)</t>
  </si>
  <si>
    <t>D</t>
  </si>
  <si>
    <t>F</t>
  </si>
  <si>
    <t>G</t>
  </si>
  <si>
    <t>Brand</t>
  </si>
  <si>
    <t>Finance</t>
  </si>
  <si>
    <t>HR</t>
  </si>
  <si>
    <t>Innovation Industries</t>
  </si>
  <si>
    <t>Content</t>
  </si>
  <si>
    <t>Legal</t>
  </si>
  <si>
    <t>Marketing</t>
  </si>
  <si>
    <t>Sales</t>
  </si>
  <si>
    <t>Strategy</t>
  </si>
  <si>
    <t>Technology</t>
  </si>
  <si>
    <t>Number of employees</t>
  </si>
  <si>
    <t>Total recruiting costs</t>
  </si>
  <si>
    <t>Total other costs</t>
  </si>
  <si>
    <t>Total Training Costs</t>
  </si>
  <si>
    <t>Total cost</t>
  </si>
  <si>
    <t>I</t>
  </si>
  <si>
    <t>J = D * I</t>
  </si>
  <si>
    <t>K = E * I</t>
  </si>
  <si>
    <t>L = H * I</t>
  </si>
  <si>
    <t>M = J + K + L</t>
  </si>
  <si>
    <t>Total workforce cost</t>
  </si>
  <si>
    <t>Total value per employee</t>
  </si>
  <si>
    <t>Customer Relationship - Web of Science including Incites</t>
  </si>
  <si>
    <t>Scenario 1 - Cash flows with Customer base in place (a)</t>
  </si>
  <si>
    <t>Revenue</t>
  </si>
  <si>
    <t>Operating Expenses</t>
  </si>
  <si>
    <t>EBITDA</t>
  </si>
  <si>
    <t>Depreciation</t>
  </si>
  <si>
    <t>Income Tax Expenses</t>
  </si>
  <si>
    <t>Net Income</t>
  </si>
  <si>
    <t>Add/(Less): Changes in DFNWC</t>
  </si>
  <si>
    <t>After-Tax Cash flow</t>
  </si>
  <si>
    <t>Assumptions</t>
  </si>
  <si>
    <t>Revenue Growth</t>
  </si>
  <si>
    <t>EBITDA Margin</t>
  </si>
  <si>
    <t>NWC Requirement as a % of Revenue</t>
  </si>
  <si>
    <t>Capital Expenditure</t>
  </si>
  <si>
    <t>Scenario 2 - Cash flows without Customer base in place (a)</t>
  </si>
  <si>
    <t>Customer Ramp up Time</t>
  </si>
  <si>
    <t>Revenue with existing customers</t>
  </si>
  <si>
    <t>Fixed Operating Expense</t>
  </si>
  <si>
    <t>Variable Operating Expense</t>
  </si>
  <si>
    <t>Incremental Operating Expense</t>
  </si>
  <si>
    <t>EBITDA Check</t>
  </si>
  <si>
    <t>After-tax net cash flow</t>
  </si>
  <si>
    <t>Scenario 1 - With Customer Cash Flow</t>
  </si>
  <si>
    <t>Scenario 2 - Without Customer Cash Flow</t>
  </si>
  <si>
    <t>Differential, after-tax cash flow</t>
  </si>
  <si>
    <t>Customer Ramp-up</t>
  </si>
  <si>
    <t>Incremental</t>
  </si>
  <si>
    <t>Cost in Yr 1</t>
  </si>
  <si>
    <t>Operating expenses, total</t>
  </si>
  <si>
    <t>Operating expenses, % fixed</t>
  </si>
  <si>
    <t>Operating expenses, % variable</t>
  </si>
  <si>
    <t>Incremental fixed operating expenses</t>
  </si>
  <si>
    <t>Net working capital</t>
  </si>
  <si>
    <t>Capital expenditures</t>
  </si>
  <si>
    <t>(a) Based on discussions with Management.</t>
  </si>
  <si>
    <t>Customer Relationship - Cortellis</t>
  </si>
  <si>
    <t>Scenario 2 - Cash flows without Customer base in place</t>
  </si>
  <si>
    <t>Recommended Fair Value (rounded) High</t>
  </si>
  <si>
    <t>Customer Relationship - Integrity</t>
  </si>
  <si>
    <t>Customer Relationship - Newport</t>
  </si>
  <si>
    <t>Customer Relationship - Innovation</t>
  </si>
  <si>
    <t>2.9months</t>
  </si>
  <si>
    <t>Customer Relationship - CompuMark</t>
  </si>
  <si>
    <t>Customer Relationship - Metacore</t>
  </si>
  <si>
    <t>Exhibit K.1</t>
  </si>
  <si>
    <t>Trademark and trade name</t>
  </si>
  <si>
    <t>Total remaining life (in years)</t>
  </si>
  <si>
    <t>Years before obsolescence begins</t>
  </si>
  <si>
    <t>Revenue dependent on trademark/trade name</t>
  </si>
  <si>
    <t>Developed trademark/trade name contribution</t>
  </si>
  <si>
    <t>Trademark/trade name revenue</t>
  </si>
  <si>
    <t>Royalty Rates</t>
  </si>
  <si>
    <t>Present value terminal cash flow</t>
  </si>
  <si>
    <t>Exhibit K.2</t>
  </si>
  <si>
    <t>Exhibit L</t>
  </si>
  <si>
    <t>Capital equipment detail</t>
  </si>
  <si>
    <t>Opening capital equipment balance</t>
  </si>
  <si>
    <t>Capital expenditures (additions)</t>
  </si>
  <si>
    <t>Opening balance</t>
  </si>
  <si>
    <t>Additions, period 1</t>
  </si>
  <si>
    <t>Additions, period 2</t>
  </si>
  <si>
    <t>Additions, period 3</t>
  </si>
  <si>
    <t>Additions, period 4</t>
  </si>
  <si>
    <t>Additions, period 5</t>
  </si>
  <si>
    <t>Additions, period 6</t>
  </si>
  <si>
    <t>Additions, period 7</t>
  </si>
  <si>
    <t>Additions, period 8</t>
  </si>
  <si>
    <t>Ending net balance</t>
  </si>
  <si>
    <t>Average net capital equipment</t>
  </si>
  <si>
    <t>Avg net cap. equipment turnover (a)</t>
  </si>
  <si>
    <t>nmf</t>
  </si>
  <si>
    <t>Average remaining lives (net capital equipment)</t>
  </si>
  <si>
    <t>years</t>
  </si>
  <si>
    <t>New asset additions</t>
  </si>
  <si>
    <t>(a) Defined as total revenue divided by average net capital equipment.</t>
  </si>
  <si>
    <t>TRSI Deferred Revenue</t>
  </si>
  <si>
    <t>Cost of sales</t>
  </si>
  <si>
    <t>Allocations of Data Center, RE and admin support</t>
  </si>
  <si>
    <t>Selling and Marketing</t>
  </si>
  <si>
    <t>Other general &amp; administrative expenses</t>
  </si>
  <si>
    <t>Total direct and indirect expenses</t>
  </si>
  <si>
    <t>Total company EBITA margin, including book depreciation</t>
  </si>
  <si>
    <t>Cost based profit margin</t>
  </si>
  <si>
    <t>Total deferred revenue to be recognized (a)</t>
  </si>
  <si>
    <t>Deferred revenue to be recognized</t>
  </si>
  <si>
    <t>Direct and indirect costs to fulfill obligation</t>
  </si>
  <si>
    <t>Add: Normal margin</t>
  </si>
  <si>
    <t>Present value factor, pretax</t>
  </si>
  <si>
    <t>Present value of cash flow</t>
  </si>
  <si>
    <t>Sum, present value of cash flow</t>
  </si>
  <si>
    <t>Recommended Fair Value as a % of book value</t>
  </si>
  <si>
    <t>(a) Based on book value as of March 31, 2016.</t>
  </si>
  <si>
    <t>Exhibit M.2</t>
  </si>
  <si>
    <t>TRBP Deferred Revenue</t>
  </si>
  <si>
    <t>Allocations of Data Center, RE and admin</t>
  </si>
  <si>
    <t>support</t>
  </si>
  <si>
    <t>Total company EBITA margin, including book</t>
  </si>
  <si>
    <t>depreciation</t>
  </si>
  <si>
    <t>Exhibit M.3</t>
  </si>
  <si>
    <t>TRAM Deferred Revenue</t>
  </si>
  <si>
    <t>Selected income statement information -IP&amp;S</t>
  </si>
  <si>
    <t>For the years ended 31 Dec</t>
  </si>
  <si>
    <t>Period ended</t>
  </si>
  <si>
    <t>2012A</t>
  </si>
  <si>
    <t>2013A</t>
  </si>
  <si>
    <t>2014A</t>
  </si>
  <si>
    <t>2015A</t>
  </si>
  <si>
    <t>YTD</t>
  </si>
  <si>
    <t>30 June 2016</t>
  </si>
  <si>
    <t>Cost of goods sold</t>
  </si>
  <si>
    <t>Gross profit</t>
  </si>
  <si>
    <t>General and administrative</t>
  </si>
  <si>
    <t>Selling and marketing</t>
  </si>
  <si>
    <t>Allocation of costs from Parent and affiliates</t>
  </si>
  <si>
    <t>Other operating (losses)gains</t>
  </si>
  <si>
    <t>Amortization</t>
  </si>
  <si>
    <t>EBIT</t>
  </si>
  <si>
    <t>Selected performance metrics</t>
  </si>
  <si>
    <t>Over 4 yrs</t>
  </si>
  <si>
    <t>Over 3 yrs</t>
  </si>
  <si>
    <t>Over 2 yrs</t>
  </si>
  <si>
    <t>Revenue growth</t>
  </si>
  <si>
    <t>(100.0%) CAGR</t>
  </si>
  <si>
    <t>Gross profit margin</t>
  </si>
  <si>
    <t>69.4%  Average</t>
  </si>
  <si>
    <t>EBITDA margin</t>
  </si>
  <si>
    <t>22.4%  Average</t>
  </si>
  <si>
    <t>EBIT margin</t>
  </si>
  <si>
    <t>12.0%  Average</t>
  </si>
  <si>
    <t>Depreciation, % of revenue</t>
  </si>
  <si>
    <t>(10.4%) Average</t>
  </si>
  <si>
    <t>Amortization, % of revenue</t>
  </si>
  <si>
    <t>- %  Average</t>
  </si>
  <si>
    <t>Capital expenditures, % of revenue</t>
  </si>
  <si>
    <t>5.4%  Average</t>
  </si>
  <si>
    <t>Selected balance sheet information - IP&amp;S</t>
  </si>
  <si>
    <t>Closing at</t>
  </si>
  <si>
    <t>2016A</t>
  </si>
  <si>
    <t>Comments</t>
  </si>
  <si>
    <t>Assets</t>
  </si>
  <si>
    <t>Cash and cash equivalents</t>
  </si>
  <si>
    <t>Accounts receivable</t>
  </si>
  <si>
    <t>Intercompany accounts receivable</t>
  </si>
  <si>
    <t>Inventory</t>
  </si>
  <si>
    <t>Prepaid expenses &amp; other</t>
  </si>
  <si>
    <t>Notes: receivable</t>
  </si>
  <si>
    <t>Current assets</t>
  </si>
  <si>
    <t>Land</t>
  </si>
  <si>
    <t>Computer Hardware, and other propoerty</t>
  </si>
  <si>
    <t>Computer Software, Net</t>
  </si>
  <si>
    <t>Intangible assets</t>
  </si>
  <si>
    <t>Other assets</t>
  </si>
  <si>
    <t>Goodwill, excess/deficient purchase price</t>
  </si>
  <si>
    <t>Total assets</t>
  </si>
  <si>
    <t>Liabilities &amp; equity</t>
  </si>
  <si>
    <t>Accounts payable</t>
  </si>
  <si>
    <t>Intercompany accounts payable</t>
  </si>
  <si>
    <t>Notes: payable, current</t>
  </si>
  <si>
    <t>Accrued Expenses</t>
  </si>
  <si>
    <t>Other accrued &amp; payables</t>
  </si>
  <si>
    <t>Deferred revenue</t>
  </si>
  <si>
    <t>Other liabilities</t>
  </si>
  <si>
    <t>Current liabilities</t>
  </si>
  <si>
    <t>Notes: payable, long-term</t>
  </si>
  <si>
    <t>Deferred Revenue, net of current portion</t>
  </si>
  <si>
    <t>Deferred tax liabilities</t>
  </si>
  <si>
    <t>Other Long term liabilities</t>
  </si>
  <si>
    <t>Long term liabilities</t>
  </si>
  <si>
    <t>Total equity</t>
  </si>
  <si>
    <t>Total liabilities and equity</t>
  </si>
  <si>
    <t>Debt-free, cash-free net working capital</t>
  </si>
  <si>
    <t>(DFCFNWC)</t>
  </si>
  <si>
    <t>DFCFNWC, % of revenue</t>
  </si>
  <si>
    <t>Total interest-bearing debt</t>
  </si>
  <si>
    <t>Net debt</t>
  </si>
  <si>
    <t>Exhibit P</t>
  </si>
  <si>
    <t>Selected PFI - IP&amp;S</t>
  </si>
  <si>
    <t>Selected PFI (stand alone)</t>
  </si>
  <si>
    <t>Notes</t>
  </si>
  <si>
    <t>DFNWC</t>
  </si>
  <si>
    <t>Change in DFNWC</t>
  </si>
  <si>
    <t>4-year avg</t>
  </si>
  <si>
    <t>3-year avg</t>
  </si>
  <si>
    <t>2-year avg</t>
  </si>
  <si>
    <t>Income taxes as a % of EBIT</t>
  </si>
  <si>
    <t>Depreciation as a % of revenue</t>
  </si>
  <si>
    <t>Capital expenditures as a % of revenue</t>
  </si>
  <si>
    <t>DFNWC as a % of revenue</t>
  </si>
  <si>
    <t>=(D8-C8)/C8</t>
  </si>
  <si>
    <t>=(D0-C0)/C0</t>
  </si>
  <si>
    <t>=H0*H51</t>
  </si>
  <si>
    <t>=I0*I51</t>
  </si>
  <si>
    <t>=J0*J51</t>
  </si>
  <si>
    <t>=K0*K51</t>
  </si>
  <si>
    <t>=F0*F51</t>
  </si>
  <si>
    <t>=G0*G51</t>
  </si>
  <si>
    <t>RC1 Calculation</t>
  </si>
  <si>
    <t>RC2 Calculation</t>
  </si>
  <si>
    <t>RC3 Calculation</t>
  </si>
  <si>
    <t>RC5 Calculation</t>
  </si>
  <si>
    <t>RC8 Calculation</t>
  </si>
  <si>
    <t>RC7 Calculation</t>
  </si>
  <si>
    <t>RC4 Calculation</t>
  </si>
  <si>
    <t>RC6 Calculation</t>
  </si>
  <si>
    <t>RC9 Calculation</t>
  </si>
  <si>
    <t>RC11 Calculation</t>
  </si>
  <si>
    <t>RC14 Calculation</t>
  </si>
  <si>
    <t>RC1 Diff</t>
  </si>
  <si>
    <t>RC2 Diff</t>
  </si>
  <si>
    <t>RC3 Diff</t>
  </si>
  <si>
    <t>RC5 Diff</t>
  </si>
  <si>
    <t>RC8 Diff</t>
  </si>
  <si>
    <t>RC7 Diff</t>
  </si>
  <si>
    <t>RC4 Diff</t>
  </si>
  <si>
    <t>RC6 Diff</t>
  </si>
  <si>
    <t>RC9 Diff</t>
  </si>
  <si>
    <t>RC11 Diff</t>
  </si>
  <si>
    <t>RC14 Diff</t>
  </si>
  <si>
    <t>=C65-C64</t>
  </si>
  <si>
    <t>=D65-D64</t>
  </si>
  <si>
    <t>=C61-C60</t>
  </si>
  <si>
    <t>=M1-M0</t>
  </si>
  <si>
    <t>=D60-D59</t>
  </si>
  <si>
    <t>=F1-F0</t>
  </si>
  <si>
    <t>=G1-G0</t>
  </si>
  <si>
    <t>=K1-K0</t>
  </si>
  <si>
    <t>=H53-H52</t>
  </si>
  <si>
    <t>=I53-I52</t>
  </si>
  <si>
    <t>=J53-J52</t>
  </si>
  <si>
    <t>=K53-K52</t>
  </si>
  <si>
    <t>=L1-L0</t>
  </si>
  <si>
    <t>=F53-F52</t>
  </si>
  <si>
    <t>=G53-G52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</si>
</sst>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\(0\)"/>
    <numFmt numFmtId="165" formatCode="0.0"/>
    <numFmt numFmtId="166" formatCode="0.0000"/>
    <numFmt numFmtId="167" formatCode="0.00_);\(0.00\)"/>
  </numFmts>
  <fonts count="26" x14ac:knownFonts="1">
    <font>
      <sz val="11"/>
      <color theme="1"/>
      <name val="Calibri"/>
      <family val="2"/>
      <scheme val="minor"/>
    </font>
    <font>
      <sz val="9"/>
      <color rgb="FF7E7D81"/>
      <name val="Arial Bold"/>
    </font>
    <font>
      <sz val="8"/>
      <color rgb="FF929292"/>
      <name val="Arial"/>
      <family val="2"/>
    </font>
    <font>
      <sz val="8"/>
      <color rgb="FF7E7D81"/>
      <name val="Arial"/>
      <family val="2"/>
    </font>
    <font>
      <sz val="8"/>
      <color rgb="FF7E7D81"/>
      <name val="Arial Bold"/>
    </font>
    <font>
      <sz val="8"/>
      <color rgb="FF000000"/>
      <name val="Arial"/>
      <family val="2"/>
    </font>
    <font>
      <sz val="8"/>
      <color rgb="FF000000"/>
      <name val="Arial Narrow Bold"/>
    </font>
    <font>
      <sz val="8"/>
      <color rgb="FF000000"/>
      <name val="Arial Narrow"/>
      <family val="2"/>
    </font>
    <font>
      <sz val="8"/>
      <color rgb="FF7E7D81"/>
      <name val="Arial Narrow Italic"/>
    </font>
    <font>
      <sz val="8"/>
      <color rgb="FF7E7D81"/>
      <name val="Arial Narrow Bold"/>
    </font>
    <font>
      <sz val="8"/>
      <color rgb="FF000000"/>
      <name val="Arial Narrow Italic"/>
    </font>
    <font>
      <sz val="8"/>
      <color rgb="FF7E7D81"/>
      <name val="Arial Narrow"/>
      <family val="2"/>
    </font>
    <font>
      <sz val="11"/>
      <color rgb="FF929292"/>
      <name val="Arial"/>
      <family val="2"/>
    </font>
    <font>
      <sz val="9"/>
      <color rgb="FF000000"/>
      <name val="Arial Narrow Bold"/>
    </font>
    <font>
      <sz val="15"/>
      <color rgb="FF929292"/>
      <name val="Arial"/>
      <family val="2"/>
    </font>
    <font>
      <sz val="8"/>
      <color rgb="FF7E7D81"/>
      <name val="Arial Narrow Bold Italic"/>
    </font>
    <font>
      <sz val="14"/>
      <color rgb="FF929292"/>
      <name val="Arial"/>
      <family val="2"/>
    </font>
    <font>
      <sz val="12"/>
      <color rgb="FF929292"/>
      <name val="Arial"/>
      <family val="2"/>
    </font>
    <font>
      <sz val="10"/>
      <color rgb="FF929292"/>
      <name val="Arial"/>
      <family val="2"/>
    </font>
    <font>
      <sz val="8"/>
      <color rgb="FF929292"/>
      <name val="Arial Narrow"/>
      <family val="2"/>
    </font>
    <font>
      <sz val="9"/>
      <color rgb="FF929292"/>
      <name val="Arial"/>
      <family val="2"/>
    </font>
    <font>
      <sz val="13"/>
      <color rgb="FF929292"/>
      <name val="Arial"/>
      <family val="2"/>
    </font>
    <font>
      <sz val="8"/>
      <color rgb="FF528CD4"/>
      <name val="Arial Narrow"/>
      <family val="2"/>
    </font>
    <font>
      <sz val="8"/>
      <color rgb="FF0000FF"/>
      <name val="Arial Narrow"/>
      <family val="2"/>
    </font>
    <font>
      <sz val="8"/>
      <color rgb="FF0033CC"/>
      <name val="Arial Narrow"/>
      <family val="2"/>
    </font>
    <font>
      <sz val="8"/>
      <color rgb="FF929292"/>
      <name val="Arial Narrow Bold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49" fontId="1" fillId="0" borderId="0" xfId="0" applyNumberFormat="1" applyFont="1"/>
    <xf numFmtId="49" fontId="2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9" fillId="0" borderId="0" xfId="0" applyNumberFormat="1" applyFont="1"/>
    <xf numFmtId="1" fontId="7" fillId="0" borderId="0" xfId="0" applyNumberFormat="1" applyFont="1"/>
    <xf numFmtId="49" fontId="10" fillId="0" borderId="0" xfId="0" applyNumberFormat="1" applyFont="1"/>
    <xf numFmtId="3" fontId="6" fillId="0" borderId="0" xfId="0" applyNumberFormat="1" applyFont="1"/>
    <xf numFmtId="1" fontId="6" fillId="0" borderId="0" xfId="0" applyNumberFormat="1" applyFont="1"/>
    <xf numFmtId="3" fontId="7" fillId="0" borderId="0" xfId="0" applyNumberFormat="1" applyFont="1"/>
    <xf numFmtId="9" fontId="7" fillId="0" borderId="0" xfId="0" applyNumberFormat="1" applyFont="1"/>
    <xf numFmtId="49" fontId="11" fillId="0" borderId="0" xfId="0" applyNumberFormat="1" applyFont="1"/>
    <xf numFmtId="49" fontId="12" fillId="0" borderId="0" xfId="0" applyNumberFormat="1" applyFont="1"/>
    <xf numFmtId="49" fontId="13" fillId="0" borderId="0" xfId="0" applyNumberFormat="1" applyFont="1"/>
    <xf numFmtId="164" fontId="7" fillId="0" borderId="0" xfId="0" applyNumberFormat="1" applyFont="1"/>
    <xf numFmtId="10" fontId="7" fillId="0" borderId="0" xfId="0" applyNumberFormat="1" applyFont="1"/>
    <xf numFmtId="165" fontId="7" fillId="0" borderId="0" xfId="0" applyNumberFormat="1" applyFont="1"/>
    <xf numFmtId="49" fontId="14" fillId="0" borderId="0" xfId="0" applyNumberFormat="1" applyFont="1"/>
    <xf numFmtId="0" fontId="7" fillId="0" borderId="0" xfId="0" applyFont="1"/>
    <xf numFmtId="166" fontId="7" fillId="0" borderId="0" xfId="0" applyNumberFormat="1" applyFont="1"/>
    <xf numFmtId="49" fontId="15" fillId="0" borderId="0" xfId="0" applyNumberFormat="1" applyFont="1"/>
    <xf numFmtId="49" fontId="16" fillId="0" borderId="0" xfId="0" applyNumberFormat="1" applyFont="1"/>
    <xf numFmtId="2" fontId="7" fillId="0" borderId="0" xfId="0" applyNumberFormat="1" applyFont="1"/>
    <xf numFmtId="10" fontId="6" fillId="0" borderId="0" xfId="0" applyNumberFormat="1" applyFont="1"/>
    <xf numFmtId="0" fontId="6" fillId="0" borderId="0" xfId="0" applyFont="1"/>
    <xf numFmtId="49" fontId="17" fillId="0" borderId="0" xfId="0" applyNumberFormat="1" applyFont="1"/>
    <xf numFmtId="164" fontId="6" fillId="0" borderId="0" xfId="0" applyNumberFormat="1" applyFont="1"/>
    <xf numFmtId="49" fontId="18" fillId="0" borderId="0" xfId="0" applyNumberFormat="1" applyFont="1"/>
    <xf numFmtId="1" fontId="5" fillId="0" borderId="0" xfId="0" applyNumberFormat="1" applyFont="1"/>
    <xf numFmtId="49" fontId="19" fillId="0" borderId="0" xfId="0" applyNumberFormat="1" applyFont="1"/>
    <xf numFmtId="37" fontId="7" fillId="0" borderId="0" xfId="0" applyNumberFormat="1" applyFont="1"/>
    <xf numFmtId="49" fontId="20" fillId="0" borderId="0" xfId="0" applyNumberFormat="1" applyFont="1"/>
    <xf numFmtId="9" fontId="6" fillId="0" borderId="0" xfId="0" applyNumberFormat="1" applyFont="1"/>
    <xf numFmtId="165" fontId="6" fillId="0" borderId="0" xfId="0" applyNumberFormat="1" applyFont="1"/>
    <xf numFmtId="49" fontId="21" fillId="0" borderId="0" xfId="0" applyNumberFormat="1" applyFont="1"/>
    <xf numFmtId="10" fontId="22" fillId="0" borderId="0" xfId="0" applyNumberFormat="1" applyFont="1"/>
    <xf numFmtId="1" fontId="10" fillId="0" borderId="0" xfId="0" applyNumberFormat="1" applyFont="1"/>
    <xf numFmtId="167" fontId="7" fillId="0" borderId="0" xfId="0" applyNumberFormat="1" applyFont="1"/>
    <xf numFmtId="49" fontId="23" fillId="0" borderId="0" xfId="0" applyNumberFormat="1" applyFont="1"/>
    <xf numFmtId="10" fontId="10" fillId="0" borderId="0" xfId="0" applyNumberFormat="1" applyFont="1"/>
    <xf numFmtId="49" fontId="24" fillId="0" borderId="0" xfId="0" applyNumberFormat="1" applyFont="1"/>
    <xf numFmtId="49" fontId="25" fillId="0" borderId="0" xfId="0" applyNumberFormat="1" applyFont="1"/>
    <xf numFmtId="49" fontId="5" fillId="0" borderId="0" xfId="0" applyNumberFormat="1" applyFont="1" applyAlignment="1"/>
    <xf numFmtId="49" fontId="4" fillId="0" borderId="0" xfId="0" applyNumberFormat="1" applyFont="1" applyAlignment="1"/>
    <xf numFmtId="49" fontId="25" fillId="0" borderId="0" xfId="0" applyNumberFormat="1" applyFont="1" applyAlignment="1"/>
    <xf numFmtId="0" fontId="0" fillId="0" borderId="0" xfId="0" applyAlignment="1"/>
    <xf numFmtId="49" fontId="8" fillId="0" borderId="0" xfId="0" applyNumberFormat="1" applyFont="1" applyAlignment="1"/>
    <xf numFmtId="49" fontId="7" fillId="0" borderId="0" xfId="0" applyNumberFormat="1" applyFont="1" applyAlignment="1"/>
    <xf numFmtId="49" fontId="6" fillId="0" borderId="0" xfId="0" applyNumberFormat="1" applyFont="1" applyAlignment="1"/>
    <xf numFmtId="49" fontId="9" fillId="0" borderId="0" xfId="0" applyNumberFormat="1" applyFont="1" applyAlignment="1"/>
    <xf numFmtId="49" fontId="11" fillId="0" borderId="0" xfId="0" applyNumberFormat="1" applyFont="1" applyAlignment="1"/>
    <xf numFmtId="2" fontId="7" fillId="0" borderId="1" xfId="0" applyNumberFormat="1" applyFont="1" applyBorder="1"/>
    <xf numFmtId="0" fontId="0" fillId="2" borderId="0" xfId="0" applyFill="1"/>
    <xf numFmtId="2" fontId="7" fillId="3" borderId="1" xfId="0" applyNumberFormat="1" applyFont="1" applyFill="1" applyBorder="1"/>
    <xf numFmtId="49" fontId="0" fillId="0" borderId="0" xfId="0" applyNumberFormat="1"/>
    <xf numFmtId="10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4"/>
  <sheetViews>
    <sheetView workbookViewId="0">
      <selection activeCell="G8" sqref="G8"/>
    </sheetView>
  </sheetViews>
  <sheetFormatPr defaultRowHeight="15" x14ac:dyDescent="0.25"/>
  <sheetData>
    <row r="1" spans="1:3" x14ac:dyDescent="0.25">
      <c r="A1" s="56" t="s">
        <v>253</v>
      </c>
      <c r="B1" s="56" t="s">
        <v>203</v>
      </c>
      <c r="C1" s="56" t="s">
        <v>204</v>
      </c>
    </row>
    <row r="2" spans="1:3" x14ac:dyDescent="0.25">
      <c r="A2" s="56" t="s">
        <v>208</v>
      </c>
      <c r="B2" s="56" t="s">
        <v>253</v>
      </c>
      <c r="C2" s="56" t="s">
        <v>206</v>
      </c>
    </row>
    <row r="3" spans="1:3" x14ac:dyDescent="0.25">
      <c r="A3" s="56" t="s">
        <v>211</v>
      </c>
      <c r="B3" s="56" t="s">
        <v>106</v>
      </c>
      <c r="C3" s="56" t="s">
        <v>107</v>
      </c>
    </row>
    <row r="4" spans="1:3" x14ac:dyDescent="0.25">
      <c r="A4" s="56" t="s">
        <v>108</v>
      </c>
      <c r="B4" s="56" t="s">
        <v>211</v>
      </c>
      <c r="C4" s="56" t="s">
        <v>210</v>
      </c>
    </row>
    <row r="5" spans="1:3" x14ac:dyDescent="0.25">
      <c r="A5" s="56" t="s">
        <v>215</v>
      </c>
      <c r="B5" s="56" t="s">
        <v>213</v>
      </c>
      <c r="C5" s="56" t="s">
        <v>214</v>
      </c>
    </row>
    <row r="6" spans="1:3" x14ac:dyDescent="0.25">
      <c r="A6" s="56" t="s">
        <v>213</v>
      </c>
      <c r="B6" s="56" t="s">
        <v>108</v>
      </c>
      <c r="C6" s="56" t="s">
        <v>212</v>
      </c>
    </row>
    <row r="7" spans="1:3" x14ac:dyDescent="0.25">
      <c r="A7" s="56" t="s">
        <v>210</v>
      </c>
      <c r="B7" s="56" t="s">
        <v>205</v>
      </c>
      <c r="C7" s="57">
        <v>0.2</v>
      </c>
    </row>
    <row r="8" spans="1:3" x14ac:dyDescent="0.25">
      <c r="A8" s="56" t="s">
        <v>212</v>
      </c>
      <c r="B8" s="56" t="s">
        <v>108</v>
      </c>
      <c r="C8" s="57">
        <v>0.22</v>
      </c>
    </row>
    <row r="9" spans="1:3" x14ac:dyDescent="0.25">
      <c r="A9" s="56" t="s">
        <v>116</v>
      </c>
      <c r="B9" s="56" t="s">
        <v>215</v>
      </c>
      <c r="C9" s="56" t="s">
        <v>115</v>
      </c>
    </row>
    <row r="10" spans="1:3" x14ac:dyDescent="0.25">
      <c r="A10" s="56" t="s">
        <v>222</v>
      </c>
      <c r="B10" s="58" t="s">
        <v>203</v>
      </c>
      <c r="C10" s="58" t="s">
        <v>203</v>
      </c>
    </row>
    <row r="11" spans="1:3" x14ac:dyDescent="0.25">
      <c r="A11" s="56" t="s">
        <v>225</v>
      </c>
      <c r="B11" s="56" t="s">
        <v>224</v>
      </c>
      <c r="C11" s="56" t="s">
        <v>107</v>
      </c>
    </row>
    <row r="12" spans="1:3" x14ac:dyDescent="0.25">
      <c r="A12" s="56" t="s">
        <v>224</v>
      </c>
      <c r="B12" s="56" t="s">
        <v>106</v>
      </c>
      <c r="C12" s="56" t="s">
        <v>205</v>
      </c>
    </row>
    <row r="13" spans="1:3" x14ac:dyDescent="0.25">
      <c r="A13" s="56" t="s">
        <v>107</v>
      </c>
      <c r="B13" s="56" t="s">
        <v>107</v>
      </c>
      <c r="C13" s="56" t="s">
        <v>205</v>
      </c>
    </row>
    <row r="14" spans="1:3" x14ac:dyDescent="0.25">
      <c r="A14" s="56" t="s">
        <v>240</v>
      </c>
      <c r="B14" s="56" t="s">
        <v>214</v>
      </c>
      <c r="C14" s="56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0"/>
  <sheetViews>
    <sheetView workbookViewId="0">
      <selection activeCell="G12" sqref="G12"/>
    </sheetView>
  </sheetViews>
  <sheetFormatPr defaultRowHeight="15" x14ac:dyDescent="0.25"/>
  <sheetData>
    <row r="2" spans="2:4" x14ac:dyDescent="0.25">
      <c r="B2" s="1" t="s">
        <v>0</v>
      </c>
    </row>
    <row r="3" spans="2:4" x14ac:dyDescent="0.25">
      <c r="B3" s="2" t="s">
        <v>1</v>
      </c>
    </row>
    <row r="4" spans="2:4" x14ac:dyDescent="0.25">
      <c r="B4" s="3" t="s">
        <v>2</v>
      </c>
    </row>
    <row r="5" spans="2:4" x14ac:dyDescent="0.25">
      <c r="B5" s="3" t="s">
        <v>3</v>
      </c>
    </row>
    <row r="6" spans="2:4" x14ac:dyDescent="0.25">
      <c r="B6" s="2" t="s">
        <v>4</v>
      </c>
    </row>
    <row r="7" spans="2:4" x14ac:dyDescent="0.25">
      <c r="B7" s="2" t="s">
        <v>5</v>
      </c>
    </row>
    <row r="8" spans="2:4" x14ac:dyDescent="0.25">
      <c r="B8" s="2" t="s">
        <v>6</v>
      </c>
    </row>
    <row r="9" spans="2:4" x14ac:dyDescent="0.25">
      <c r="B9" s="4" t="s">
        <v>7</v>
      </c>
    </row>
    <row r="10" spans="2:4" x14ac:dyDescent="0.25">
      <c r="D10" s="5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48"/>
  <sheetViews>
    <sheetView workbookViewId="0"/>
  </sheetViews>
  <sheetFormatPr defaultRowHeight="15" x14ac:dyDescent="0.25"/>
  <cols>
    <col min="1" max="1" width="62.7109375" bestFit="1" customWidth="1"/>
    <col min="2" max="2" width="23.7109375" bestFit="1" customWidth="1"/>
  </cols>
  <sheetData>
    <row r="2" spans="1:4" x14ac:dyDescent="0.25">
      <c r="A2" s="6" t="s">
        <v>1</v>
      </c>
      <c r="D2" s="7" t="s">
        <v>8</v>
      </c>
    </row>
    <row r="3" spans="1:4" x14ac:dyDescent="0.25">
      <c r="A3" s="6" t="s">
        <v>9</v>
      </c>
    </row>
    <row r="4" spans="1:4" x14ac:dyDescent="0.25">
      <c r="A4" s="6" t="s">
        <v>10</v>
      </c>
    </row>
    <row r="5" spans="1:4" x14ac:dyDescent="0.25">
      <c r="A5" s="6" t="s">
        <v>11</v>
      </c>
    </row>
    <row r="6" spans="1:4" x14ac:dyDescent="0.25">
      <c r="A6" s="8" t="s">
        <v>12</v>
      </c>
      <c r="C6" s="9" t="s">
        <v>13</v>
      </c>
      <c r="D6" s="9" t="s">
        <v>14</v>
      </c>
    </row>
    <row r="7" spans="1:4" x14ac:dyDescent="0.25">
      <c r="A7" s="7" t="s">
        <v>15</v>
      </c>
      <c r="C7" s="10">
        <v>2</v>
      </c>
    </row>
    <row r="8" spans="1:4" x14ac:dyDescent="0.25">
      <c r="A8" s="7" t="s">
        <v>16</v>
      </c>
      <c r="C8" s="10">
        <v>298</v>
      </c>
    </row>
    <row r="9" spans="1:4" x14ac:dyDescent="0.25">
      <c r="A9" s="7" t="s">
        <v>17</v>
      </c>
      <c r="C9" s="10">
        <v>24</v>
      </c>
    </row>
    <row r="10" spans="1:4" x14ac:dyDescent="0.25">
      <c r="A10" s="7" t="s">
        <v>18</v>
      </c>
      <c r="C10" s="10">
        <v>11</v>
      </c>
    </row>
    <row r="11" spans="1:4" x14ac:dyDescent="0.25">
      <c r="B11" s="7" t="s">
        <v>19</v>
      </c>
      <c r="C11" s="10">
        <v>335</v>
      </c>
    </row>
    <row r="12" spans="1:4" x14ac:dyDescent="0.25">
      <c r="A12" s="11" t="s">
        <v>20</v>
      </c>
    </row>
    <row r="13" spans="1:4" x14ac:dyDescent="0.25">
      <c r="A13" s="7" t="s">
        <v>21</v>
      </c>
      <c r="C13" s="10">
        <v>850</v>
      </c>
      <c r="D13" s="7" t="s">
        <v>22</v>
      </c>
    </row>
    <row r="14" spans="1:4" x14ac:dyDescent="0.25">
      <c r="A14" s="7" t="s">
        <v>23</v>
      </c>
      <c r="C14" s="10">
        <v>160</v>
      </c>
      <c r="D14" s="7" t="s">
        <v>24</v>
      </c>
    </row>
    <row r="15" spans="1:4" x14ac:dyDescent="0.25">
      <c r="A15" s="7" t="s">
        <v>25</v>
      </c>
      <c r="C15" s="10">
        <v>50</v>
      </c>
      <c r="D15" s="7" t="s">
        <v>24</v>
      </c>
    </row>
    <row r="16" spans="1:4" x14ac:dyDescent="0.25">
      <c r="A16" s="7" t="s">
        <v>26</v>
      </c>
      <c r="C16" s="10">
        <v>80</v>
      </c>
      <c r="D16" s="7" t="s">
        <v>24</v>
      </c>
    </row>
    <row r="17" spans="1:4" x14ac:dyDescent="0.25">
      <c r="A17" s="7" t="s">
        <v>27</v>
      </c>
      <c r="C17" s="10">
        <v>340</v>
      </c>
      <c r="D17" s="7" t="s">
        <v>28</v>
      </c>
    </row>
    <row r="18" spans="1:4" x14ac:dyDescent="0.25">
      <c r="A18" s="7" t="s">
        <v>29</v>
      </c>
      <c r="C18" s="10">
        <v>10</v>
      </c>
      <c r="D18" s="7" t="s">
        <v>24</v>
      </c>
    </row>
    <row r="19" spans="1:4" x14ac:dyDescent="0.25">
      <c r="A19" s="7" t="s">
        <v>30</v>
      </c>
      <c r="C19" s="10">
        <v>230</v>
      </c>
      <c r="D19" s="7" t="s">
        <v>22</v>
      </c>
    </row>
    <row r="20" spans="1:4" x14ac:dyDescent="0.25">
      <c r="A20" s="6" t="s">
        <v>31</v>
      </c>
      <c r="C20" s="12">
        <v>1720</v>
      </c>
      <c r="D20" s="7" t="s">
        <v>22</v>
      </c>
    </row>
    <row r="21" spans="1:4" x14ac:dyDescent="0.25">
      <c r="A21" s="6" t="s">
        <v>32</v>
      </c>
      <c r="C21" s="13">
        <v>100</v>
      </c>
      <c r="D21" s="6" t="s">
        <v>33</v>
      </c>
    </row>
    <row r="22" spans="1:4" x14ac:dyDescent="0.25">
      <c r="A22" s="7" t="s">
        <v>34</v>
      </c>
      <c r="C22" s="10">
        <v>80</v>
      </c>
      <c r="D22" s="7" t="s">
        <v>35</v>
      </c>
    </row>
    <row r="23" spans="1:4" x14ac:dyDescent="0.25">
      <c r="A23" s="7" t="s">
        <v>36</v>
      </c>
      <c r="C23" s="10">
        <v>20</v>
      </c>
      <c r="D23" s="7" t="s">
        <v>35</v>
      </c>
    </row>
    <row r="24" spans="1:4" x14ac:dyDescent="0.25">
      <c r="A24" s="7" t="s">
        <v>37</v>
      </c>
      <c r="C24" s="10">
        <v>7</v>
      </c>
      <c r="D24" s="7" t="s">
        <v>35</v>
      </c>
    </row>
    <row r="25" spans="1:4" x14ac:dyDescent="0.25">
      <c r="A25" s="7" t="s">
        <v>38</v>
      </c>
      <c r="C25" s="10">
        <v>6</v>
      </c>
      <c r="D25" s="7" t="s">
        <v>35</v>
      </c>
    </row>
    <row r="26" spans="1:4" x14ac:dyDescent="0.25">
      <c r="A26" s="7" t="s">
        <v>39</v>
      </c>
      <c r="C26" s="10">
        <v>30</v>
      </c>
      <c r="D26" s="7" t="s">
        <v>35</v>
      </c>
    </row>
    <row r="27" spans="1:4" x14ac:dyDescent="0.25">
      <c r="A27" s="7" t="s">
        <v>40</v>
      </c>
      <c r="C27" s="10">
        <v>20</v>
      </c>
      <c r="D27" s="7" t="s">
        <v>35</v>
      </c>
    </row>
    <row r="28" spans="1:4" x14ac:dyDescent="0.25">
      <c r="A28" s="7" t="s">
        <v>41</v>
      </c>
      <c r="C28" s="10">
        <v>2</v>
      </c>
      <c r="D28" s="7" t="s">
        <v>35</v>
      </c>
    </row>
    <row r="29" spans="1:4" x14ac:dyDescent="0.25">
      <c r="A29" s="6" t="s">
        <v>42</v>
      </c>
      <c r="C29" s="13">
        <v>295</v>
      </c>
      <c r="D29" s="6" t="s">
        <v>43</v>
      </c>
    </row>
    <row r="30" spans="1:4" x14ac:dyDescent="0.25">
      <c r="A30" s="6" t="s">
        <v>44</v>
      </c>
      <c r="C30" s="13">
        <v>85</v>
      </c>
      <c r="D30" s="6" t="s">
        <v>33</v>
      </c>
    </row>
    <row r="31" spans="1:4" x14ac:dyDescent="0.25">
      <c r="A31" s="7" t="s">
        <v>45</v>
      </c>
      <c r="C31" s="10">
        <v>80</v>
      </c>
      <c r="D31" s="6" t="s">
        <v>46</v>
      </c>
    </row>
    <row r="32" spans="1:4" x14ac:dyDescent="0.25">
      <c r="A32" s="7" t="s">
        <v>47</v>
      </c>
      <c r="C32" s="10">
        <v>50</v>
      </c>
      <c r="D32" s="6" t="s">
        <v>46</v>
      </c>
    </row>
    <row r="33" spans="1:4" x14ac:dyDescent="0.25">
      <c r="A33" s="6" t="s">
        <v>48</v>
      </c>
      <c r="C33" s="13">
        <v>140</v>
      </c>
      <c r="D33" s="6" t="s">
        <v>49</v>
      </c>
    </row>
    <row r="34" spans="1:4" x14ac:dyDescent="0.25">
      <c r="B34" s="6" t="s">
        <v>50</v>
      </c>
      <c r="C34" s="12">
        <v>2340</v>
      </c>
    </row>
    <row r="35" spans="1:4" x14ac:dyDescent="0.25">
      <c r="A35" s="7" t="s">
        <v>51</v>
      </c>
      <c r="C35" s="10">
        <v>40</v>
      </c>
    </row>
    <row r="36" spans="1:4" x14ac:dyDescent="0.25">
      <c r="A36" s="7" t="s">
        <v>52</v>
      </c>
      <c r="C36" s="14">
        <v>1206</v>
      </c>
    </row>
    <row r="37" spans="1:4" x14ac:dyDescent="0.25">
      <c r="B37" s="6" t="s">
        <v>53</v>
      </c>
      <c r="C37" s="12">
        <v>3921</v>
      </c>
    </row>
    <row r="38" spans="1:4" x14ac:dyDescent="0.25">
      <c r="A38" s="7" t="s">
        <v>54</v>
      </c>
      <c r="C38" s="15">
        <v>0.37</v>
      </c>
    </row>
    <row r="39" spans="1:4" x14ac:dyDescent="0.25">
      <c r="A39" s="7" t="s">
        <v>55</v>
      </c>
      <c r="C39" s="12">
        <v>3550</v>
      </c>
    </row>
    <row r="40" spans="1:4" x14ac:dyDescent="0.25">
      <c r="A40" s="7" t="s">
        <v>56</v>
      </c>
      <c r="C40" s="10">
        <v>14</v>
      </c>
    </row>
    <row r="41" spans="1:4" x14ac:dyDescent="0.25">
      <c r="A41" s="7" t="s">
        <v>57</v>
      </c>
      <c r="C41" s="10">
        <v>30</v>
      </c>
    </row>
    <row r="42" spans="1:4" x14ac:dyDescent="0.25">
      <c r="A42" s="7" t="s">
        <v>58</v>
      </c>
      <c r="C42" s="10">
        <v>190</v>
      </c>
    </row>
    <row r="43" spans="1:4" x14ac:dyDescent="0.25">
      <c r="A43" s="7" t="s">
        <v>59</v>
      </c>
      <c r="C43" s="10">
        <v>137</v>
      </c>
    </row>
    <row r="44" spans="1:4" x14ac:dyDescent="0.25">
      <c r="A44" s="6" t="s">
        <v>53</v>
      </c>
      <c r="C44" s="12">
        <v>3921</v>
      </c>
    </row>
    <row r="45" spans="1:4" x14ac:dyDescent="0.25">
      <c r="A45" s="6" t="s">
        <v>60</v>
      </c>
    </row>
    <row r="46" spans="1:4" x14ac:dyDescent="0.25">
      <c r="A46" s="16" t="s">
        <v>61</v>
      </c>
    </row>
    <row r="47" spans="1:4" x14ac:dyDescent="0.25">
      <c r="A47" s="9" t="s">
        <v>62</v>
      </c>
      <c r="D47" s="17" t="s">
        <v>63</v>
      </c>
    </row>
    <row r="48" spans="1:4" x14ac:dyDescent="0.25">
      <c r="D48" s="5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1"/>
  <sheetViews>
    <sheetView workbookViewId="0">
      <selection activeCell="A16" sqref="A16"/>
    </sheetView>
  </sheetViews>
  <sheetFormatPr defaultRowHeight="15" x14ac:dyDescent="0.25"/>
  <cols>
    <col min="1" max="1" width="62.7109375" bestFit="1" customWidth="1"/>
    <col min="3" max="3" width="13.42578125" bestFit="1" customWidth="1"/>
    <col min="4" max="4" width="25.7109375" bestFit="1" customWidth="1"/>
  </cols>
  <sheetData>
    <row r="2" spans="1:4" x14ac:dyDescent="0.25">
      <c r="A2" s="18" t="s">
        <v>1</v>
      </c>
      <c r="D2" s="7" t="s">
        <v>64</v>
      </c>
    </row>
    <row r="3" spans="1:4" x14ac:dyDescent="0.25">
      <c r="A3" s="18" t="s">
        <v>9</v>
      </c>
    </row>
    <row r="4" spans="1:4" x14ac:dyDescent="0.25">
      <c r="A4" s="18" t="s">
        <v>65</v>
      </c>
    </row>
    <row r="5" spans="1:4" x14ac:dyDescent="0.25">
      <c r="A5" s="18" t="s">
        <v>11</v>
      </c>
    </row>
    <row r="6" spans="1:4" x14ac:dyDescent="0.25">
      <c r="B6" s="9" t="s">
        <v>66</v>
      </c>
    </row>
    <row r="7" spans="1:4" x14ac:dyDescent="0.25">
      <c r="A7" s="8" t="s">
        <v>12</v>
      </c>
      <c r="B7" s="9" t="s">
        <v>67</v>
      </c>
      <c r="C7" s="9" t="s">
        <v>68</v>
      </c>
      <c r="D7" s="9" t="s">
        <v>69</v>
      </c>
    </row>
    <row r="8" spans="1:4" x14ac:dyDescent="0.25">
      <c r="A8" s="7" t="s">
        <v>70</v>
      </c>
      <c r="B8" s="10">
        <v>2</v>
      </c>
      <c r="C8" s="7" t="s">
        <v>71</v>
      </c>
      <c r="D8" s="7" t="s">
        <v>71</v>
      </c>
    </row>
    <row r="9" spans="1:4" x14ac:dyDescent="0.25">
      <c r="A9" s="7" t="s">
        <v>72</v>
      </c>
      <c r="B9" s="19">
        <v>-28</v>
      </c>
      <c r="C9" s="20">
        <v>5.1999999999999998E-2</v>
      </c>
      <c r="D9" s="21">
        <v>0</v>
      </c>
    </row>
    <row r="10" spans="1:4" x14ac:dyDescent="0.25">
      <c r="A10" s="7" t="s">
        <v>17</v>
      </c>
      <c r="B10" s="10">
        <v>24</v>
      </c>
      <c r="C10" s="20">
        <v>6.0999999999999999E-2</v>
      </c>
      <c r="D10" s="20">
        <v>0</v>
      </c>
    </row>
    <row r="11" spans="1:4" x14ac:dyDescent="0.25">
      <c r="A11" s="7" t="s">
        <v>18</v>
      </c>
      <c r="B11" s="10">
        <v>11</v>
      </c>
      <c r="C11" s="20">
        <v>5.1999999999999998E-2</v>
      </c>
      <c r="D11" s="20">
        <v>0</v>
      </c>
    </row>
    <row r="12" spans="1:4" x14ac:dyDescent="0.25">
      <c r="A12" s="7" t="s">
        <v>48</v>
      </c>
      <c r="B12" s="10">
        <v>140</v>
      </c>
      <c r="C12" s="20">
        <v>0.11</v>
      </c>
      <c r="D12" s="20">
        <v>4.0000000000000001E-3</v>
      </c>
    </row>
    <row r="13" spans="1:4" x14ac:dyDescent="0.25">
      <c r="A13" s="7" t="s">
        <v>73</v>
      </c>
      <c r="B13" s="14">
        <v>1720</v>
      </c>
      <c r="C13" s="20">
        <v>0.11</v>
      </c>
      <c r="D13" s="20">
        <v>5.2999999999999999E-2</v>
      </c>
    </row>
    <row r="14" spans="1:4" x14ac:dyDescent="0.25">
      <c r="A14" s="7" t="s">
        <v>74</v>
      </c>
      <c r="B14" s="10">
        <v>100</v>
      </c>
      <c r="C14" s="20">
        <v>0.11</v>
      </c>
      <c r="D14" s="20">
        <v>3.0000000000000001E-3</v>
      </c>
    </row>
    <row r="15" spans="1:4" x14ac:dyDescent="0.25">
      <c r="A15" s="7" t="s">
        <v>75</v>
      </c>
      <c r="B15" s="10">
        <v>85</v>
      </c>
      <c r="C15" s="20">
        <v>0.11</v>
      </c>
      <c r="D15" s="20">
        <v>3.0000000000000001E-3</v>
      </c>
    </row>
    <row r="16" spans="1:4" x14ac:dyDescent="0.25">
      <c r="A16" s="7" t="s">
        <v>76</v>
      </c>
      <c r="B16" s="10">
        <v>295</v>
      </c>
      <c r="C16" s="20">
        <v>0.11</v>
      </c>
      <c r="D16" s="20">
        <v>8.9999999999999993E-3</v>
      </c>
    </row>
    <row r="17" spans="1:5" x14ac:dyDescent="0.25">
      <c r="A17" s="7" t="s">
        <v>77</v>
      </c>
      <c r="B17" s="10">
        <v>37</v>
      </c>
      <c r="C17" s="20">
        <v>0.11</v>
      </c>
      <c r="D17" s="20">
        <v>1E-3</v>
      </c>
    </row>
    <row r="18" spans="1:5" x14ac:dyDescent="0.25">
      <c r="A18" s="7" t="s">
        <v>78</v>
      </c>
      <c r="B18" s="14">
        <v>1206</v>
      </c>
      <c r="C18" s="20">
        <v>0.12</v>
      </c>
      <c r="D18" s="20">
        <v>0.04</v>
      </c>
    </row>
    <row r="19" spans="1:5" x14ac:dyDescent="0.25">
      <c r="A19" s="6" t="s">
        <v>79</v>
      </c>
      <c r="B19" s="12">
        <v>3591</v>
      </c>
      <c r="D19" s="6" t="s">
        <v>80</v>
      </c>
    </row>
    <row r="20" spans="1:5" x14ac:dyDescent="0.25">
      <c r="D20" s="6" t="s">
        <v>81</v>
      </c>
    </row>
    <row r="21" spans="1:5" x14ac:dyDescent="0.25">
      <c r="A21" s="7" t="s">
        <v>82</v>
      </c>
      <c r="B21" s="14">
        <v>3550</v>
      </c>
      <c r="D21" s="6" t="s">
        <v>83</v>
      </c>
    </row>
    <row r="22" spans="1:5" x14ac:dyDescent="0.25">
      <c r="A22" s="7" t="s">
        <v>84</v>
      </c>
      <c r="B22" s="10">
        <v>14</v>
      </c>
    </row>
    <row r="23" spans="1:5" x14ac:dyDescent="0.25">
      <c r="A23" s="6" t="s">
        <v>85</v>
      </c>
      <c r="B23" s="12">
        <v>3564</v>
      </c>
    </row>
    <row r="24" spans="1:5" x14ac:dyDescent="0.25">
      <c r="A24" s="7" t="s">
        <v>86</v>
      </c>
      <c r="B24" s="10">
        <v>30</v>
      </c>
      <c r="D24" s="7" t="s">
        <v>87</v>
      </c>
    </row>
    <row r="25" spans="1:5" x14ac:dyDescent="0.25">
      <c r="A25" s="6" t="s">
        <v>88</v>
      </c>
      <c r="B25" s="12">
        <v>3594</v>
      </c>
    </row>
    <row r="26" spans="1:5" x14ac:dyDescent="0.25">
      <c r="A26" s="7" t="s">
        <v>89</v>
      </c>
      <c r="B26" s="7" t="s">
        <v>90</v>
      </c>
      <c r="D26" s="7" t="s">
        <v>91</v>
      </c>
    </row>
    <row r="27" spans="1:5" x14ac:dyDescent="0.25">
      <c r="A27" s="7" t="s">
        <v>92</v>
      </c>
      <c r="B27" s="7" t="s">
        <v>90</v>
      </c>
    </row>
    <row r="28" spans="1:5" x14ac:dyDescent="0.25">
      <c r="A28" s="6" t="s">
        <v>79</v>
      </c>
      <c r="B28" s="12">
        <v>3594</v>
      </c>
    </row>
    <row r="29" spans="1:5" x14ac:dyDescent="0.25">
      <c r="A29" s="16" t="s">
        <v>61</v>
      </c>
    </row>
    <row r="30" spans="1:5" ht="18.75" x14ac:dyDescent="0.25">
      <c r="A30" s="9" t="s">
        <v>62</v>
      </c>
      <c r="E30" s="22" t="s">
        <v>63</v>
      </c>
    </row>
    <row r="31" spans="1:5" x14ac:dyDescent="0.25">
      <c r="C31" s="5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0"/>
  <sheetViews>
    <sheetView workbookViewId="0"/>
  </sheetViews>
  <sheetFormatPr defaultRowHeight="15" x14ac:dyDescent="0.25"/>
  <cols>
    <col min="1" max="1" width="62.7109375" bestFit="1" customWidth="1"/>
  </cols>
  <sheetData>
    <row r="2" spans="1:12" x14ac:dyDescent="0.25">
      <c r="A2" s="6" t="s">
        <v>1</v>
      </c>
      <c r="L2" s="7" t="s">
        <v>93</v>
      </c>
    </row>
    <row r="3" spans="1:12" x14ac:dyDescent="0.25">
      <c r="A3" s="6" t="s">
        <v>9</v>
      </c>
    </row>
    <row r="4" spans="1:12" x14ac:dyDescent="0.25">
      <c r="A4" s="6" t="s">
        <v>94</v>
      </c>
    </row>
    <row r="5" spans="1:12" x14ac:dyDescent="0.25">
      <c r="A5" s="6" t="s">
        <v>11</v>
      </c>
    </row>
    <row r="6" spans="1:12" x14ac:dyDescent="0.25">
      <c r="D6" s="9" t="s">
        <v>95</v>
      </c>
      <c r="G6" s="9" t="s">
        <v>96</v>
      </c>
    </row>
    <row r="7" spans="1:12" x14ac:dyDescent="0.25">
      <c r="A7" s="8" t="s">
        <v>12</v>
      </c>
      <c r="C7" s="9" t="s">
        <v>97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2" x14ac:dyDescent="0.25">
      <c r="A8" s="6" t="s">
        <v>105</v>
      </c>
      <c r="C8" s="10">
        <v>972</v>
      </c>
      <c r="D8" s="10">
        <v>237</v>
      </c>
      <c r="E8" s="14">
        <v>1000</v>
      </c>
      <c r="F8" s="14">
        <v>1037</v>
      </c>
      <c r="G8" s="14">
        <v>1079</v>
      </c>
      <c r="H8" s="14">
        <v>1119</v>
      </c>
      <c r="I8" s="14">
        <v>1166</v>
      </c>
      <c r="J8" s="14">
        <v>1217</v>
      </c>
      <c r="K8" s="14">
        <v>1271</v>
      </c>
    </row>
    <row r="9" spans="1:12" x14ac:dyDescent="0.25">
      <c r="A9" s="6" t="s">
        <v>106</v>
      </c>
      <c r="C9" s="13">
        <v>305</v>
      </c>
      <c r="D9" s="13">
        <v>78</v>
      </c>
      <c r="E9" s="13">
        <v>313</v>
      </c>
      <c r="F9" s="13">
        <v>347</v>
      </c>
      <c r="G9" s="13">
        <v>373</v>
      </c>
      <c r="H9" s="13">
        <v>391</v>
      </c>
      <c r="I9" s="13">
        <v>419</v>
      </c>
      <c r="J9" s="13">
        <v>448</v>
      </c>
      <c r="K9" s="13">
        <v>479</v>
      </c>
    </row>
    <row r="10" spans="1:12" x14ac:dyDescent="0.25">
      <c r="A10" s="7" t="s">
        <v>107</v>
      </c>
      <c r="C10" s="19">
        <v>-35</v>
      </c>
      <c r="D10" s="19">
        <v>-8</v>
      </c>
      <c r="E10" s="19">
        <v>-34</v>
      </c>
      <c r="F10" s="19">
        <v>-36</v>
      </c>
      <c r="G10" s="19">
        <v>-54</v>
      </c>
      <c r="H10" s="19">
        <v>-62</v>
      </c>
      <c r="I10" s="19">
        <v>-62</v>
      </c>
      <c r="J10" s="19">
        <v>-62</v>
      </c>
      <c r="K10" s="19">
        <v>-62</v>
      </c>
    </row>
    <row r="11" spans="1:12" x14ac:dyDescent="0.25">
      <c r="A11" s="6" t="s">
        <v>108</v>
      </c>
      <c r="C11" s="10">
        <v>271</v>
      </c>
      <c r="D11" s="10">
        <v>70</v>
      </c>
      <c r="E11" s="10">
        <v>279</v>
      </c>
      <c r="F11" s="10">
        <v>311</v>
      </c>
      <c r="G11" s="10">
        <v>319</v>
      </c>
      <c r="H11" s="10">
        <v>329</v>
      </c>
      <c r="I11" s="10">
        <v>357</v>
      </c>
      <c r="J11" s="10">
        <v>386</v>
      </c>
      <c r="K11" s="10">
        <v>417</v>
      </c>
    </row>
    <row r="12" spans="1:12" x14ac:dyDescent="0.25">
      <c r="A12" s="7" t="s">
        <v>109</v>
      </c>
      <c r="B12" s="20">
        <v>0.218</v>
      </c>
      <c r="C12" s="19">
        <v>-59</v>
      </c>
      <c r="D12" s="19">
        <v>-15</v>
      </c>
      <c r="E12" s="19">
        <v>-61</v>
      </c>
      <c r="F12" s="19">
        <v>-68</v>
      </c>
      <c r="G12" s="19">
        <v>-70</v>
      </c>
      <c r="H12" s="19">
        <v>-72</v>
      </c>
      <c r="I12" s="19">
        <v>-78</v>
      </c>
      <c r="J12" s="19">
        <v>-84</v>
      </c>
      <c r="K12" s="19">
        <v>-91</v>
      </c>
    </row>
    <row r="13" spans="1:12" x14ac:dyDescent="0.25">
      <c r="A13" s="6" t="s">
        <v>110</v>
      </c>
      <c r="D13" s="10">
        <v>55</v>
      </c>
      <c r="E13" s="10">
        <v>218</v>
      </c>
      <c r="F13" s="10">
        <v>243</v>
      </c>
      <c r="G13" s="10">
        <v>249</v>
      </c>
      <c r="H13" s="10">
        <v>257</v>
      </c>
      <c r="I13" s="10">
        <v>279</v>
      </c>
      <c r="J13" s="10">
        <v>302</v>
      </c>
      <c r="K13" s="10">
        <v>326</v>
      </c>
    </row>
    <row r="14" spans="1:12" x14ac:dyDescent="0.25">
      <c r="A14" s="7" t="s">
        <v>111</v>
      </c>
      <c r="D14" s="10">
        <v>8</v>
      </c>
      <c r="E14" s="10">
        <v>34</v>
      </c>
      <c r="F14" s="10">
        <v>36</v>
      </c>
      <c r="G14" s="10">
        <v>54</v>
      </c>
      <c r="H14" s="10">
        <v>62</v>
      </c>
      <c r="I14" s="10">
        <v>62</v>
      </c>
      <c r="J14" s="10">
        <v>62</v>
      </c>
      <c r="K14" s="10">
        <v>62</v>
      </c>
    </row>
    <row r="15" spans="1:12" x14ac:dyDescent="0.25">
      <c r="A15" s="7" t="s">
        <v>112</v>
      </c>
      <c r="D15" s="10">
        <v>4</v>
      </c>
      <c r="E15" s="10">
        <v>14</v>
      </c>
      <c r="F15" s="10">
        <v>16</v>
      </c>
      <c r="G15" s="10">
        <v>13</v>
      </c>
      <c r="H15" s="10">
        <v>13</v>
      </c>
      <c r="I15" s="10">
        <v>9</v>
      </c>
      <c r="J15" s="10">
        <v>10</v>
      </c>
      <c r="K15" s="10">
        <v>10</v>
      </c>
    </row>
    <row r="16" spans="1:12" x14ac:dyDescent="0.25">
      <c r="A16" s="7" t="s">
        <v>113</v>
      </c>
      <c r="D16" s="19">
        <v>-15</v>
      </c>
      <c r="E16" s="19">
        <v>-62</v>
      </c>
      <c r="F16" s="19">
        <v>-62</v>
      </c>
      <c r="G16" s="19">
        <v>-62</v>
      </c>
      <c r="H16" s="19">
        <v>-61</v>
      </c>
      <c r="I16" s="19">
        <v>-62</v>
      </c>
      <c r="J16" s="19">
        <v>-62</v>
      </c>
      <c r="K16" s="19">
        <v>-63</v>
      </c>
    </row>
    <row r="17" spans="1:12" x14ac:dyDescent="0.25">
      <c r="A17" s="6" t="s">
        <v>114</v>
      </c>
      <c r="D17" s="10">
        <v>52</v>
      </c>
      <c r="E17" s="10">
        <v>204</v>
      </c>
      <c r="F17" s="10">
        <v>233</v>
      </c>
      <c r="G17" s="10">
        <v>255</v>
      </c>
      <c r="H17" s="10">
        <v>271</v>
      </c>
      <c r="I17" s="10">
        <v>288</v>
      </c>
      <c r="J17" s="10">
        <v>311</v>
      </c>
      <c r="K17" s="10">
        <v>335</v>
      </c>
    </row>
    <row r="18" spans="1:12" x14ac:dyDescent="0.25">
      <c r="A18" s="7" t="s">
        <v>115</v>
      </c>
      <c r="B18" s="20">
        <v>0.114</v>
      </c>
      <c r="D18" s="23">
        <v>0.9869</v>
      </c>
      <c r="E18" s="24">
        <v>0.92300000000000004</v>
      </c>
      <c r="F18" s="23">
        <v>0.82869999999999999</v>
      </c>
      <c r="G18" s="24">
        <v>0.74399999999999999</v>
      </c>
      <c r="H18" s="24">
        <v>0.66800000000000004</v>
      </c>
      <c r="I18" s="23">
        <v>0.59970000000000001</v>
      </c>
      <c r="J18" s="23">
        <v>0.53849999999999998</v>
      </c>
      <c r="K18" s="23">
        <v>0.4834</v>
      </c>
    </row>
    <row r="19" spans="1:12" x14ac:dyDescent="0.25">
      <c r="A19" s="6" t="s">
        <v>116</v>
      </c>
      <c r="D19" s="13">
        <v>51</v>
      </c>
      <c r="E19" s="13">
        <v>189</v>
      </c>
      <c r="F19" s="13">
        <v>193</v>
      </c>
      <c r="G19" s="13">
        <v>190</v>
      </c>
      <c r="H19" s="13">
        <v>181</v>
      </c>
      <c r="I19" s="13">
        <v>173</v>
      </c>
      <c r="J19" s="13">
        <v>168</v>
      </c>
      <c r="K19" s="13">
        <v>162</v>
      </c>
    </row>
    <row r="20" spans="1:12" x14ac:dyDescent="0.25">
      <c r="A20" s="7" t="s">
        <v>117</v>
      </c>
      <c r="D20" s="14">
        <v>1306</v>
      </c>
      <c r="F20" s="8" t="s">
        <v>118</v>
      </c>
    </row>
    <row r="21" spans="1:12" x14ac:dyDescent="0.25">
      <c r="A21" s="7" t="s">
        <v>119</v>
      </c>
      <c r="D21" s="14">
        <v>1989</v>
      </c>
      <c r="F21" s="7" t="s">
        <v>120</v>
      </c>
      <c r="I21" s="10">
        <v>335</v>
      </c>
    </row>
    <row r="22" spans="1:12" x14ac:dyDescent="0.25">
      <c r="A22" s="7" t="s">
        <v>121</v>
      </c>
      <c r="B22" s="7" t="s">
        <v>122</v>
      </c>
      <c r="D22" s="10">
        <v>269</v>
      </c>
      <c r="F22" s="7" t="s">
        <v>123</v>
      </c>
      <c r="I22" s="20">
        <v>0.03</v>
      </c>
    </row>
    <row r="23" spans="1:12" x14ac:dyDescent="0.25">
      <c r="A23" s="7" t="s">
        <v>124</v>
      </c>
      <c r="D23" s="10">
        <v>30</v>
      </c>
      <c r="F23" s="7" t="s">
        <v>119</v>
      </c>
      <c r="I23" s="14">
        <v>1989</v>
      </c>
    </row>
    <row r="24" spans="1:12" x14ac:dyDescent="0.25">
      <c r="A24" s="6" t="s">
        <v>125</v>
      </c>
      <c r="D24" s="12">
        <v>3594</v>
      </c>
    </row>
    <row r="25" spans="1:12" x14ac:dyDescent="0.25">
      <c r="A25" s="25" t="s">
        <v>126</v>
      </c>
      <c r="D25" s="14">
        <v>3594</v>
      </c>
    </row>
    <row r="26" spans="1:12" x14ac:dyDescent="0.25">
      <c r="A26" s="8" t="s">
        <v>127</v>
      </c>
    </row>
    <row r="27" spans="1:12" x14ac:dyDescent="0.25">
      <c r="A27" s="7" t="s">
        <v>128</v>
      </c>
    </row>
    <row r="28" spans="1:12" x14ac:dyDescent="0.25">
      <c r="A28" s="16" t="s">
        <v>61</v>
      </c>
    </row>
    <row r="29" spans="1:12" ht="18" x14ac:dyDescent="0.25">
      <c r="A29" s="9" t="s">
        <v>62</v>
      </c>
      <c r="L29" s="26" t="s">
        <v>63</v>
      </c>
    </row>
    <row r="30" spans="1:12" x14ac:dyDescent="0.25">
      <c r="E30" s="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1"/>
  <sheetViews>
    <sheetView workbookViewId="0">
      <selection activeCell="A27" sqref="A27"/>
    </sheetView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</row>
    <row r="3" spans="1:14" x14ac:dyDescent="0.25">
      <c r="N3" s="7" t="s">
        <v>129</v>
      </c>
    </row>
    <row r="4" spans="1:14" x14ac:dyDescent="0.25">
      <c r="A4" s="6" t="s">
        <v>9</v>
      </c>
    </row>
    <row r="5" spans="1:14" x14ac:dyDescent="0.25">
      <c r="A5" s="6" t="s">
        <v>130</v>
      </c>
    </row>
    <row r="6" spans="1:14" x14ac:dyDescent="0.25">
      <c r="A6" s="6" t="s">
        <v>11</v>
      </c>
    </row>
    <row r="7" spans="1:14" x14ac:dyDescent="0.25">
      <c r="I7" s="9" t="s">
        <v>131</v>
      </c>
      <c r="J7" s="9" t="s">
        <v>132</v>
      </c>
      <c r="L7" s="9" t="s">
        <v>133</v>
      </c>
    </row>
    <row r="8" spans="1:14" x14ac:dyDescent="0.25">
      <c r="A8" s="8" t="s">
        <v>12</v>
      </c>
      <c r="B8" s="8" t="s">
        <v>134</v>
      </c>
      <c r="C8" s="8" t="s">
        <v>135</v>
      </c>
      <c r="F8" s="9" t="s">
        <v>136</v>
      </c>
      <c r="G8" s="9" t="s">
        <v>137</v>
      </c>
      <c r="I8" s="9" t="s">
        <v>138</v>
      </c>
      <c r="J8" s="9" t="s">
        <v>139</v>
      </c>
      <c r="L8" s="9" t="s">
        <v>140</v>
      </c>
      <c r="M8" s="9" t="s">
        <v>141</v>
      </c>
    </row>
    <row r="9" spans="1:14" x14ac:dyDescent="0.25">
      <c r="A9" s="7" t="s">
        <v>142</v>
      </c>
      <c r="B9" s="7" t="s">
        <v>143</v>
      </c>
      <c r="D9" s="7" t="s">
        <v>144</v>
      </c>
      <c r="F9" s="23">
        <v>0.89</v>
      </c>
      <c r="G9" s="14">
        <v>4818</v>
      </c>
      <c r="I9" s="14">
        <v>30394</v>
      </c>
      <c r="J9" s="20">
        <v>0.159</v>
      </c>
      <c r="L9" s="20">
        <v>0.23300000000000001</v>
      </c>
      <c r="M9" s="23">
        <v>0.79</v>
      </c>
    </row>
    <row r="10" spans="1:14" x14ac:dyDescent="0.25">
      <c r="A10" s="7" t="s">
        <v>145</v>
      </c>
      <c r="B10" s="7" t="s">
        <v>146</v>
      </c>
      <c r="D10" s="7" t="s">
        <v>147</v>
      </c>
      <c r="F10" s="23">
        <v>0.66</v>
      </c>
      <c r="G10" s="14">
        <v>9085</v>
      </c>
      <c r="I10" s="14">
        <v>31139</v>
      </c>
      <c r="J10" s="20">
        <v>0.29199999999999998</v>
      </c>
      <c r="L10" s="20">
        <v>0.4</v>
      </c>
      <c r="M10" s="23">
        <v>0.56000000000000005</v>
      </c>
    </row>
    <row r="11" spans="1:14" x14ac:dyDescent="0.25">
      <c r="A11" s="7" t="s">
        <v>148</v>
      </c>
      <c r="B11" s="7" t="s">
        <v>149</v>
      </c>
      <c r="D11" s="7" t="s">
        <v>147</v>
      </c>
      <c r="F11" s="23">
        <v>1.17</v>
      </c>
      <c r="G11" s="14">
        <v>3779</v>
      </c>
      <c r="I11" s="14">
        <v>33958</v>
      </c>
      <c r="J11" s="20">
        <v>0.111</v>
      </c>
      <c r="L11" s="20">
        <v>0.29899999999999999</v>
      </c>
      <c r="M11" s="23">
        <v>1.08</v>
      </c>
    </row>
    <row r="12" spans="1:14" x14ac:dyDescent="0.25">
      <c r="A12" s="7" t="s">
        <v>150</v>
      </c>
      <c r="B12" s="7" t="s">
        <v>151</v>
      </c>
      <c r="D12" s="7" t="s">
        <v>147</v>
      </c>
      <c r="F12" s="23">
        <v>0.91</v>
      </c>
      <c r="G12" s="14">
        <v>8026</v>
      </c>
      <c r="I12" s="14">
        <v>19365</v>
      </c>
      <c r="J12" s="20">
        <v>0.41399999999999998</v>
      </c>
      <c r="L12" s="20">
        <v>0.38700000000000001</v>
      </c>
      <c r="M12" s="23">
        <v>0.73</v>
      </c>
    </row>
    <row r="13" spans="1:14" x14ac:dyDescent="0.25">
      <c r="A13" s="7" t="s">
        <v>152</v>
      </c>
      <c r="B13" s="7" t="s">
        <v>153</v>
      </c>
      <c r="D13" s="7" t="s">
        <v>147</v>
      </c>
      <c r="F13" s="23">
        <v>0.82</v>
      </c>
      <c r="G13" s="14">
        <v>2275</v>
      </c>
      <c r="I13" s="14">
        <v>13725</v>
      </c>
      <c r="J13" s="20">
        <v>0.16600000000000001</v>
      </c>
      <c r="L13" s="20">
        <v>0.32100000000000001</v>
      </c>
      <c r="M13" s="23">
        <v>0.73</v>
      </c>
    </row>
    <row r="14" spans="1:14" x14ac:dyDescent="0.25">
      <c r="A14" s="7" t="s">
        <v>154</v>
      </c>
      <c r="B14" s="7" t="s">
        <v>155</v>
      </c>
      <c r="D14" s="7" t="s">
        <v>156</v>
      </c>
      <c r="F14" s="23">
        <v>0.88</v>
      </c>
      <c r="G14" s="14">
        <v>2632</v>
      </c>
      <c r="I14" s="14">
        <v>11117</v>
      </c>
      <c r="J14" s="20">
        <v>0.23699999999999999</v>
      </c>
      <c r="L14" s="20">
        <v>0.224</v>
      </c>
      <c r="M14" s="23">
        <v>0.74</v>
      </c>
    </row>
    <row r="15" spans="1:14" x14ac:dyDescent="0.25">
      <c r="A15" s="7" t="s">
        <v>157</v>
      </c>
      <c r="B15" s="7" t="s">
        <v>158</v>
      </c>
      <c r="D15" s="7" t="s">
        <v>147</v>
      </c>
      <c r="F15" s="23">
        <v>0.81</v>
      </c>
      <c r="G15" s="10">
        <v>846</v>
      </c>
      <c r="I15" s="14">
        <v>7325</v>
      </c>
      <c r="J15" s="20">
        <v>0.11600000000000001</v>
      </c>
      <c r="L15" s="20">
        <v>0.35599999999999998</v>
      </c>
      <c r="M15" s="23">
        <v>0.75</v>
      </c>
    </row>
    <row r="16" spans="1:14" x14ac:dyDescent="0.25">
      <c r="A16" s="7" t="s">
        <v>159</v>
      </c>
      <c r="B16" s="7" t="s">
        <v>160</v>
      </c>
      <c r="D16" s="7" t="s">
        <v>144</v>
      </c>
      <c r="F16" s="23">
        <v>0.89</v>
      </c>
      <c r="G16" s="14">
        <v>1107</v>
      </c>
      <c r="I16" s="14">
        <v>4683</v>
      </c>
      <c r="J16" s="20">
        <v>0.23599999999999999</v>
      </c>
      <c r="L16" s="20">
        <v>0.17699999999999999</v>
      </c>
      <c r="M16" s="23">
        <v>0.75</v>
      </c>
    </row>
    <row r="17" spans="1:13" x14ac:dyDescent="0.25">
      <c r="A17" s="7" t="s">
        <v>161</v>
      </c>
      <c r="B17" s="7" t="s">
        <v>162</v>
      </c>
      <c r="D17" s="7" t="s">
        <v>147</v>
      </c>
      <c r="F17" s="27">
        <v>0.9</v>
      </c>
      <c r="G17" s="10">
        <v>300</v>
      </c>
      <c r="I17" s="14">
        <v>6378</v>
      </c>
      <c r="J17" s="20">
        <v>4.7E-2</v>
      </c>
      <c r="L17" s="20">
        <v>0.26100000000000001</v>
      </c>
      <c r="M17" s="23">
        <v>0.87</v>
      </c>
    </row>
    <row r="18" spans="1:13" x14ac:dyDescent="0.25">
      <c r="A18" s="7" t="s">
        <v>163</v>
      </c>
      <c r="B18" s="7" t="s">
        <v>164</v>
      </c>
      <c r="D18" s="7" t="s">
        <v>147</v>
      </c>
      <c r="F18" s="23">
        <v>1.02</v>
      </c>
      <c r="G18" s="10">
        <v>655</v>
      </c>
      <c r="I18" s="14">
        <v>3019</v>
      </c>
      <c r="J18" s="20">
        <v>0.217</v>
      </c>
      <c r="L18" s="20">
        <v>0.16700000000000001</v>
      </c>
      <c r="M18" s="23">
        <v>0.87</v>
      </c>
    </row>
    <row r="19" spans="1:13" x14ac:dyDescent="0.25">
      <c r="A19" s="6" t="s">
        <v>165</v>
      </c>
      <c r="F19" s="23">
        <v>0.89</v>
      </c>
      <c r="J19" s="28">
        <v>0.191</v>
      </c>
      <c r="L19" s="28">
        <v>0.28000000000000003</v>
      </c>
      <c r="M19" s="29">
        <v>0.75</v>
      </c>
    </row>
    <row r="20" spans="1:13" x14ac:dyDescent="0.25">
      <c r="A20" s="6" t="s">
        <v>166</v>
      </c>
      <c r="F20" s="23">
        <v>0.89</v>
      </c>
      <c r="J20" s="28">
        <v>0.19900000000000001</v>
      </c>
      <c r="L20" s="28">
        <v>0.28199999999999997</v>
      </c>
      <c r="M20" s="29">
        <v>0.79</v>
      </c>
    </row>
    <row r="21" spans="1:13" x14ac:dyDescent="0.25">
      <c r="A21" s="7" t="s">
        <v>167</v>
      </c>
      <c r="I21" s="7" t="s">
        <v>168</v>
      </c>
    </row>
    <row r="22" spans="1:13" x14ac:dyDescent="0.25">
      <c r="A22" s="7" t="s">
        <v>169</v>
      </c>
      <c r="E22" s="7" t="s">
        <v>170</v>
      </c>
      <c r="I22" s="7" t="s">
        <v>171</v>
      </c>
      <c r="M22" s="20">
        <v>4.2999999999999997E-2</v>
      </c>
    </row>
    <row r="23" spans="1:13" x14ac:dyDescent="0.25">
      <c r="A23" s="7" t="s">
        <v>172</v>
      </c>
      <c r="E23" s="7" t="s">
        <v>173</v>
      </c>
      <c r="I23" s="7" t="s">
        <v>174</v>
      </c>
      <c r="M23" s="20">
        <v>0.218</v>
      </c>
    </row>
    <row r="24" spans="1:13" x14ac:dyDescent="0.25">
      <c r="A24" s="7" t="s">
        <v>174</v>
      </c>
      <c r="E24" s="20">
        <v>0.218</v>
      </c>
      <c r="I24" s="7" t="s">
        <v>175</v>
      </c>
      <c r="M24" s="20">
        <v>3.4000000000000002E-2</v>
      </c>
    </row>
    <row r="25" spans="1:13" x14ac:dyDescent="0.25">
      <c r="A25" s="7" t="s">
        <v>176</v>
      </c>
      <c r="E25" s="7" t="s">
        <v>177</v>
      </c>
      <c r="I25" s="7" t="s">
        <v>130</v>
      </c>
    </row>
    <row r="26" spans="1:13" x14ac:dyDescent="0.25">
      <c r="A26" s="7" t="s">
        <v>178</v>
      </c>
      <c r="E26" s="23">
        <v>0.86</v>
      </c>
      <c r="H26" s="7" t="s">
        <v>179</v>
      </c>
      <c r="L26" s="20">
        <v>0.161</v>
      </c>
      <c r="M26" s="20">
        <v>3.4000000000000002E-2</v>
      </c>
    </row>
    <row r="27" spans="1:13" x14ac:dyDescent="0.25">
      <c r="A27" s="7" t="s">
        <v>180</v>
      </c>
      <c r="E27" s="7" t="s">
        <v>181</v>
      </c>
      <c r="I27" s="7" t="s">
        <v>182</v>
      </c>
      <c r="L27" s="20">
        <v>0.83899999999999997</v>
      </c>
      <c r="M27" s="20">
        <v>0.126</v>
      </c>
    </row>
    <row r="28" spans="1:13" x14ac:dyDescent="0.25">
      <c r="A28" s="7" t="s">
        <v>183</v>
      </c>
      <c r="E28" s="7" t="s">
        <v>184</v>
      </c>
      <c r="I28" s="7" t="s">
        <v>185</v>
      </c>
      <c r="M28" s="20">
        <v>0.111</v>
      </c>
    </row>
    <row r="29" spans="1:13" x14ac:dyDescent="0.25">
      <c r="A29" s="7" t="s">
        <v>186</v>
      </c>
      <c r="E29" s="7" t="s">
        <v>187</v>
      </c>
    </row>
    <row r="30" spans="1:13" x14ac:dyDescent="0.25">
      <c r="A30" s="6" t="s">
        <v>188</v>
      </c>
      <c r="E30" s="28">
        <v>0.126</v>
      </c>
      <c r="I30" s="6" t="s">
        <v>189</v>
      </c>
      <c r="M30" s="20">
        <v>0.11</v>
      </c>
    </row>
    <row r="31" spans="1:13" x14ac:dyDescent="0.25">
      <c r="A31" s="8" t="s">
        <v>190</v>
      </c>
    </row>
    <row r="32" spans="1:13" x14ac:dyDescent="0.25">
      <c r="A32" s="7" t="s">
        <v>191</v>
      </c>
    </row>
    <row r="33" spans="1:14" x14ac:dyDescent="0.25">
      <c r="A33" s="7" t="s">
        <v>192</v>
      </c>
    </row>
    <row r="34" spans="1:14" x14ac:dyDescent="0.25">
      <c r="A34" s="7" t="s">
        <v>193</v>
      </c>
    </row>
    <row r="35" spans="1:14" x14ac:dyDescent="0.25">
      <c r="A35" s="7" t="s">
        <v>194</v>
      </c>
    </row>
    <row r="36" spans="1:14" x14ac:dyDescent="0.25">
      <c r="A36" s="7" t="s">
        <v>195</v>
      </c>
    </row>
    <row r="37" spans="1:14" x14ac:dyDescent="0.25">
      <c r="A37" s="7" t="s">
        <v>196</v>
      </c>
    </row>
    <row r="38" spans="1:14" x14ac:dyDescent="0.25">
      <c r="A38" s="7" t="s">
        <v>197</v>
      </c>
    </row>
    <row r="39" spans="1:14" x14ac:dyDescent="0.25">
      <c r="A39" s="16" t="s">
        <v>61</v>
      </c>
    </row>
    <row r="40" spans="1:14" ht="15.75" x14ac:dyDescent="0.25">
      <c r="A40" s="9" t="s">
        <v>62</v>
      </c>
      <c r="N40" s="30" t="s">
        <v>63</v>
      </c>
    </row>
    <row r="41" spans="1:14" x14ac:dyDescent="0.25">
      <c r="F41" s="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43"/>
  <sheetViews>
    <sheetView workbookViewId="0">
      <selection activeCell="A44" sqref="A44"/>
    </sheetView>
  </sheetViews>
  <sheetFormatPr defaultRowHeight="15" x14ac:dyDescent="0.25"/>
  <cols>
    <col min="1" max="1" width="62.7109375" bestFit="1" customWidth="1"/>
  </cols>
  <sheetData>
    <row r="2" spans="1:14" x14ac:dyDescent="0.25">
      <c r="A2" s="6" t="s">
        <v>1</v>
      </c>
      <c r="N2" s="7" t="s">
        <v>198</v>
      </c>
    </row>
    <row r="3" spans="1:14" x14ac:dyDescent="0.25">
      <c r="A3" s="6" t="s">
        <v>9</v>
      </c>
    </row>
    <row r="4" spans="1:14" x14ac:dyDescent="0.25">
      <c r="A4" s="6" t="s">
        <v>199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74</v>
      </c>
      <c r="E8" s="10">
        <v>312</v>
      </c>
      <c r="F8" s="10">
        <v>323</v>
      </c>
      <c r="G8" s="10">
        <v>333</v>
      </c>
      <c r="H8" s="10">
        <v>346</v>
      </c>
      <c r="I8" s="10">
        <v>359</v>
      </c>
      <c r="J8" s="10">
        <v>371</v>
      </c>
      <c r="K8" s="10">
        <v>384</v>
      </c>
      <c r="L8" s="10">
        <v>395</v>
      </c>
      <c r="M8" s="10">
        <v>407</v>
      </c>
      <c r="N8" s="10">
        <v>420</v>
      </c>
    </row>
    <row r="9" spans="1:14" x14ac:dyDescent="0.25">
      <c r="A9" s="7" t="s">
        <v>204</v>
      </c>
      <c r="D9" s="19">
        <v>-54</v>
      </c>
      <c r="E9" s="19">
        <v>-34</v>
      </c>
      <c r="F9" s="19">
        <v>-1</v>
      </c>
    </row>
    <row r="10" spans="1:14" x14ac:dyDescent="0.25">
      <c r="A10" s="7" t="s">
        <v>205</v>
      </c>
      <c r="D10" s="10">
        <v>20</v>
      </c>
      <c r="E10" s="10">
        <v>278</v>
      </c>
      <c r="F10" s="10">
        <v>322</v>
      </c>
      <c r="G10" s="10">
        <v>333</v>
      </c>
      <c r="H10" s="10">
        <v>346</v>
      </c>
      <c r="I10" s="10">
        <v>359</v>
      </c>
      <c r="J10" s="10">
        <v>371</v>
      </c>
      <c r="K10" s="10">
        <v>384</v>
      </c>
      <c r="L10" s="10">
        <v>395</v>
      </c>
      <c r="M10" s="10">
        <v>407</v>
      </c>
      <c r="N10" s="10">
        <v>420</v>
      </c>
    </row>
    <row r="11" spans="1:14" x14ac:dyDescent="0.25">
      <c r="A11" s="7" t="s">
        <v>206</v>
      </c>
      <c r="C11" s="7" t="s">
        <v>207</v>
      </c>
      <c r="D11" s="20">
        <v>1</v>
      </c>
      <c r="E11" s="20">
        <v>1</v>
      </c>
      <c r="F11" s="20">
        <v>0.999</v>
      </c>
      <c r="G11" s="20">
        <v>0.996</v>
      </c>
      <c r="H11" s="20">
        <v>0.99199999999999999</v>
      </c>
      <c r="I11" s="20">
        <v>0.98499999999999999</v>
      </c>
      <c r="J11" s="20">
        <v>0.97499999999999998</v>
      </c>
      <c r="K11" s="20">
        <v>0.96199999999999997</v>
      </c>
      <c r="L11" s="20">
        <v>0.94599999999999995</v>
      </c>
      <c r="M11" s="20">
        <v>0.92800000000000005</v>
      </c>
      <c r="N11" s="20">
        <v>0.90600000000000003</v>
      </c>
    </row>
    <row r="12" spans="1:14" x14ac:dyDescent="0.25">
      <c r="A12" s="7" t="s">
        <v>208</v>
      </c>
      <c r="D12" s="10">
        <v>20</v>
      </c>
      <c r="E12" s="10">
        <v>278</v>
      </c>
      <c r="F12" s="10">
        <v>322</v>
      </c>
      <c r="G12" s="10">
        <v>332</v>
      </c>
      <c r="H12" s="10">
        <v>343</v>
      </c>
      <c r="I12" s="10">
        <v>353</v>
      </c>
      <c r="J12" s="10">
        <v>362</v>
      </c>
      <c r="K12" s="10">
        <v>369</v>
      </c>
      <c r="L12" s="10">
        <v>374</v>
      </c>
      <c r="M12" s="10">
        <v>378</v>
      </c>
      <c r="N12" s="10">
        <v>380</v>
      </c>
    </row>
    <row r="13" spans="1:14" x14ac:dyDescent="0.25">
      <c r="A13" s="6" t="s">
        <v>205</v>
      </c>
      <c r="D13" s="13">
        <v>20</v>
      </c>
      <c r="E13" s="13">
        <v>278</v>
      </c>
      <c r="F13" s="13">
        <v>322</v>
      </c>
      <c r="G13" s="13">
        <v>332</v>
      </c>
      <c r="H13" s="13">
        <v>343</v>
      </c>
      <c r="I13" s="13">
        <v>353</v>
      </c>
      <c r="J13" s="13">
        <v>362</v>
      </c>
      <c r="K13" s="13">
        <v>369</v>
      </c>
      <c r="L13" s="13">
        <v>374</v>
      </c>
      <c r="M13" s="13">
        <v>378</v>
      </c>
      <c r="N13" s="13">
        <v>380</v>
      </c>
    </row>
    <row r="14" spans="1:14" x14ac:dyDescent="0.25">
      <c r="A14" s="6" t="s">
        <v>106</v>
      </c>
      <c r="D14" s="13">
        <v>8</v>
      </c>
      <c r="E14" s="13">
        <v>110</v>
      </c>
      <c r="F14" s="13">
        <v>136</v>
      </c>
      <c r="G14" s="13">
        <v>145</v>
      </c>
      <c r="H14" s="13">
        <v>150</v>
      </c>
      <c r="I14" s="13">
        <v>159</v>
      </c>
      <c r="J14" s="13">
        <v>167</v>
      </c>
      <c r="K14" s="13">
        <v>174</v>
      </c>
      <c r="L14" s="13">
        <v>176</v>
      </c>
      <c r="M14" s="13">
        <v>178</v>
      </c>
      <c r="N14" s="13">
        <v>179</v>
      </c>
    </row>
    <row r="15" spans="1:14" x14ac:dyDescent="0.25">
      <c r="A15" s="7" t="s">
        <v>107</v>
      </c>
      <c r="D15" s="19">
        <v>-1</v>
      </c>
      <c r="E15" s="19">
        <v>-9</v>
      </c>
      <c r="F15" s="19">
        <v>-11</v>
      </c>
      <c r="G15" s="19">
        <v>-17</v>
      </c>
      <c r="H15" s="19">
        <v>-19</v>
      </c>
      <c r="I15" s="19">
        <v>-19</v>
      </c>
      <c r="J15" s="19">
        <v>-18</v>
      </c>
      <c r="K15" s="19">
        <v>-18</v>
      </c>
      <c r="L15" s="19">
        <v>-18</v>
      </c>
      <c r="M15" s="19">
        <v>-18</v>
      </c>
      <c r="N15" s="19">
        <v>-19</v>
      </c>
    </row>
    <row r="16" spans="1:14" x14ac:dyDescent="0.25">
      <c r="A16" s="6" t="s">
        <v>209</v>
      </c>
      <c r="D16" s="13">
        <v>7</v>
      </c>
      <c r="E16" s="13">
        <v>100</v>
      </c>
      <c r="F16" s="13">
        <v>125</v>
      </c>
      <c r="G16" s="13">
        <v>128</v>
      </c>
      <c r="H16" s="13">
        <v>131</v>
      </c>
      <c r="I16" s="13">
        <v>140</v>
      </c>
      <c r="J16" s="13">
        <v>148</v>
      </c>
      <c r="K16" s="13">
        <v>156</v>
      </c>
      <c r="L16" s="13">
        <v>158</v>
      </c>
      <c r="M16" s="13">
        <v>160</v>
      </c>
      <c r="N16" s="13">
        <v>160</v>
      </c>
    </row>
    <row r="17" spans="1:14" x14ac:dyDescent="0.25">
      <c r="A17" s="7" t="s">
        <v>210</v>
      </c>
      <c r="C17" s="20">
        <v>1.4999999999999999E-2</v>
      </c>
      <c r="D17" s="19">
        <v>0</v>
      </c>
      <c r="E17" s="19">
        <v>-4</v>
      </c>
      <c r="F17" s="19">
        <v>-5</v>
      </c>
      <c r="G17" s="19">
        <v>-5</v>
      </c>
      <c r="H17" s="19">
        <v>-5</v>
      </c>
      <c r="I17" s="19">
        <v>-5</v>
      </c>
      <c r="J17" s="19">
        <v>-5</v>
      </c>
      <c r="K17" s="19">
        <v>-6</v>
      </c>
      <c r="L17" s="19">
        <v>-6</v>
      </c>
      <c r="M17" s="19">
        <v>-6</v>
      </c>
      <c r="N17" s="19">
        <v>-6</v>
      </c>
    </row>
    <row r="18" spans="1:14" x14ac:dyDescent="0.25">
      <c r="A18" s="6" t="s">
        <v>211</v>
      </c>
      <c r="D18" s="13">
        <v>7</v>
      </c>
      <c r="E18" s="13">
        <v>96</v>
      </c>
      <c r="F18" s="13">
        <v>120</v>
      </c>
      <c r="G18" s="13">
        <v>124</v>
      </c>
      <c r="H18" s="13">
        <v>126</v>
      </c>
      <c r="I18" s="13">
        <v>135</v>
      </c>
      <c r="J18" s="13">
        <v>143</v>
      </c>
      <c r="K18" s="13">
        <v>150</v>
      </c>
      <c r="L18" s="13">
        <v>152</v>
      </c>
      <c r="M18" s="13">
        <v>154</v>
      </c>
      <c r="N18" s="13">
        <v>155</v>
      </c>
    </row>
    <row r="19" spans="1:14" x14ac:dyDescent="0.25">
      <c r="A19" s="7" t="s">
        <v>212</v>
      </c>
      <c r="C19" s="20">
        <v>0.218</v>
      </c>
      <c r="D19" s="31">
        <v>-2</v>
      </c>
      <c r="E19" s="19">
        <v>-21</v>
      </c>
      <c r="F19" s="19">
        <v>-26</v>
      </c>
      <c r="G19" s="19">
        <v>-27</v>
      </c>
      <c r="H19" s="19">
        <v>-27</v>
      </c>
      <c r="I19" s="19">
        <v>-29</v>
      </c>
      <c r="J19" s="19">
        <v>-31</v>
      </c>
      <c r="K19" s="19">
        <v>-33</v>
      </c>
      <c r="L19" s="19">
        <v>-33</v>
      </c>
      <c r="M19" s="19">
        <v>-34</v>
      </c>
      <c r="N19" s="19">
        <v>-34</v>
      </c>
    </row>
    <row r="20" spans="1:14" x14ac:dyDescent="0.25">
      <c r="A20" s="6" t="s">
        <v>213</v>
      </c>
      <c r="D20" s="13">
        <v>6</v>
      </c>
      <c r="E20" s="13">
        <v>75</v>
      </c>
      <c r="F20" s="13">
        <v>94</v>
      </c>
      <c r="G20" s="13">
        <v>97</v>
      </c>
      <c r="H20" s="13">
        <v>98</v>
      </c>
      <c r="I20" s="13">
        <v>105</v>
      </c>
      <c r="J20" s="13">
        <v>112</v>
      </c>
      <c r="K20" s="13">
        <v>118</v>
      </c>
      <c r="L20" s="13">
        <v>119</v>
      </c>
      <c r="M20" s="13">
        <v>120</v>
      </c>
      <c r="N20" s="13">
        <v>121</v>
      </c>
    </row>
    <row r="21" spans="1:14" x14ac:dyDescent="0.25">
      <c r="A21" s="7" t="s">
        <v>214</v>
      </c>
      <c r="D21" s="19">
        <v>-1</v>
      </c>
      <c r="E21" s="19">
        <v>-12</v>
      </c>
      <c r="F21" s="19">
        <v>-14</v>
      </c>
      <c r="G21" s="19">
        <v>-15</v>
      </c>
      <c r="H21" s="19">
        <v>-15</v>
      </c>
      <c r="I21" s="19">
        <v>-16</v>
      </c>
      <c r="J21" s="19">
        <v>-16</v>
      </c>
      <c r="K21" s="19">
        <v>-17</v>
      </c>
      <c r="L21" s="19">
        <v>-17</v>
      </c>
      <c r="M21" s="19">
        <v>-17</v>
      </c>
      <c r="N21" s="19">
        <v>-17</v>
      </c>
    </row>
    <row r="22" spans="1:14" x14ac:dyDescent="0.25">
      <c r="A22" s="6" t="s">
        <v>215</v>
      </c>
      <c r="D22" s="13">
        <v>5</v>
      </c>
      <c r="E22" s="13">
        <v>63</v>
      </c>
      <c r="F22" s="13">
        <v>79</v>
      </c>
      <c r="G22" s="13">
        <v>82</v>
      </c>
      <c r="H22" s="13">
        <v>83</v>
      </c>
      <c r="I22" s="13">
        <v>90</v>
      </c>
      <c r="J22" s="13">
        <v>96</v>
      </c>
      <c r="K22" s="13">
        <v>101</v>
      </c>
      <c r="L22" s="13">
        <v>102</v>
      </c>
      <c r="M22" s="13">
        <v>103</v>
      </c>
      <c r="N22" s="13">
        <v>104</v>
      </c>
    </row>
    <row r="23" spans="1:14" x14ac:dyDescent="0.25">
      <c r="A23" s="7" t="s">
        <v>115</v>
      </c>
      <c r="C23" s="20">
        <v>0.11</v>
      </c>
      <c r="D23" s="23">
        <v>0.98740000000000006</v>
      </c>
      <c r="E23" s="23">
        <v>0.92530000000000001</v>
      </c>
      <c r="F23" s="23">
        <v>0.83360000000000001</v>
      </c>
      <c r="G23" s="24">
        <v>0.751</v>
      </c>
      <c r="H23" s="23">
        <v>0.67659999999999998</v>
      </c>
      <c r="I23" s="23">
        <v>0.60950000000000004</v>
      </c>
      <c r="J23" s="23">
        <v>0.54910000000000003</v>
      </c>
      <c r="K23" s="23">
        <v>0.49469999999999997</v>
      </c>
      <c r="L23" s="23">
        <v>0.44569999999999999</v>
      </c>
      <c r="M23" s="23">
        <v>0.40150000000000002</v>
      </c>
      <c r="N23" s="23">
        <v>0.36170000000000002</v>
      </c>
    </row>
    <row r="24" spans="1:14" x14ac:dyDescent="0.25">
      <c r="A24" s="6" t="s">
        <v>116</v>
      </c>
      <c r="D24" s="13">
        <v>5</v>
      </c>
      <c r="E24" s="13">
        <v>58</v>
      </c>
      <c r="F24" s="13">
        <v>66</v>
      </c>
      <c r="G24" s="13">
        <v>61</v>
      </c>
      <c r="H24" s="13">
        <v>56</v>
      </c>
      <c r="I24" s="13">
        <v>55</v>
      </c>
      <c r="J24" s="13">
        <v>52</v>
      </c>
      <c r="K24" s="13">
        <v>50</v>
      </c>
      <c r="L24" s="13">
        <v>46</v>
      </c>
      <c r="M24" s="13">
        <v>41</v>
      </c>
      <c r="N24" s="13">
        <v>38</v>
      </c>
    </row>
    <row r="25" spans="1:14" x14ac:dyDescent="0.25">
      <c r="A25" s="7" t="s">
        <v>216</v>
      </c>
      <c r="D25" s="10">
        <v>787</v>
      </c>
    </row>
    <row r="26" spans="1:14" x14ac:dyDescent="0.25">
      <c r="I26" s="7" t="s">
        <v>217</v>
      </c>
    </row>
    <row r="27" spans="1:14" x14ac:dyDescent="0.25">
      <c r="A27" s="6" t="s">
        <v>218</v>
      </c>
      <c r="D27" s="13">
        <v>787</v>
      </c>
      <c r="G27" s="10">
        <v>850</v>
      </c>
      <c r="H27" s="15">
        <v>0.02</v>
      </c>
      <c r="I27" s="15">
        <v>0.03</v>
      </c>
      <c r="J27" s="15">
        <v>0.04</v>
      </c>
      <c r="K27" s="15">
        <v>0.05</v>
      </c>
    </row>
    <row r="28" spans="1:14" x14ac:dyDescent="0.25">
      <c r="A28" s="7" t="s">
        <v>121</v>
      </c>
      <c r="C28" s="7" t="s">
        <v>122</v>
      </c>
      <c r="D28" s="10">
        <v>66</v>
      </c>
      <c r="G28" s="27">
        <v>30</v>
      </c>
      <c r="H28" s="10">
        <v>830</v>
      </c>
      <c r="I28" s="10">
        <v>857</v>
      </c>
      <c r="J28" s="10">
        <v>886</v>
      </c>
      <c r="K28" s="10">
        <v>918</v>
      </c>
    </row>
    <row r="29" spans="1:14" x14ac:dyDescent="0.25">
      <c r="A29" s="6" t="s">
        <v>219</v>
      </c>
      <c r="D29" s="13">
        <v>850</v>
      </c>
      <c r="G29" s="27">
        <v>35</v>
      </c>
      <c r="H29" s="10">
        <v>830</v>
      </c>
      <c r="I29" s="10">
        <v>857</v>
      </c>
      <c r="J29" s="10">
        <v>886</v>
      </c>
      <c r="K29" s="10">
        <v>918</v>
      </c>
    </row>
    <row r="30" spans="1:14" x14ac:dyDescent="0.25">
      <c r="F30" s="7" t="s">
        <v>220</v>
      </c>
      <c r="G30" s="27">
        <v>40</v>
      </c>
      <c r="H30" s="10">
        <v>830</v>
      </c>
      <c r="I30" s="10">
        <v>857</v>
      </c>
      <c r="J30" s="10">
        <v>886</v>
      </c>
      <c r="K30" s="10">
        <v>918</v>
      </c>
    </row>
    <row r="31" spans="1:14" x14ac:dyDescent="0.25">
      <c r="G31" s="27">
        <v>45</v>
      </c>
      <c r="H31" s="10">
        <v>830</v>
      </c>
      <c r="I31" s="10">
        <v>857</v>
      </c>
      <c r="J31" s="10">
        <v>886</v>
      </c>
      <c r="K31" s="10">
        <v>918</v>
      </c>
    </row>
    <row r="32" spans="1:14" x14ac:dyDescent="0.25">
      <c r="G32" s="27">
        <v>50</v>
      </c>
      <c r="H32" s="10">
        <v>830</v>
      </c>
      <c r="I32" s="10">
        <v>857</v>
      </c>
      <c r="J32" s="10">
        <v>886</v>
      </c>
      <c r="K32" s="10">
        <v>918</v>
      </c>
    </row>
    <row r="33" spans="1:14" x14ac:dyDescent="0.25">
      <c r="A33" s="9" t="s">
        <v>221</v>
      </c>
    </row>
    <row r="34" spans="1:14" x14ac:dyDescent="0.25">
      <c r="A34" s="7" t="s">
        <v>222</v>
      </c>
      <c r="D34" s="7" t="s">
        <v>223</v>
      </c>
      <c r="E34" s="20">
        <v>2.4E-2</v>
      </c>
      <c r="F34" s="20">
        <v>3.5999999999999997E-2</v>
      </c>
      <c r="G34" s="20">
        <v>3.1E-2</v>
      </c>
      <c r="H34" s="20">
        <v>3.5999999999999997E-2</v>
      </c>
      <c r="I34" s="20">
        <v>3.7999999999999999E-2</v>
      </c>
      <c r="J34" s="20">
        <v>3.5999999999999997E-2</v>
      </c>
      <c r="K34" s="20">
        <v>3.4000000000000002E-2</v>
      </c>
      <c r="L34" s="20">
        <v>0.03</v>
      </c>
      <c r="M34" s="20">
        <v>0.03</v>
      </c>
      <c r="N34" s="20">
        <v>0.03</v>
      </c>
    </row>
    <row r="35" spans="1:14" x14ac:dyDescent="0.25">
      <c r="A35" s="7" t="s">
        <v>224</v>
      </c>
      <c r="D35" s="20">
        <v>0.39800000000000002</v>
      </c>
      <c r="E35" s="20">
        <v>0.39500000000000002</v>
      </c>
      <c r="F35" s="20">
        <v>0.42299999999999999</v>
      </c>
      <c r="G35" s="20">
        <v>0.437</v>
      </c>
      <c r="H35" s="20">
        <v>0.438</v>
      </c>
      <c r="I35" s="20">
        <v>0.45</v>
      </c>
      <c r="J35" s="20">
        <v>0.46100000000000002</v>
      </c>
      <c r="K35" s="20">
        <v>0.47099999999999997</v>
      </c>
      <c r="L35" s="20">
        <v>0.47099999999999997</v>
      </c>
      <c r="M35" s="20">
        <v>0.47099999999999997</v>
      </c>
      <c r="N35" s="20">
        <v>0.47099999999999997</v>
      </c>
    </row>
    <row r="36" spans="1:14" x14ac:dyDescent="0.25">
      <c r="A36" s="7" t="s">
        <v>107</v>
      </c>
      <c r="D36" s="20">
        <v>3.5999999999999997E-2</v>
      </c>
      <c r="E36" s="20">
        <v>3.4000000000000002E-2</v>
      </c>
      <c r="F36" s="20">
        <v>3.5000000000000003E-2</v>
      </c>
      <c r="G36" s="20">
        <v>0.05</v>
      </c>
      <c r="H36" s="20">
        <v>5.5E-2</v>
      </c>
      <c r="I36" s="20">
        <v>5.2999999999999999E-2</v>
      </c>
      <c r="J36" s="20">
        <v>5.0999999999999997E-2</v>
      </c>
      <c r="K36" s="20">
        <v>4.9000000000000002E-2</v>
      </c>
      <c r="L36" s="20">
        <v>4.9000000000000002E-2</v>
      </c>
      <c r="M36" s="20">
        <v>4.9000000000000002E-2</v>
      </c>
      <c r="N36" s="20">
        <v>4.9000000000000002E-2</v>
      </c>
    </row>
    <row r="37" spans="1:14" x14ac:dyDescent="0.25">
      <c r="A37" s="7" t="s">
        <v>225</v>
      </c>
      <c r="D37" s="20">
        <v>0.36199999999999999</v>
      </c>
      <c r="E37" s="20">
        <v>0.36099999999999999</v>
      </c>
      <c r="F37" s="20">
        <v>0.38800000000000001</v>
      </c>
      <c r="G37" s="20">
        <v>0.38700000000000001</v>
      </c>
      <c r="H37" s="20">
        <v>0.38300000000000001</v>
      </c>
      <c r="I37" s="20">
        <v>0.39700000000000002</v>
      </c>
      <c r="J37" s="20">
        <v>0.41</v>
      </c>
      <c r="K37" s="20">
        <v>0.42199999999999999</v>
      </c>
      <c r="L37" s="20">
        <v>0.42199999999999999</v>
      </c>
      <c r="M37" s="20">
        <v>0.42199999999999999</v>
      </c>
      <c r="N37" s="20">
        <v>0.42199999999999999</v>
      </c>
    </row>
    <row r="38" spans="1:14" x14ac:dyDescent="0.25">
      <c r="A38" s="7" t="s">
        <v>226</v>
      </c>
      <c r="D38" s="20">
        <v>4.4999999999999998E-2</v>
      </c>
      <c r="E38" s="20">
        <v>4.4999999999999998E-2</v>
      </c>
      <c r="F38" s="20">
        <v>4.4999999999999998E-2</v>
      </c>
      <c r="G38" s="20">
        <v>4.4999999999999998E-2</v>
      </c>
      <c r="H38" s="20">
        <v>4.4999999999999998E-2</v>
      </c>
      <c r="I38" s="20">
        <v>4.4999999999999998E-2</v>
      </c>
      <c r="J38" s="20">
        <v>4.4999999999999998E-2</v>
      </c>
      <c r="K38" s="20">
        <v>4.4999999999999998E-2</v>
      </c>
      <c r="L38" s="20">
        <v>4.4999999999999998E-2</v>
      </c>
      <c r="M38" s="20">
        <v>4.4999999999999998E-2</v>
      </c>
      <c r="N38" s="20">
        <v>4.4999999999999998E-2</v>
      </c>
    </row>
    <row r="39" spans="1:14" x14ac:dyDescent="0.25">
      <c r="A39" s="16" t="s">
        <v>127</v>
      </c>
    </row>
    <row r="40" spans="1:14" x14ac:dyDescent="0.25">
      <c r="A40" s="7" t="s">
        <v>227</v>
      </c>
    </row>
    <row r="41" spans="1:14" x14ac:dyDescent="0.25">
      <c r="A41" s="16" t="s">
        <v>61</v>
      </c>
    </row>
    <row r="42" spans="1:14" x14ac:dyDescent="0.25">
      <c r="A42" s="9" t="s">
        <v>62</v>
      </c>
      <c r="N42" s="32" t="s">
        <v>63</v>
      </c>
    </row>
    <row r="43" spans="1:14" x14ac:dyDescent="0.25">
      <c r="F43" s="5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M35"/>
  <sheetViews>
    <sheetView topLeftCell="A4" workbookViewId="0">
      <selection activeCell="C10" sqref="C10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228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432</v>
      </c>
      <c r="D8" s="10">
        <v>445</v>
      </c>
      <c r="E8" s="10">
        <v>458</v>
      </c>
      <c r="F8" s="10">
        <v>472</v>
      </c>
      <c r="G8" s="10">
        <v>486</v>
      </c>
      <c r="H8" s="10">
        <v>501</v>
      </c>
      <c r="I8" s="10">
        <v>516</v>
      </c>
      <c r="J8" s="10">
        <v>531</v>
      </c>
      <c r="K8" s="10">
        <v>547</v>
      </c>
      <c r="L8" s="10">
        <v>564</v>
      </c>
      <c r="M8" s="10">
        <v>581</v>
      </c>
    </row>
    <row r="9" spans="1:13" x14ac:dyDescent="0.25">
      <c r="A9" s="7" t="s">
        <v>204</v>
      </c>
    </row>
    <row r="10" spans="1:13" x14ac:dyDescent="0.25">
      <c r="A10" s="7" t="s">
        <v>205</v>
      </c>
      <c r="C10" s="10">
        <v>432</v>
      </c>
      <c r="D10" s="10">
        <v>445</v>
      </c>
      <c r="E10" s="10">
        <v>458</v>
      </c>
      <c r="F10" s="10">
        <v>472</v>
      </c>
      <c r="G10" s="10">
        <v>486</v>
      </c>
      <c r="H10" s="10">
        <v>501</v>
      </c>
      <c r="I10" s="10">
        <v>516</v>
      </c>
      <c r="J10" s="10">
        <v>531</v>
      </c>
      <c r="K10" s="10">
        <v>547</v>
      </c>
      <c r="L10" s="10">
        <v>564</v>
      </c>
      <c r="M10" s="10">
        <v>581</v>
      </c>
    </row>
    <row r="11" spans="1:13" x14ac:dyDescent="0.25">
      <c r="A11" s="7" t="s">
        <v>206</v>
      </c>
      <c r="B11" s="7" t="s">
        <v>207</v>
      </c>
      <c r="C11" s="20">
        <v>0.88100000000000001</v>
      </c>
      <c r="D11" s="20">
        <v>0.85299999999999998</v>
      </c>
      <c r="E11" s="20">
        <v>0.82199999999999995</v>
      </c>
      <c r="F11" s="20">
        <v>0.78800000000000003</v>
      </c>
      <c r="G11" s="20">
        <v>0.753</v>
      </c>
      <c r="H11" s="20">
        <v>0.71499999999999997</v>
      </c>
      <c r="I11" s="20">
        <v>0.67600000000000005</v>
      </c>
      <c r="J11" s="20">
        <v>0.63500000000000001</v>
      </c>
      <c r="K11" s="20">
        <v>0.59299999999999997</v>
      </c>
      <c r="L11" s="20">
        <v>0.55200000000000005</v>
      </c>
      <c r="M11" s="20">
        <v>0.51</v>
      </c>
    </row>
    <row r="12" spans="1:13" x14ac:dyDescent="0.25">
      <c r="A12" s="7" t="s">
        <v>208</v>
      </c>
      <c r="C12" s="10">
        <v>381</v>
      </c>
      <c r="D12" s="10">
        <v>380</v>
      </c>
      <c r="E12" s="10">
        <v>377</v>
      </c>
      <c r="F12" s="10">
        <v>372</v>
      </c>
      <c r="G12" s="10">
        <v>366</v>
      </c>
      <c r="H12" s="10">
        <v>358</v>
      </c>
      <c r="I12" s="10">
        <v>349</v>
      </c>
      <c r="J12" s="10">
        <v>337</v>
      </c>
      <c r="K12" s="10">
        <v>325</v>
      </c>
      <c r="L12" s="10">
        <v>311</v>
      </c>
      <c r="M12" s="10">
        <v>296</v>
      </c>
    </row>
    <row r="13" spans="1:13" x14ac:dyDescent="0.25">
      <c r="A13" s="6" t="s">
        <v>205</v>
      </c>
      <c r="C13" s="13">
        <v>381</v>
      </c>
      <c r="D13" s="13">
        <v>380</v>
      </c>
      <c r="E13" s="13">
        <v>377</v>
      </c>
      <c r="F13" s="13">
        <v>372</v>
      </c>
      <c r="G13" s="13">
        <v>366</v>
      </c>
      <c r="H13" s="13">
        <v>358</v>
      </c>
      <c r="I13" s="13">
        <v>349</v>
      </c>
      <c r="J13" s="13">
        <v>337</v>
      </c>
      <c r="K13" s="13">
        <v>325</v>
      </c>
      <c r="L13" s="13">
        <v>311</v>
      </c>
      <c r="M13" s="13">
        <v>296</v>
      </c>
    </row>
    <row r="14" spans="1:13" x14ac:dyDescent="0.25">
      <c r="A14" s="6" t="s">
        <v>106</v>
      </c>
      <c r="C14" s="13">
        <v>179</v>
      </c>
      <c r="D14" s="13">
        <v>179</v>
      </c>
      <c r="E14" s="13">
        <v>177</v>
      </c>
      <c r="F14" s="13">
        <v>175</v>
      </c>
      <c r="G14" s="13">
        <v>172</v>
      </c>
      <c r="H14" s="13">
        <v>169</v>
      </c>
      <c r="I14" s="13">
        <v>164</v>
      </c>
      <c r="J14" s="13">
        <v>159</v>
      </c>
      <c r="K14" s="13">
        <v>153</v>
      </c>
      <c r="L14" s="13">
        <v>146</v>
      </c>
      <c r="M14" s="13">
        <v>139</v>
      </c>
    </row>
    <row r="15" spans="1:13" x14ac:dyDescent="0.25">
      <c r="A15" s="7" t="s">
        <v>107</v>
      </c>
      <c r="C15" s="19">
        <v>-19</v>
      </c>
      <c r="D15" s="19">
        <v>-19</v>
      </c>
      <c r="E15" s="19">
        <v>-18</v>
      </c>
      <c r="F15" s="19">
        <v>-18</v>
      </c>
      <c r="G15" s="19">
        <v>-18</v>
      </c>
      <c r="H15" s="19">
        <v>-17</v>
      </c>
      <c r="I15" s="19">
        <v>-17</v>
      </c>
      <c r="J15" s="19">
        <v>-16</v>
      </c>
      <c r="K15" s="19">
        <v>-16</v>
      </c>
      <c r="L15" s="19">
        <v>-15</v>
      </c>
      <c r="M15" s="19">
        <v>-14</v>
      </c>
    </row>
    <row r="16" spans="1:13" x14ac:dyDescent="0.25">
      <c r="A16" s="6" t="s">
        <v>209</v>
      </c>
      <c r="C16" s="13">
        <v>161</v>
      </c>
      <c r="D16" s="13">
        <v>160</v>
      </c>
      <c r="E16" s="13">
        <v>159</v>
      </c>
      <c r="F16" s="13">
        <v>157</v>
      </c>
      <c r="G16" s="13">
        <v>155</v>
      </c>
      <c r="H16" s="13">
        <v>151</v>
      </c>
      <c r="I16" s="13">
        <v>147</v>
      </c>
      <c r="J16" s="13">
        <v>143</v>
      </c>
      <c r="K16" s="13">
        <v>137</v>
      </c>
      <c r="L16" s="13">
        <v>131</v>
      </c>
      <c r="M16" s="13">
        <v>125</v>
      </c>
    </row>
    <row r="17" spans="1:13" x14ac:dyDescent="0.25">
      <c r="A17" s="7" t="s">
        <v>210</v>
      </c>
      <c r="B17" s="20">
        <v>1.4999999999999999E-2</v>
      </c>
      <c r="C17" s="19">
        <v>-6</v>
      </c>
      <c r="D17" s="19">
        <v>-6</v>
      </c>
      <c r="E17" s="19">
        <v>-6</v>
      </c>
      <c r="F17" s="19">
        <v>-6</v>
      </c>
      <c r="G17" s="19">
        <v>-5</v>
      </c>
      <c r="H17" s="19">
        <v>-5</v>
      </c>
      <c r="I17" s="19">
        <v>-5</v>
      </c>
      <c r="J17" s="19">
        <v>-5</v>
      </c>
      <c r="K17" s="19">
        <v>-5</v>
      </c>
      <c r="L17" s="19">
        <v>-5</v>
      </c>
      <c r="M17" s="19">
        <v>-4</v>
      </c>
    </row>
    <row r="18" spans="1:13" x14ac:dyDescent="0.25">
      <c r="A18" s="6" t="s">
        <v>211</v>
      </c>
      <c r="C18" s="13">
        <v>155</v>
      </c>
      <c r="D18" s="13">
        <v>155</v>
      </c>
      <c r="E18" s="13">
        <v>153</v>
      </c>
      <c r="F18" s="13">
        <v>152</v>
      </c>
      <c r="G18" s="13">
        <v>149</v>
      </c>
      <c r="H18" s="13">
        <v>146</v>
      </c>
      <c r="I18" s="13">
        <v>142</v>
      </c>
      <c r="J18" s="13">
        <v>137</v>
      </c>
      <c r="K18" s="13">
        <v>132</v>
      </c>
      <c r="L18" s="13">
        <v>127</v>
      </c>
      <c r="M18" s="13">
        <v>121</v>
      </c>
    </row>
    <row r="19" spans="1:13" x14ac:dyDescent="0.25">
      <c r="A19" s="7" t="s">
        <v>212</v>
      </c>
      <c r="B19" s="20">
        <v>0.218</v>
      </c>
      <c r="C19" s="19">
        <v>-34</v>
      </c>
      <c r="D19" s="19">
        <v>-34</v>
      </c>
      <c r="E19" s="19">
        <v>-33</v>
      </c>
      <c r="F19" s="19">
        <v>-33</v>
      </c>
      <c r="G19" s="19">
        <v>-33</v>
      </c>
      <c r="H19" s="19">
        <v>-32</v>
      </c>
      <c r="I19" s="19">
        <v>-31</v>
      </c>
      <c r="J19" s="19">
        <v>-30</v>
      </c>
      <c r="K19" s="19">
        <v>-29</v>
      </c>
      <c r="L19" s="19">
        <v>-28</v>
      </c>
      <c r="M19" s="19">
        <v>-26</v>
      </c>
    </row>
    <row r="20" spans="1:13" x14ac:dyDescent="0.25">
      <c r="A20" s="6" t="s">
        <v>213</v>
      </c>
      <c r="C20" s="13">
        <v>121</v>
      </c>
      <c r="D20" s="13">
        <v>121</v>
      </c>
      <c r="E20" s="13">
        <v>120</v>
      </c>
      <c r="F20" s="13">
        <v>119</v>
      </c>
      <c r="G20" s="13">
        <v>117</v>
      </c>
      <c r="H20" s="13">
        <v>114</v>
      </c>
      <c r="I20" s="13">
        <v>111</v>
      </c>
      <c r="J20" s="13">
        <v>107</v>
      </c>
      <c r="K20" s="13">
        <v>103</v>
      </c>
      <c r="L20" s="13">
        <v>99</v>
      </c>
      <c r="M20" s="13">
        <v>94</v>
      </c>
    </row>
    <row r="21" spans="1:13" x14ac:dyDescent="0.25">
      <c r="A21" s="7" t="s">
        <v>214</v>
      </c>
      <c r="C21" s="19">
        <v>-17</v>
      </c>
      <c r="D21" s="19">
        <v>-17</v>
      </c>
      <c r="E21" s="19">
        <v>-17</v>
      </c>
      <c r="F21" s="19">
        <v>-17</v>
      </c>
      <c r="G21" s="19">
        <v>-16</v>
      </c>
      <c r="H21" s="19">
        <v>-16</v>
      </c>
      <c r="I21" s="19">
        <v>-16</v>
      </c>
      <c r="J21" s="19">
        <v>-15</v>
      </c>
      <c r="K21" s="19">
        <v>-15</v>
      </c>
      <c r="L21" s="19">
        <v>-14</v>
      </c>
      <c r="M21" s="19">
        <v>-13</v>
      </c>
    </row>
    <row r="22" spans="1:13" x14ac:dyDescent="0.25">
      <c r="A22" s="6" t="s">
        <v>215</v>
      </c>
      <c r="C22" s="13">
        <v>104</v>
      </c>
      <c r="D22" s="13">
        <v>104</v>
      </c>
      <c r="E22" s="13">
        <v>103</v>
      </c>
      <c r="F22" s="13">
        <v>102</v>
      </c>
      <c r="G22" s="13">
        <v>100</v>
      </c>
      <c r="H22" s="13">
        <v>98</v>
      </c>
      <c r="I22" s="13">
        <v>95</v>
      </c>
      <c r="J22" s="13">
        <v>92</v>
      </c>
      <c r="K22" s="13">
        <v>89</v>
      </c>
      <c r="L22" s="13">
        <v>85</v>
      </c>
      <c r="M22" s="13">
        <v>81</v>
      </c>
    </row>
    <row r="23" spans="1:13" x14ac:dyDescent="0.25">
      <c r="A23" s="7" t="s">
        <v>115</v>
      </c>
      <c r="B23" s="20">
        <v>0.11</v>
      </c>
      <c r="C23" s="23">
        <v>0.32590000000000002</v>
      </c>
      <c r="D23" s="23">
        <v>0.29360000000000003</v>
      </c>
      <c r="E23" s="23">
        <v>0.26450000000000001</v>
      </c>
      <c r="F23" s="23">
        <v>0.23830000000000001</v>
      </c>
      <c r="G23" s="23">
        <v>0.2147</v>
      </c>
      <c r="H23" s="23">
        <v>0.19339999999999999</v>
      </c>
      <c r="I23" s="23">
        <v>0.17419999999999999</v>
      </c>
      <c r="J23" s="24">
        <v>0.157</v>
      </c>
      <c r="K23" s="23">
        <v>0.1414</v>
      </c>
      <c r="L23" s="23">
        <v>0.12740000000000001</v>
      </c>
      <c r="M23" s="23">
        <v>0.1148</v>
      </c>
    </row>
    <row r="24" spans="1:13" x14ac:dyDescent="0.25">
      <c r="A24" s="6" t="s">
        <v>116</v>
      </c>
      <c r="C24" s="13">
        <v>34</v>
      </c>
      <c r="D24" s="13">
        <v>30</v>
      </c>
      <c r="E24" s="13">
        <v>27</v>
      </c>
      <c r="F24" s="13">
        <v>24</v>
      </c>
      <c r="G24" s="13">
        <v>21</v>
      </c>
      <c r="H24" s="13">
        <v>19</v>
      </c>
      <c r="I24" s="13">
        <v>17</v>
      </c>
      <c r="J24" s="13">
        <v>14</v>
      </c>
      <c r="K24" s="13">
        <v>13</v>
      </c>
      <c r="L24" s="13">
        <v>11</v>
      </c>
      <c r="M24" s="13">
        <v>9</v>
      </c>
    </row>
    <row r="25" spans="1:13" x14ac:dyDescent="0.25">
      <c r="A25" s="9" t="s">
        <v>221</v>
      </c>
    </row>
    <row r="26" spans="1:13" x14ac:dyDescent="0.25">
      <c r="A26" s="7" t="s">
        <v>222</v>
      </c>
      <c r="C26" s="20">
        <v>0.03</v>
      </c>
      <c r="D26" s="20">
        <v>0.03</v>
      </c>
      <c r="E26" s="20">
        <v>0.03</v>
      </c>
      <c r="F26" s="20">
        <v>0.03</v>
      </c>
      <c r="G26" s="20">
        <v>0.03</v>
      </c>
      <c r="H26" s="20">
        <v>0.03</v>
      </c>
      <c r="I26" s="20">
        <v>0.03</v>
      </c>
      <c r="J26" s="20">
        <v>0.03</v>
      </c>
      <c r="K26" s="20">
        <v>0.03</v>
      </c>
      <c r="L26" s="20">
        <v>0.03</v>
      </c>
      <c r="M26" s="20">
        <v>0.03</v>
      </c>
    </row>
    <row r="27" spans="1:13" x14ac:dyDescent="0.25">
      <c r="A27" s="7" t="s">
        <v>224</v>
      </c>
      <c r="C27" s="20">
        <v>0.47099999999999997</v>
      </c>
      <c r="D27" s="20">
        <v>0.47099999999999997</v>
      </c>
      <c r="E27" s="20">
        <v>0.47099999999999997</v>
      </c>
      <c r="F27" s="20">
        <v>0.47099999999999997</v>
      </c>
      <c r="G27" s="20">
        <v>0.47099999999999997</v>
      </c>
      <c r="H27" s="20">
        <v>0.47099999999999997</v>
      </c>
      <c r="I27" s="20">
        <v>0.47099999999999997</v>
      </c>
      <c r="J27" s="20">
        <v>0.47099999999999997</v>
      </c>
      <c r="K27" s="20">
        <v>0.47099999999999997</v>
      </c>
      <c r="L27" s="20">
        <v>0.47099999999999997</v>
      </c>
      <c r="M27" s="20">
        <v>0.47099999999999997</v>
      </c>
    </row>
    <row r="28" spans="1:13" x14ac:dyDescent="0.25">
      <c r="A28" s="7" t="s">
        <v>107</v>
      </c>
      <c r="C28" s="20">
        <v>4.9000000000000002E-2</v>
      </c>
      <c r="D28" s="20">
        <v>4.9000000000000002E-2</v>
      </c>
      <c r="E28" s="20">
        <v>4.9000000000000002E-2</v>
      </c>
      <c r="F28" s="20">
        <v>4.9000000000000002E-2</v>
      </c>
      <c r="G28" s="20">
        <v>4.9000000000000002E-2</v>
      </c>
      <c r="H28" s="20">
        <v>4.9000000000000002E-2</v>
      </c>
      <c r="I28" s="20">
        <v>4.9000000000000002E-2</v>
      </c>
      <c r="J28" s="20">
        <v>4.9000000000000002E-2</v>
      </c>
      <c r="K28" s="20">
        <v>4.9000000000000002E-2</v>
      </c>
      <c r="L28" s="20">
        <v>4.9000000000000002E-2</v>
      </c>
      <c r="M28" s="20">
        <v>4.9000000000000002E-2</v>
      </c>
    </row>
    <row r="29" spans="1:13" x14ac:dyDescent="0.25">
      <c r="A29" s="7" t="s">
        <v>225</v>
      </c>
      <c r="C29" s="20">
        <v>0.42199999999999999</v>
      </c>
      <c r="D29" s="20">
        <v>0.42199999999999999</v>
      </c>
      <c r="E29" s="20">
        <v>0.42199999999999999</v>
      </c>
      <c r="F29" s="20">
        <v>0.42199999999999999</v>
      </c>
      <c r="G29" s="20">
        <v>0.42199999999999999</v>
      </c>
      <c r="H29" s="20">
        <v>0.42199999999999999</v>
      </c>
      <c r="I29" s="20">
        <v>0.42199999999999999</v>
      </c>
      <c r="J29" s="20">
        <v>0.42199999999999999</v>
      </c>
      <c r="K29" s="20">
        <v>0.42199999999999999</v>
      </c>
      <c r="L29" s="20">
        <v>0.42199999999999999</v>
      </c>
      <c r="M29" s="20">
        <v>0.42199999999999999</v>
      </c>
    </row>
    <row r="30" spans="1:13" x14ac:dyDescent="0.25">
      <c r="A30" s="7" t="s">
        <v>240</v>
      </c>
      <c r="C30" s="20">
        <v>4.4999999999999998E-2</v>
      </c>
      <c r="D30" s="20">
        <v>4.4999999999999998E-2</v>
      </c>
      <c r="E30" s="20">
        <v>4.4999999999999998E-2</v>
      </c>
      <c r="F30" s="20">
        <v>4.4999999999999998E-2</v>
      </c>
      <c r="G30" s="20">
        <v>4.4999999999999998E-2</v>
      </c>
      <c r="H30" s="20">
        <v>4.4999999999999998E-2</v>
      </c>
      <c r="I30" s="20">
        <v>4.4999999999999998E-2</v>
      </c>
      <c r="J30" s="20">
        <v>4.4999999999999998E-2</v>
      </c>
      <c r="K30" s="20">
        <v>4.4999999999999998E-2</v>
      </c>
      <c r="L30" s="20">
        <v>4.4999999999999998E-2</v>
      </c>
      <c r="M30" s="20">
        <v>4.4999999999999998E-2</v>
      </c>
    </row>
    <row r="31" spans="1:13" x14ac:dyDescent="0.25">
      <c r="A31" s="16" t="s">
        <v>127</v>
      </c>
    </row>
    <row r="32" spans="1:13" x14ac:dyDescent="0.25">
      <c r="A32" s="7" t="s">
        <v>227</v>
      </c>
    </row>
    <row r="33" spans="1:13" x14ac:dyDescent="0.25">
      <c r="A33" s="16" t="s">
        <v>61</v>
      </c>
    </row>
    <row r="34" spans="1:13" x14ac:dyDescent="0.25">
      <c r="A34" s="9" t="s">
        <v>62</v>
      </c>
      <c r="M34" s="32" t="s">
        <v>63</v>
      </c>
    </row>
    <row r="35" spans="1:13" x14ac:dyDescent="0.25">
      <c r="G35" s="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M35"/>
  <sheetViews>
    <sheetView topLeftCell="A10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241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598</v>
      </c>
      <c r="D8" s="10">
        <v>616</v>
      </c>
      <c r="E8" s="10">
        <v>635</v>
      </c>
      <c r="F8" s="10">
        <v>654</v>
      </c>
      <c r="G8" s="10">
        <v>673</v>
      </c>
      <c r="H8" s="10">
        <v>693</v>
      </c>
      <c r="I8" s="10">
        <v>714</v>
      </c>
      <c r="J8" s="10">
        <v>736</v>
      </c>
      <c r="K8" s="10">
        <v>758</v>
      </c>
    </row>
    <row r="9" spans="1:13" x14ac:dyDescent="0.25">
      <c r="A9" s="7" t="s">
        <v>204</v>
      </c>
    </row>
    <row r="10" spans="1:13" x14ac:dyDescent="0.25">
      <c r="A10" s="7" t="s">
        <v>205</v>
      </c>
      <c r="C10" s="10">
        <v>598</v>
      </c>
      <c r="D10" s="10">
        <v>616</v>
      </c>
      <c r="E10" s="10">
        <v>635</v>
      </c>
      <c r="F10" s="10">
        <v>654</v>
      </c>
      <c r="G10" s="10">
        <v>673</v>
      </c>
      <c r="H10" s="10">
        <v>693</v>
      </c>
      <c r="I10" s="10">
        <v>714</v>
      </c>
      <c r="J10" s="10">
        <v>736</v>
      </c>
      <c r="K10" s="10">
        <v>758</v>
      </c>
    </row>
    <row r="11" spans="1:13" x14ac:dyDescent="0.25">
      <c r="A11" s="7" t="s">
        <v>206</v>
      </c>
      <c r="B11" s="7" t="s">
        <v>207</v>
      </c>
      <c r="C11" s="20">
        <v>0.46800000000000003</v>
      </c>
      <c r="D11" s="20">
        <v>0.42699999999999999</v>
      </c>
      <c r="E11" s="20">
        <v>0.38700000000000001</v>
      </c>
      <c r="F11" s="20">
        <v>0.34899999999999998</v>
      </c>
      <c r="G11" s="20">
        <v>0.313</v>
      </c>
      <c r="H11" s="20">
        <v>0.27800000000000002</v>
      </c>
      <c r="I11" s="20">
        <v>0.246</v>
      </c>
      <c r="J11" s="20">
        <v>0.215</v>
      </c>
      <c r="K11" s="20">
        <v>0.188</v>
      </c>
    </row>
    <row r="12" spans="1:13" x14ac:dyDescent="0.25">
      <c r="A12" s="7" t="s">
        <v>208</v>
      </c>
      <c r="C12" s="10">
        <v>280</v>
      </c>
      <c r="D12" s="10">
        <v>263</v>
      </c>
      <c r="E12" s="10">
        <v>246</v>
      </c>
      <c r="F12" s="10">
        <v>228</v>
      </c>
      <c r="G12" s="10">
        <v>210</v>
      </c>
      <c r="H12" s="10">
        <v>193</v>
      </c>
      <c r="I12" s="10">
        <v>175</v>
      </c>
      <c r="J12" s="10">
        <v>158</v>
      </c>
      <c r="K12" s="10">
        <v>142</v>
      </c>
    </row>
    <row r="13" spans="1:13" x14ac:dyDescent="0.25">
      <c r="A13" s="7" t="s">
        <v>205</v>
      </c>
      <c r="C13" s="13">
        <v>280</v>
      </c>
      <c r="D13" s="13">
        <v>263</v>
      </c>
      <c r="E13" s="13">
        <v>246</v>
      </c>
      <c r="F13" s="13">
        <v>228</v>
      </c>
      <c r="G13" s="13">
        <v>210</v>
      </c>
      <c r="H13" s="13">
        <v>193</v>
      </c>
      <c r="I13" s="13">
        <v>175</v>
      </c>
      <c r="J13" s="13">
        <v>158</v>
      </c>
      <c r="K13" s="13">
        <v>142</v>
      </c>
    </row>
    <row r="14" spans="1:13" x14ac:dyDescent="0.25">
      <c r="A14" s="6" t="s">
        <v>106</v>
      </c>
      <c r="C14" s="13">
        <v>132</v>
      </c>
      <c r="D14" s="13">
        <v>124</v>
      </c>
      <c r="E14" s="13">
        <v>116</v>
      </c>
      <c r="F14" s="13">
        <v>108</v>
      </c>
      <c r="G14" s="13">
        <v>99</v>
      </c>
      <c r="H14" s="13">
        <v>91</v>
      </c>
      <c r="I14" s="13">
        <v>83</v>
      </c>
      <c r="J14" s="13">
        <v>75</v>
      </c>
      <c r="K14" s="13">
        <v>67</v>
      </c>
    </row>
    <row r="15" spans="1:13" x14ac:dyDescent="0.25">
      <c r="A15" s="7" t="s">
        <v>107</v>
      </c>
      <c r="C15" s="19">
        <v>-14</v>
      </c>
      <c r="D15" s="19">
        <v>-13</v>
      </c>
      <c r="E15" s="19">
        <v>-12</v>
      </c>
      <c r="F15" s="19">
        <v>-11</v>
      </c>
      <c r="G15" s="19">
        <v>-10</v>
      </c>
      <c r="H15" s="19">
        <v>-9</v>
      </c>
      <c r="I15" s="19">
        <v>-9</v>
      </c>
      <c r="J15" s="19">
        <v>-8</v>
      </c>
      <c r="K15" s="19">
        <v>-7</v>
      </c>
    </row>
    <row r="16" spans="1:13" x14ac:dyDescent="0.25">
      <c r="A16" s="6" t="s">
        <v>209</v>
      </c>
      <c r="C16" s="13">
        <v>118</v>
      </c>
      <c r="D16" s="13">
        <v>111</v>
      </c>
      <c r="E16" s="13">
        <v>104</v>
      </c>
      <c r="F16" s="13">
        <v>96</v>
      </c>
      <c r="G16" s="13">
        <v>89</v>
      </c>
      <c r="H16" s="13">
        <v>81</v>
      </c>
      <c r="I16" s="13">
        <v>74</v>
      </c>
      <c r="J16" s="13">
        <v>67</v>
      </c>
      <c r="K16" s="13">
        <v>60</v>
      </c>
    </row>
    <row r="17" spans="1:11" x14ac:dyDescent="0.25">
      <c r="A17" s="7" t="s">
        <v>210</v>
      </c>
      <c r="B17" s="20">
        <v>1.4999999999999999E-2</v>
      </c>
      <c r="C17" s="19">
        <v>-4</v>
      </c>
      <c r="D17" s="19">
        <v>-4</v>
      </c>
      <c r="E17" s="19">
        <v>-4</v>
      </c>
      <c r="F17" s="19">
        <v>-3</v>
      </c>
      <c r="G17" s="19">
        <v>-3</v>
      </c>
      <c r="H17" s="19">
        <v>-3</v>
      </c>
      <c r="I17" s="19">
        <v>-3</v>
      </c>
      <c r="J17" s="19">
        <v>-2</v>
      </c>
      <c r="K17" s="19">
        <v>-2</v>
      </c>
    </row>
    <row r="18" spans="1:11" x14ac:dyDescent="0.25">
      <c r="A18" s="6" t="s">
        <v>211</v>
      </c>
      <c r="C18" s="13">
        <v>114</v>
      </c>
      <c r="D18" s="13">
        <v>107</v>
      </c>
      <c r="E18" s="13">
        <v>100</v>
      </c>
      <c r="F18" s="13">
        <v>93</v>
      </c>
      <c r="G18" s="13">
        <v>86</v>
      </c>
      <c r="H18" s="13">
        <v>79</v>
      </c>
      <c r="I18" s="13">
        <v>71</v>
      </c>
      <c r="J18" s="13">
        <v>65</v>
      </c>
      <c r="K18" s="13">
        <v>58</v>
      </c>
    </row>
    <row r="19" spans="1:11" x14ac:dyDescent="0.25">
      <c r="A19" s="7" t="s">
        <v>212</v>
      </c>
      <c r="B19" s="20">
        <v>0.218</v>
      </c>
      <c r="C19" s="19">
        <v>-25</v>
      </c>
      <c r="D19" s="19">
        <v>-23</v>
      </c>
      <c r="E19" s="19">
        <v>-22</v>
      </c>
      <c r="F19" s="19">
        <v>-20</v>
      </c>
      <c r="G19" s="19">
        <v>-19</v>
      </c>
      <c r="H19" s="19">
        <v>-17</v>
      </c>
      <c r="I19" s="19">
        <v>-16</v>
      </c>
      <c r="J19" s="19">
        <v>-14</v>
      </c>
      <c r="K19" s="19">
        <v>-13</v>
      </c>
    </row>
    <row r="20" spans="1:11" x14ac:dyDescent="0.25">
      <c r="A20" s="6" t="s">
        <v>213</v>
      </c>
      <c r="C20" s="13">
        <v>89</v>
      </c>
      <c r="D20" s="13">
        <v>84</v>
      </c>
      <c r="E20" s="13">
        <v>78</v>
      </c>
      <c r="F20" s="13">
        <v>73</v>
      </c>
      <c r="G20" s="13">
        <v>67</v>
      </c>
      <c r="H20" s="13">
        <v>61</v>
      </c>
      <c r="I20" s="13">
        <v>56</v>
      </c>
      <c r="J20" s="13">
        <v>50</v>
      </c>
      <c r="K20" s="13">
        <v>45</v>
      </c>
    </row>
    <row r="21" spans="1:11" x14ac:dyDescent="0.25">
      <c r="A21" s="7" t="s">
        <v>214</v>
      </c>
      <c r="C21" s="19">
        <v>-13</v>
      </c>
      <c r="D21" s="19">
        <v>-12</v>
      </c>
      <c r="E21" s="19">
        <v>-11</v>
      </c>
      <c r="F21" s="19">
        <v>-10</v>
      </c>
      <c r="G21" s="19">
        <v>-9</v>
      </c>
      <c r="H21" s="19">
        <v>-9</v>
      </c>
      <c r="I21" s="19">
        <v>-8</v>
      </c>
      <c r="J21" s="19">
        <v>-7</v>
      </c>
      <c r="K21" s="19">
        <v>-6</v>
      </c>
    </row>
    <row r="22" spans="1:11" x14ac:dyDescent="0.25">
      <c r="A22" s="6" t="s">
        <v>215</v>
      </c>
      <c r="C22" s="13">
        <v>77</v>
      </c>
      <c r="D22" s="13">
        <v>72</v>
      </c>
      <c r="E22" s="13">
        <v>67</v>
      </c>
      <c r="F22" s="13">
        <v>62</v>
      </c>
      <c r="G22" s="13">
        <v>58</v>
      </c>
      <c r="H22" s="13">
        <v>53</v>
      </c>
      <c r="I22" s="13">
        <v>48</v>
      </c>
      <c r="J22" s="13">
        <v>43</v>
      </c>
      <c r="K22" s="13">
        <v>39</v>
      </c>
    </row>
    <row r="23" spans="1:11" x14ac:dyDescent="0.25">
      <c r="A23" s="7" t="s">
        <v>115</v>
      </c>
      <c r="B23" s="20">
        <v>0.11</v>
      </c>
      <c r="C23" s="23">
        <v>0.10340000000000001</v>
      </c>
      <c r="D23" s="23">
        <v>9.3100000000000002E-2</v>
      </c>
      <c r="E23" s="23">
        <v>8.3900000000000002E-2</v>
      </c>
      <c r="F23" s="23">
        <v>7.5600000000000001E-2</v>
      </c>
      <c r="G23" s="23">
        <v>6.8099999999999994E-2</v>
      </c>
      <c r="H23" s="23">
        <v>6.1400000000000003E-2</v>
      </c>
      <c r="I23" s="23">
        <v>5.5300000000000002E-2</v>
      </c>
      <c r="J23" s="23">
        <v>4.9799999999999997E-2</v>
      </c>
      <c r="K23" s="23">
        <v>4.4900000000000002E-2</v>
      </c>
    </row>
    <row r="24" spans="1:11" x14ac:dyDescent="0.25">
      <c r="A24" s="6" t="s">
        <v>116</v>
      </c>
      <c r="C24" s="13">
        <v>8</v>
      </c>
      <c r="D24" s="13">
        <v>7</v>
      </c>
      <c r="E24" s="13">
        <v>6</v>
      </c>
      <c r="F24" s="13">
        <v>5</v>
      </c>
      <c r="G24" s="13">
        <v>4</v>
      </c>
      <c r="H24" s="13">
        <v>3</v>
      </c>
      <c r="I24" s="13">
        <v>3</v>
      </c>
      <c r="J24" s="13">
        <v>2</v>
      </c>
      <c r="K24" s="13">
        <v>2</v>
      </c>
    </row>
    <row r="25" spans="1:11" x14ac:dyDescent="0.25">
      <c r="A25" s="9" t="s">
        <v>221</v>
      </c>
    </row>
    <row r="26" spans="1:11" x14ac:dyDescent="0.25">
      <c r="A26" s="7" t="s">
        <v>222</v>
      </c>
      <c r="C26" s="20">
        <v>0.03</v>
      </c>
      <c r="D26" s="20">
        <v>0.03</v>
      </c>
      <c r="E26" s="20">
        <v>0.03</v>
      </c>
      <c r="F26" s="20">
        <v>0.03</v>
      </c>
      <c r="G26" s="20">
        <v>0.03</v>
      </c>
      <c r="H26" s="20">
        <v>0.03</v>
      </c>
      <c r="I26" s="20">
        <v>0.03</v>
      </c>
      <c r="J26" s="20">
        <v>0.03</v>
      </c>
      <c r="K26" s="20">
        <v>0.03</v>
      </c>
    </row>
    <row r="27" spans="1:11" x14ac:dyDescent="0.25">
      <c r="A27" s="7" t="s">
        <v>224</v>
      </c>
      <c r="C27" s="20">
        <v>0.47099999999999997</v>
      </c>
      <c r="D27" s="20">
        <v>0.47099999999999997</v>
      </c>
      <c r="E27" s="20">
        <v>0.47099999999999997</v>
      </c>
      <c r="F27" s="20">
        <v>0.47099999999999997</v>
      </c>
      <c r="G27" s="20">
        <v>0.47099999999999997</v>
      </c>
      <c r="H27" s="20">
        <v>0.47099999999999997</v>
      </c>
      <c r="I27" s="20">
        <v>0.47099999999999997</v>
      </c>
      <c r="J27" s="20">
        <v>0.47099999999999997</v>
      </c>
      <c r="K27" s="20">
        <v>0.47099999999999997</v>
      </c>
    </row>
    <row r="28" spans="1:11" x14ac:dyDescent="0.25">
      <c r="A28" s="7" t="s">
        <v>107</v>
      </c>
      <c r="C28" s="20">
        <v>4.9000000000000002E-2</v>
      </c>
      <c r="D28" s="20">
        <v>4.9000000000000002E-2</v>
      </c>
      <c r="E28" s="20">
        <v>4.9000000000000002E-2</v>
      </c>
      <c r="F28" s="20">
        <v>4.9000000000000002E-2</v>
      </c>
      <c r="G28" s="20">
        <v>4.9000000000000002E-2</v>
      </c>
      <c r="H28" s="20">
        <v>4.9000000000000002E-2</v>
      </c>
      <c r="I28" s="20">
        <v>4.9000000000000002E-2</v>
      </c>
      <c r="J28" s="20">
        <v>4.9000000000000002E-2</v>
      </c>
      <c r="K28" s="20">
        <v>4.9000000000000002E-2</v>
      </c>
    </row>
    <row r="29" spans="1:11" x14ac:dyDescent="0.25">
      <c r="A29" s="7" t="s">
        <v>225</v>
      </c>
      <c r="C29" s="20">
        <v>0.42199999999999999</v>
      </c>
      <c r="D29" s="20">
        <v>0.42199999999999999</v>
      </c>
      <c r="E29" s="20">
        <v>0.42199999999999999</v>
      </c>
      <c r="F29" s="20">
        <v>0.42199999999999999</v>
      </c>
      <c r="G29" s="20">
        <v>0.42199999999999999</v>
      </c>
      <c r="H29" s="20">
        <v>0.42199999999999999</v>
      </c>
      <c r="I29" s="20">
        <v>0.42199999999999999</v>
      </c>
      <c r="J29" s="20">
        <v>0.42199999999999999</v>
      </c>
      <c r="K29" s="20">
        <v>0.42199999999999999</v>
      </c>
    </row>
    <row r="30" spans="1:11" x14ac:dyDescent="0.25">
      <c r="A30" s="7" t="s">
        <v>240</v>
      </c>
      <c r="C30" s="20">
        <v>4.4999999999999998E-2</v>
      </c>
      <c r="D30" s="20">
        <v>4.4999999999999998E-2</v>
      </c>
      <c r="E30" s="20">
        <v>4.4999999999999998E-2</v>
      </c>
      <c r="F30" s="20">
        <v>4.4999999999999998E-2</v>
      </c>
      <c r="G30" s="20">
        <v>4.4999999999999998E-2</v>
      </c>
      <c r="H30" s="20">
        <v>4.4999999999999998E-2</v>
      </c>
      <c r="I30" s="20">
        <v>4.4999999999999998E-2</v>
      </c>
      <c r="J30" s="20">
        <v>4.4999999999999998E-2</v>
      </c>
      <c r="K30" s="20">
        <v>4.4999999999999998E-2</v>
      </c>
    </row>
    <row r="31" spans="1:11" x14ac:dyDescent="0.25">
      <c r="A31" s="16" t="s">
        <v>127</v>
      </c>
    </row>
    <row r="32" spans="1:11" x14ac:dyDescent="0.25">
      <c r="A32" s="7" t="s">
        <v>227</v>
      </c>
    </row>
    <row r="33" spans="1:13" x14ac:dyDescent="0.25">
      <c r="A33" s="16" t="s">
        <v>61</v>
      </c>
    </row>
    <row r="34" spans="1:13" x14ac:dyDescent="0.25">
      <c r="A34" s="9" t="s">
        <v>62</v>
      </c>
      <c r="M34" s="32" t="s">
        <v>63</v>
      </c>
    </row>
    <row r="35" spans="1:13" x14ac:dyDescent="0.25">
      <c r="G35" s="5" t="s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M43"/>
  <sheetViews>
    <sheetView topLeftCell="A22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251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22</v>
      </c>
      <c r="D8" s="10">
        <v>92</v>
      </c>
      <c r="E8" s="10">
        <v>98</v>
      </c>
      <c r="F8" s="10">
        <v>103</v>
      </c>
      <c r="G8" s="10">
        <v>106</v>
      </c>
      <c r="H8" s="10">
        <v>110</v>
      </c>
      <c r="I8" s="10">
        <v>116</v>
      </c>
      <c r="J8" s="10">
        <v>123</v>
      </c>
      <c r="K8" s="10">
        <v>126</v>
      </c>
      <c r="L8" s="10">
        <v>130</v>
      </c>
      <c r="M8" s="10">
        <v>134</v>
      </c>
    </row>
    <row r="9" spans="1:13" x14ac:dyDescent="0.25">
      <c r="A9" s="7" t="s">
        <v>204</v>
      </c>
      <c r="C9" s="19">
        <v>-16</v>
      </c>
      <c r="D9" s="19">
        <v>-10</v>
      </c>
      <c r="E9" s="19">
        <v>0</v>
      </c>
    </row>
    <row r="10" spans="1:13" x14ac:dyDescent="0.25">
      <c r="A10" s="7" t="s">
        <v>253</v>
      </c>
      <c r="C10" s="10">
        <v>6</v>
      </c>
      <c r="D10" s="10">
        <v>82</v>
      </c>
      <c r="E10" s="10">
        <v>98</v>
      </c>
      <c r="F10" s="10">
        <v>103</v>
      </c>
      <c r="G10" s="10">
        <v>106</v>
      </c>
      <c r="H10" s="10">
        <v>110</v>
      </c>
      <c r="I10" s="10">
        <v>116</v>
      </c>
      <c r="J10" s="10">
        <v>123</v>
      </c>
      <c r="K10" s="10">
        <v>126</v>
      </c>
      <c r="L10" s="10">
        <v>130</v>
      </c>
      <c r="M10" s="10">
        <v>134</v>
      </c>
    </row>
    <row r="11" spans="1:13" x14ac:dyDescent="0.25">
      <c r="A11" s="7" t="s">
        <v>206</v>
      </c>
      <c r="B11" s="7" t="s">
        <v>254</v>
      </c>
      <c r="C11" s="20">
        <v>1</v>
      </c>
      <c r="D11" s="20">
        <v>0.999</v>
      </c>
      <c r="E11" s="20">
        <v>0.996</v>
      </c>
      <c r="F11" s="20">
        <v>0.98799999999999999</v>
      </c>
      <c r="G11" s="20">
        <v>0.97299999999999998</v>
      </c>
      <c r="H11" s="20">
        <v>0.95099999999999996</v>
      </c>
      <c r="I11" s="20">
        <v>0.92100000000000004</v>
      </c>
      <c r="J11" s="20">
        <v>0.88300000000000001</v>
      </c>
      <c r="K11" s="20">
        <v>0.83699999999999997</v>
      </c>
      <c r="L11" s="20">
        <v>0.78500000000000003</v>
      </c>
      <c r="M11" s="20">
        <v>0.72599999999999998</v>
      </c>
    </row>
    <row r="12" spans="1:13" x14ac:dyDescent="0.25">
      <c r="A12" s="7" t="s">
        <v>208</v>
      </c>
      <c r="C12" s="10">
        <v>6</v>
      </c>
      <c r="D12" s="10">
        <v>82</v>
      </c>
      <c r="E12" s="10">
        <v>98</v>
      </c>
      <c r="F12" s="10">
        <v>101</v>
      </c>
      <c r="G12" s="10">
        <v>103</v>
      </c>
      <c r="H12" s="10">
        <v>105</v>
      </c>
      <c r="I12" s="10">
        <v>107</v>
      </c>
      <c r="J12" s="10">
        <v>108</v>
      </c>
      <c r="K12" s="10">
        <v>106</v>
      </c>
      <c r="L12" s="10">
        <v>102</v>
      </c>
      <c r="M12" s="10">
        <v>97</v>
      </c>
    </row>
    <row r="13" spans="1:13" x14ac:dyDescent="0.25">
      <c r="A13" s="6" t="s">
        <v>205</v>
      </c>
      <c r="C13" s="13">
        <v>6</v>
      </c>
      <c r="D13" s="13">
        <v>82</v>
      </c>
      <c r="E13" s="13">
        <v>98</v>
      </c>
      <c r="F13" s="13">
        <v>101</v>
      </c>
      <c r="G13" s="13">
        <v>103</v>
      </c>
      <c r="H13" s="13">
        <v>105</v>
      </c>
      <c r="I13" s="13">
        <v>107</v>
      </c>
      <c r="J13" s="13">
        <v>108</v>
      </c>
      <c r="K13" s="13">
        <v>106</v>
      </c>
      <c r="L13" s="13">
        <v>102</v>
      </c>
      <c r="M13" s="13">
        <v>97</v>
      </c>
    </row>
    <row r="14" spans="1:13" x14ac:dyDescent="0.25">
      <c r="A14" s="6" t="s">
        <v>106</v>
      </c>
      <c r="C14" s="13">
        <v>2</v>
      </c>
      <c r="D14" s="13">
        <v>25</v>
      </c>
      <c r="E14" s="13">
        <v>32</v>
      </c>
      <c r="F14" s="13">
        <v>35</v>
      </c>
      <c r="G14" s="13">
        <v>35</v>
      </c>
      <c r="H14" s="13">
        <v>38</v>
      </c>
      <c r="I14" s="13">
        <v>40</v>
      </c>
      <c r="J14" s="13">
        <v>41</v>
      </c>
      <c r="K14" s="13">
        <v>41</v>
      </c>
      <c r="L14" s="13">
        <v>39</v>
      </c>
      <c r="M14" s="13">
        <v>37</v>
      </c>
    </row>
    <row r="15" spans="1:13" x14ac:dyDescent="0.25">
      <c r="A15" s="7" t="s">
        <v>107</v>
      </c>
      <c r="C15" s="19">
        <v>0</v>
      </c>
      <c r="D15" s="19">
        <v>-3</v>
      </c>
      <c r="E15" s="19">
        <v>-3</v>
      </c>
      <c r="F15" s="19">
        <v>-5</v>
      </c>
      <c r="G15" s="19">
        <v>-6</v>
      </c>
      <c r="H15" s="19">
        <v>-6</v>
      </c>
      <c r="I15" s="19">
        <v>-5</v>
      </c>
      <c r="J15" s="19">
        <v>-5</v>
      </c>
      <c r="K15" s="19">
        <v>-5</v>
      </c>
      <c r="L15" s="19">
        <v>-5</v>
      </c>
      <c r="M15" s="19">
        <v>-5</v>
      </c>
    </row>
    <row r="16" spans="1:13" x14ac:dyDescent="0.25">
      <c r="A16" s="6" t="s">
        <v>211</v>
      </c>
      <c r="C16" s="13">
        <v>2</v>
      </c>
      <c r="D16" s="13">
        <v>22</v>
      </c>
      <c r="E16" s="13">
        <v>29</v>
      </c>
      <c r="F16" s="13">
        <v>30</v>
      </c>
      <c r="G16" s="13">
        <v>30</v>
      </c>
      <c r="H16" s="13">
        <v>32</v>
      </c>
      <c r="I16" s="13">
        <v>34</v>
      </c>
      <c r="J16" s="13">
        <v>36</v>
      </c>
      <c r="K16" s="13">
        <v>35</v>
      </c>
      <c r="L16" s="13">
        <v>34</v>
      </c>
      <c r="M16" s="13">
        <v>33</v>
      </c>
    </row>
    <row r="17" spans="1:13" x14ac:dyDescent="0.25">
      <c r="A17" s="7" t="s">
        <v>210</v>
      </c>
      <c r="B17" s="20">
        <v>1.4999999999999999E-2</v>
      </c>
      <c r="C17" s="19">
        <v>0</v>
      </c>
      <c r="D17" s="19">
        <v>-1</v>
      </c>
      <c r="E17" s="19">
        <v>-1</v>
      </c>
      <c r="F17" s="19">
        <v>-2</v>
      </c>
      <c r="G17" s="19">
        <v>-2</v>
      </c>
      <c r="H17" s="19">
        <v>-2</v>
      </c>
      <c r="I17" s="19">
        <v>-2</v>
      </c>
      <c r="J17" s="19">
        <v>-2</v>
      </c>
      <c r="K17" s="19">
        <v>-2</v>
      </c>
      <c r="L17" s="19">
        <v>-2</v>
      </c>
      <c r="M17" s="19">
        <v>-1</v>
      </c>
    </row>
    <row r="18" spans="1:13" x14ac:dyDescent="0.25">
      <c r="A18" s="6" t="s">
        <v>108</v>
      </c>
      <c r="C18" s="13">
        <v>2</v>
      </c>
      <c r="D18" s="13">
        <v>21</v>
      </c>
      <c r="E18" s="13">
        <v>27</v>
      </c>
      <c r="F18" s="13">
        <v>28</v>
      </c>
      <c r="G18" s="13">
        <v>28</v>
      </c>
      <c r="H18" s="13">
        <v>31</v>
      </c>
      <c r="I18" s="13">
        <v>33</v>
      </c>
      <c r="J18" s="13">
        <v>35</v>
      </c>
      <c r="K18" s="13">
        <v>34</v>
      </c>
      <c r="L18" s="13">
        <v>33</v>
      </c>
      <c r="M18" s="13">
        <v>31</v>
      </c>
    </row>
    <row r="19" spans="1:13" x14ac:dyDescent="0.25">
      <c r="A19" s="7" t="s">
        <v>212</v>
      </c>
      <c r="B19" s="20">
        <v>0.218</v>
      </c>
      <c r="C19" s="31">
        <v>0</v>
      </c>
      <c r="D19" s="19">
        <v>-5</v>
      </c>
      <c r="E19" s="19">
        <v>-6</v>
      </c>
      <c r="F19" s="19">
        <v>-6</v>
      </c>
      <c r="G19" s="19">
        <v>-6</v>
      </c>
      <c r="H19" s="19">
        <v>-7</v>
      </c>
      <c r="I19" s="19">
        <v>-7</v>
      </c>
      <c r="J19" s="19">
        <v>-8</v>
      </c>
      <c r="K19" s="19">
        <v>-7</v>
      </c>
      <c r="L19" s="19">
        <v>-7</v>
      </c>
      <c r="M19" s="19">
        <v>-7</v>
      </c>
    </row>
    <row r="20" spans="1:13" x14ac:dyDescent="0.25">
      <c r="A20" s="6" t="s">
        <v>213</v>
      </c>
      <c r="C20" s="13">
        <v>1</v>
      </c>
      <c r="D20" s="13">
        <v>16</v>
      </c>
      <c r="E20" s="13">
        <v>21</v>
      </c>
      <c r="F20" s="13">
        <v>22</v>
      </c>
      <c r="G20" s="13">
        <v>22</v>
      </c>
      <c r="H20" s="13">
        <v>24</v>
      </c>
      <c r="I20" s="13">
        <v>26</v>
      </c>
      <c r="J20" s="13">
        <v>27</v>
      </c>
      <c r="K20" s="13">
        <v>26</v>
      </c>
      <c r="L20" s="13">
        <v>25</v>
      </c>
      <c r="M20" s="13">
        <v>24</v>
      </c>
    </row>
    <row r="21" spans="1:13" x14ac:dyDescent="0.25">
      <c r="A21" s="7" t="s">
        <v>214</v>
      </c>
      <c r="C21" s="19">
        <v>0</v>
      </c>
      <c r="D21" s="19">
        <v>-3</v>
      </c>
      <c r="E21" s="19">
        <v>-4</v>
      </c>
      <c r="F21" s="19">
        <v>-4</v>
      </c>
      <c r="G21" s="19">
        <v>-4</v>
      </c>
      <c r="H21" s="19">
        <v>-4</v>
      </c>
      <c r="I21" s="19">
        <v>-4</v>
      </c>
      <c r="J21" s="19">
        <v>-4</v>
      </c>
      <c r="K21" s="19">
        <v>-4</v>
      </c>
      <c r="L21" s="19">
        <v>-4</v>
      </c>
      <c r="M21" s="19">
        <v>-4</v>
      </c>
    </row>
    <row r="22" spans="1:13" x14ac:dyDescent="0.25">
      <c r="A22" s="6" t="s">
        <v>215</v>
      </c>
      <c r="C22" s="13">
        <v>1</v>
      </c>
      <c r="D22" s="13">
        <v>13</v>
      </c>
      <c r="E22" s="13">
        <v>17</v>
      </c>
      <c r="F22" s="13">
        <v>18</v>
      </c>
      <c r="G22" s="13">
        <v>18</v>
      </c>
      <c r="H22" s="13">
        <v>20</v>
      </c>
      <c r="I22" s="13">
        <v>21</v>
      </c>
      <c r="J22" s="13">
        <v>23</v>
      </c>
      <c r="K22" s="13">
        <v>22</v>
      </c>
      <c r="L22" s="13">
        <v>21</v>
      </c>
      <c r="M22" s="13">
        <v>20</v>
      </c>
    </row>
    <row r="23" spans="1:13" x14ac:dyDescent="0.25">
      <c r="A23" s="7" t="s">
        <v>115</v>
      </c>
      <c r="B23" s="20">
        <v>0.11</v>
      </c>
      <c r="C23" s="23">
        <v>0.98740000000000006</v>
      </c>
      <c r="D23" s="23">
        <v>0.92530000000000001</v>
      </c>
      <c r="E23" s="23">
        <v>0.83360000000000001</v>
      </c>
      <c r="F23" s="24">
        <v>0.751</v>
      </c>
      <c r="G23" s="23">
        <v>0.67659999999999998</v>
      </c>
      <c r="H23" s="23">
        <v>0.60950000000000004</v>
      </c>
      <c r="I23" s="23">
        <v>0.54910000000000003</v>
      </c>
      <c r="J23" s="23">
        <v>0.49469999999999997</v>
      </c>
      <c r="K23" s="23">
        <v>0.44569999999999999</v>
      </c>
      <c r="L23" s="23">
        <v>0.40150000000000002</v>
      </c>
      <c r="M23" s="23">
        <v>0.36170000000000002</v>
      </c>
    </row>
    <row r="24" spans="1:13" x14ac:dyDescent="0.25">
      <c r="A24" s="6" t="s">
        <v>116</v>
      </c>
      <c r="C24" s="13">
        <v>1</v>
      </c>
      <c r="D24" s="13">
        <v>12</v>
      </c>
      <c r="E24" s="13">
        <v>15</v>
      </c>
      <c r="F24" s="13">
        <v>13</v>
      </c>
      <c r="G24" s="13">
        <v>12</v>
      </c>
      <c r="H24" s="13">
        <v>12</v>
      </c>
      <c r="I24" s="13">
        <v>12</v>
      </c>
      <c r="J24" s="13">
        <v>11</v>
      </c>
      <c r="K24" s="13">
        <v>10</v>
      </c>
      <c r="L24" s="13">
        <v>9</v>
      </c>
      <c r="M24" s="13">
        <v>7</v>
      </c>
    </row>
    <row r="25" spans="1:13" x14ac:dyDescent="0.25">
      <c r="A25" s="7" t="s">
        <v>216</v>
      </c>
      <c r="C25" s="10">
        <v>144</v>
      </c>
    </row>
    <row r="26" spans="1:13" x14ac:dyDescent="0.25">
      <c r="H26" s="7" t="s">
        <v>217</v>
      </c>
    </row>
    <row r="27" spans="1:13" x14ac:dyDescent="0.25">
      <c r="A27" s="6" t="s">
        <v>218</v>
      </c>
      <c r="C27" s="13">
        <v>144</v>
      </c>
      <c r="F27" s="10">
        <v>160</v>
      </c>
      <c r="G27" s="15">
        <v>0.02</v>
      </c>
      <c r="H27" s="15">
        <v>0.03</v>
      </c>
      <c r="I27" s="15">
        <v>0.04</v>
      </c>
      <c r="J27" s="15">
        <v>0.05</v>
      </c>
    </row>
    <row r="28" spans="1:13" x14ac:dyDescent="0.25">
      <c r="A28" s="7" t="s">
        <v>121</v>
      </c>
      <c r="B28" s="7" t="s">
        <v>122</v>
      </c>
      <c r="C28" s="10">
        <v>12</v>
      </c>
      <c r="F28" s="27">
        <v>20</v>
      </c>
      <c r="G28" s="10">
        <v>150</v>
      </c>
      <c r="H28" s="10">
        <v>160</v>
      </c>
      <c r="I28" s="10">
        <v>160</v>
      </c>
      <c r="J28" s="10">
        <v>160</v>
      </c>
    </row>
    <row r="29" spans="1:13" x14ac:dyDescent="0.25">
      <c r="A29" s="6" t="s">
        <v>219</v>
      </c>
      <c r="C29" s="13">
        <v>160</v>
      </c>
      <c r="F29" s="27">
        <v>25</v>
      </c>
      <c r="G29" s="10">
        <v>150</v>
      </c>
      <c r="H29" s="10">
        <v>160</v>
      </c>
      <c r="I29" s="10">
        <v>160</v>
      </c>
      <c r="J29" s="10">
        <v>160</v>
      </c>
    </row>
    <row r="30" spans="1:13" x14ac:dyDescent="0.25">
      <c r="E30" s="7" t="s">
        <v>220</v>
      </c>
      <c r="F30" s="27">
        <v>30</v>
      </c>
      <c r="G30" s="10">
        <v>150</v>
      </c>
      <c r="H30" s="10">
        <v>160</v>
      </c>
      <c r="I30" s="10">
        <v>160</v>
      </c>
      <c r="J30" s="10">
        <v>160</v>
      </c>
    </row>
    <row r="31" spans="1:13" x14ac:dyDescent="0.25">
      <c r="F31" s="27">
        <v>35</v>
      </c>
      <c r="G31" s="10">
        <v>150</v>
      </c>
      <c r="H31" s="10">
        <v>160</v>
      </c>
      <c r="I31" s="10">
        <v>160</v>
      </c>
      <c r="J31" s="10">
        <v>160</v>
      </c>
    </row>
    <row r="32" spans="1:13" x14ac:dyDescent="0.25">
      <c r="F32" s="27">
        <v>40</v>
      </c>
      <c r="G32" s="10">
        <v>150</v>
      </c>
      <c r="H32" s="10">
        <v>160</v>
      </c>
      <c r="I32" s="10">
        <v>160</v>
      </c>
      <c r="J32" s="10">
        <v>160</v>
      </c>
    </row>
    <row r="33" spans="1:13" x14ac:dyDescent="0.25">
      <c r="A33" s="9" t="s">
        <v>221</v>
      </c>
    </row>
    <row r="34" spans="1:13" x14ac:dyDescent="0.25">
      <c r="A34" s="7" t="s">
        <v>222</v>
      </c>
      <c r="C34" s="7" t="s">
        <v>223</v>
      </c>
      <c r="D34" s="20">
        <v>4.2999999999999997E-2</v>
      </c>
      <c r="E34" s="20">
        <v>6.6000000000000003E-2</v>
      </c>
      <c r="F34" s="20">
        <v>4.5999999999999999E-2</v>
      </c>
      <c r="G34" s="20">
        <v>2.8000000000000001E-2</v>
      </c>
      <c r="H34" s="20">
        <v>4.7E-2</v>
      </c>
      <c r="I34" s="20">
        <v>5.1999999999999998E-2</v>
      </c>
      <c r="J34" s="20">
        <v>5.6000000000000001E-2</v>
      </c>
      <c r="K34" s="20">
        <v>0.03</v>
      </c>
      <c r="L34" s="20">
        <v>0.03</v>
      </c>
      <c r="M34" s="20">
        <v>0.03</v>
      </c>
    </row>
    <row r="35" spans="1:13" x14ac:dyDescent="0.25">
      <c r="A35" s="7" t="s">
        <v>224</v>
      </c>
      <c r="C35" s="20">
        <v>0.30399999999999999</v>
      </c>
      <c r="D35" s="20">
        <v>0.30299999999999999</v>
      </c>
      <c r="E35" s="20">
        <v>0.32900000000000001</v>
      </c>
      <c r="F35" s="20">
        <v>0.34100000000000003</v>
      </c>
      <c r="G35" s="20">
        <v>0.34499999999999997</v>
      </c>
      <c r="H35" s="20">
        <v>0.35799999999999998</v>
      </c>
      <c r="I35" s="20">
        <v>0.37</v>
      </c>
      <c r="J35" s="20">
        <v>0.38300000000000001</v>
      </c>
      <c r="K35" s="20">
        <v>0.38300000000000001</v>
      </c>
      <c r="L35" s="20">
        <v>0.38300000000000001</v>
      </c>
      <c r="M35" s="20">
        <v>0.38300000000000001</v>
      </c>
    </row>
    <row r="36" spans="1:13" x14ac:dyDescent="0.25">
      <c r="A36" s="7" t="s">
        <v>107</v>
      </c>
      <c r="C36" s="20">
        <v>3.5999999999999997E-2</v>
      </c>
      <c r="D36" s="20">
        <v>3.4000000000000002E-2</v>
      </c>
      <c r="E36" s="20">
        <v>3.5000000000000003E-2</v>
      </c>
      <c r="F36" s="20">
        <v>0.05</v>
      </c>
      <c r="G36" s="20">
        <v>5.5E-2</v>
      </c>
      <c r="H36" s="20">
        <v>5.2999999999999999E-2</v>
      </c>
      <c r="I36" s="20">
        <v>5.0999999999999997E-2</v>
      </c>
      <c r="J36" s="20">
        <v>4.9000000000000002E-2</v>
      </c>
      <c r="K36" s="20">
        <v>4.9000000000000002E-2</v>
      </c>
      <c r="L36" s="20">
        <v>4.9000000000000002E-2</v>
      </c>
      <c r="M36" s="20">
        <v>4.9000000000000002E-2</v>
      </c>
    </row>
    <row r="37" spans="1:13" x14ac:dyDescent="0.25">
      <c r="A37" s="7" t="s">
        <v>225</v>
      </c>
      <c r="C37" s="20">
        <v>0.26900000000000002</v>
      </c>
      <c r="D37" s="20">
        <v>0.27</v>
      </c>
      <c r="E37" s="20">
        <v>0.29499999999999998</v>
      </c>
      <c r="F37" s="20">
        <v>0.29099999999999998</v>
      </c>
      <c r="G37" s="20">
        <v>0.28999999999999998</v>
      </c>
      <c r="H37" s="20">
        <v>0.30499999999999999</v>
      </c>
      <c r="I37" s="20">
        <v>0.32</v>
      </c>
      <c r="J37" s="20">
        <v>0.33400000000000002</v>
      </c>
      <c r="K37" s="20">
        <v>0.33400000000000002</v>
      </c>
      <c r="L37" s="20">
        <v>0.33400000000000002</v>
      </c>
      <c r="M37" s="20">
        <v>0.33400000000000002</v>
      </c>
    </row>
    <row r="38" spans="1:13" x14ac:dyDescent="0.25">
      <c r="A38" s="7" t="s">
        <v>240</v>
      </c>
      <c r="C38" s="20">
        <v>0.04</v>
      </c>
      <c r="D38" s="20">
        <v>0.04</v>
      </c>
      <c r="E38" s="20">
        <v>0.04</v>
      </c>
      <c r="F38" s="20">
        <v>0.04</v>
      </c>
      <c r="G38" s="20">
        <v>0.04</v>
      </c>
      <c r="H38" s="20">
        <v>0.04</v>
      </c>
      <c r="I38" s="20">
        <v>0.04</v>
      </c>
      <c r="J38" s="20">
        <v>0.04</v>
      </c>
      <c r="K38" s="20">
        <v>0.04</v>
      </c>
      <c r="L38" s="20">
        <v>0.04</v>
      </c>
      <c r="M38" s="20">
        <v>0.04</v>
      </c>
    </row>
    <row r="39" spans="1:13" x14ac:dyDescent="0.25">
      <c r="A39" s="16" t="s">
        <v>127</v>
      </c>
    </row>
    <row r="40" spans="1:13" x14ac:dyDescent="0.25">
      <c r="A40" s="7" t="s">
        <v>227</v>
      </c>
    </row>
    <row r="41" spans="1:13" x14ac:dyDescent="0.25">
      <c r="A41" s="16" t="s">
        <v>61</v>
      </c>
    </row>
    <row r="42" spans="1:13" x14ac:dyDescent="0.25">
      <c r="A42" s="9" t="s">
        <v>62</v>
      </c>
      <c r="M42" s="17" t="s">
        <v>63</v>
      </c>
    </row>
    <row r="43" spans="1:13" x14ac:dyDescent="0.25">
      <c r="F43" s="5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7"/>
  <sheetViews>
    <sheetView topLeftCell="A34" workbookViewId="0">
      <selection activeCell="F65" sqref="F65"/>
    </sheetView>
  </sheetViews>
  <sheetFormatPr defaultRowHeight="15" x14ac:dyDescent="0.25"/>
  <cols>
    <col min="1" max="1" width="62.7109375" bestFit="1" customWidth="1"/>
  </cols>
  <sheetData>
    <row r="1" spans="1:13" x14ac:dyDescent="0.25">
      <c r="C1">
        <f t="shared" ref="C1:M1" si="0">-C45/C19</f>
        <v>4.3478260869565216E-2</v>
      </c>
      <c r="D1">
        <f t="shared" si="0"/>
        <v>3.5294117647058823E-2</v>
      </c>
      <c r="E1">
        <f t="shared" si="0"/>
        <v>3.8461538461538464E-2</v>
      </c>
      <c r="F1">
        <f t="shared" si="0"/>
        <v>4.2857142857142858E-2</v>
      </c>
      <c r="G1">
        <f t="shared" si="0"/>
        <v>3.2258064516129031E-2</v>
      </c>
      <c r="H1">
        <f t="shared" si="0"/>
        <v>3.7037037037037035E-2</v>
      </c>
      <c r="I1">
        <f t="shared" si="0"/>
        <v>4.3478260869565216E-2</v>
      </c>
      <c r="J1">
        <f t="shared" si="0"/>
        <v>5.128205128205128E-2</v>
      </c>
      <c r="K1">
        <f t="shared" si="0"/>
        <v>3.125E-2</v>
      </c>
      <c r="L1">
        <f t="shared" si="0"/>
        <v>3.8461538461538464E-2</v>
      </c>
      <c r="M1">
        <f t="shared" si="0"/>
        <v>4.7619047619047616E-2</v>
      </c>
    </row>
    <row r="2" spans="1:13" x14ac:dyDescent="0.25">
      <c r="A2" s="6" t="s">
        <v>1</v>
      </c>
      <c r="M2" s="7" t="s">
        <v>255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138</v>
      </c>
      <c r="D8" s="10">
        <v>142</v>
      </c>
      <c r="E8" s="10">
        <v>147</v>
      </c>
      <c r="F8" s="10">
        <v>151</v>
      </c>
      <c r="G8" s="10">
        <v>155</v>
      </c>
      <c r="H8" s="10">
        <v>160</v>
      </c>
      <c r="I8" s="10">
        <v>165</v>
      </c>
      <c r="J8" s="10">
        <v>170</v>
      </c>
      <c r="K8" s="10">
        <v>175</v>
      </c>
      <c r="L8" s="10">
        <v>180</v>
      </c>
      <c r="M8" s="10">
        <v>186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138</v>
      </c>
      <c r="D10" s="10">
        <v>142</v>
      </c>
      <c r="E10" s="10">
        <v>147</v>
      </c>
      <c r="F10" s="10">
        <v>151</v>
      </c>
      <c r="G10" s="10">
        <v>155</v>
      </c>
      <c r="H10" s="10">
        <v>160</v>
      </c>
      <c r="I10" s="10">
        <v>165</v>
      </c>
      <c r="J10" s="10">
        <v>170</v>
      </c>
      <c r="K10" s="10">
        <v>175</v>
      </c>
      <c r="L10" s="10">
        <v>180</v>
      </c>
      <c r="M10" s="10">
        <v>186</v>
      </c>
    </row>
    <row r="11" spans="1:13" x14ac:dyDescent="0.25">
      <c r="A11" s="7"/>
      <c r="C11" s="10">
        <f t="shared" ref="C11:M11" si="1">SUM(C8,C9)</f>
        <v>138</v>
      </c>
      <c r="D11" s="10">
        <f t="shared" si="1"/>
        <v>142</v>
      </c>
      <c r="E11" s="10">
        <f t="shared" si="1"/>
        <v>147</v>
      </c>
      <c r="F11" s="10">
        <f t="shared" si="1"/>
        <v>151</v>
      </c>
      <c r="G11" s="10">
        <f t="shared" si="1"/>
        <v>155</v>
      </c>
      <c r="H11" s="10">
        <f t="shared" si="1"/>
        <v>160</v>
      </c>
      <c r="I11" s="10">
        <f t="shared" si="1"/>
        <v>165</v>
      </c>
      <c r="J11" s="10">
        <f t="shared" si="1"/>
        <v>170</v>
      </c>
      <c r="K11" s="10">
        <f t="shared" si="1"/>
        <v>175</v>
      </c>
      <c r="L11" s="10">
        <f t="shared" si="1"/>
        <v>180</v>
      </c>
      <c r="M11" s="10">
        <f t="shared" si="1"/>
        <v>186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92</v>
      </c>
      <c r="D15" s="10">
        <v>85</v>
      </c>
      <c r="E15" s="10">
        <v>78</v>
      </c>
      <c r="F15" s="10">
        <v>70</v>
      </c>
      <c r="G15" s="10">
        <v>62</v>
      </c>
      <c r="H15" s="10">
        <v>54</v>
      </c>
      <c r="I15" s="10">
        <v>46</v>
      </c>
      <c r="J15" s="10">
        <v>39</v>
      </c>
      <c r="K15" s="10">
        <v>32</v>
      </c>
      <c r="L15" s="10">
        <v>26</v>
      </c>
      <c r="M15" s="10">
        <v>21</v>
      </c>
    </row>
    <row r="16" spans="1:13" x14ac:dyDescent="0.25">
      <c r="A16" s="7"/>
      <c r="C16" s="10">
        <f t="shared" ref="C16:M16" si="2">SUM(C10,C14)</f>
        <v>138.66300000000001</v>
      </c>
      <c r="D16" s="10">
        <f t="shared" si="2"/>
        <v>142.59800000000001</v>
      </c>
      <c r="E16" s="10">
        <f t="shared" si="2"/>
        <v>147.53100000000001</v>
      </c>
      <c r="F16" s="10">
        <f t="shared" si="2"/>
        <v>151.464</v>
      </c>
      <c r="G16" s="10">
        <f t="shared" si="2"/>
        <v>155.399</v>
      </c>
      <c r="H16" s="10">
        <f t="shared" si="2"/>
        <v>160.33799999999999</v>
      </c>
      <c r="I16" s="10">
        <f t="shared" si="2"/>
        <v>165.28200000000001</v>
      </c>
      <c r="J16" s="10">
        <f t="shared" si="2"/>
        <v>170.23099999999999</v>
      </c>
      <c r="K16" s="10">
        <f t="shared" si="2"/>
        <v>175.185</v>
      </c>
      <c r="L16" s="10">
        <f t="shared" si="2"/>
        <v>180.14599999999999</v>
      </c>
      <c r="M16" s="10">
        <f t="shared" si="2"/>
        <v>186.113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92</v>
      </c>
      <c r="D19" s="13">
        <v>85</v>
      </c>
      <c r="E19" s="13">
        <v>78</v>
      </c>
      <c r="F19" s="13">
        <v>70</v>
      </c>
      <c r="G19" s="13">
        <v>62</v>
      </c>
      <c r="H19" s="13">
        <v>54</v>
      </c>
      <c r="I19" s="13">
        <v>46</v>
      </c>
      <c r="J19" s="13">
        <v>39</v>
      </c>
      <c r="K19" s="13">
        <v>32</v>
      </c>
      <c r="L19" s="13">
        <v>26</v>
      </c>
      <c r="M19" s="13">
        <v>21</v>
      </c>
    </row>
    <row r="20" spans="1:13" x14ac:dyDescent="0.25">
      <c r="A20" s="6" t="s">
        <v>106</v>
      </c>
      <c r="C20" s="13">
        <v>35</v>
      </c>
      <c r="D20" s="13">
        <v>33</v>
      </c>
      <c r="E20" s="13">
        <v>30</v>
      </c>
      <c r="F20" s="13">
        <v>27</v>
      </c>
      <c r="G20" s="13">
        <v>24</v>
      </c>
      <c r="H20" s="13">
        <v>21</v>
      </c>
      <c r="I20" s="13">
        <v>18</v>
      </c>
      <c r="J20" s="13">
        <v>15</v>
      </c>
      <c r="K20" s="13">
        <v>12</v>
      </c>
      <c r="L20" s="13">
        <v>10</v>
      </c>
      <c r="M20" s="13">
        <v>8</v>
      </c>
    </row>
    <row r="21" spans="1:13" x14ac:dyDescent="0.25">
      <c r="A21" s="7" t="s">
        <v>107</v>
      </c>
      <c r="C21" s="19">
        <v>-4</v>
      </c>
      <c r="D21" s="19">
        <v>-4</v>
      </c>
      <c r="E21" s="19">
        <v>-4</v>
      </c>
      <c r="F21" s="19">
        <v>-3</v>
      </c>
      <c r="G21" s="19">
        <v>-3</v>
      </c>
      <c r="H21" s="19">
        <v>-3</v>
      </c>
      <c r="I21" s="19">
        <v>-2</v>
      </c>
      <c r="J21" s="19">
        <v>-2</v>
      </c>
      <c r="K21" s="19">
        <v>-2</v>
      </c>
      <c r="L21" s="19">
        <v>-1</v>
      </c>
      <c r="M21" s="19">
        <v>-1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31</v>
      </c>
      <c r="D25" s="13">
        <v>28</v>
      </c>
      <c r="E25" s="13">
        <v>26</v>
      </c>
      <c r="F25" s="13">
        <v>23</v>
      </c>
      <c r="G25" s="13">
        <v>21</v>
      </c>
      <c r="H25" s="13">
        <v>18</v>
      </c>
      <c r="I25" s="13">
        <v>16</v>
      </c>
      <c r="J25" s="13">
        <v>13</v>
      </c>
      <c r="K25" s="13">
        <v>11</v>
      </c>
      <c r="L25" s="13">
        <v>9</v>
      </c>
      <c r="M25" s="13">
        <v>7</v>
      </c>
    </row>
    <row r="26" spans="1:13" x14ac:dyDescent="0.25">
      <c r="A26" s="6"/>
      <c r="C26" s="13">
        <f t="shared" ref="C26:M26" si="3">SUM(C20,C21)</f>
        <v>31</v>
      </c>
      <c r="D26" s="13">
        <f t="shared" si="3"/>
        <v>29</v>
      </c>
      <c r="E26" s="13">
        <f t="shared" si="3"/>
        <v>26</v>
      </c>
      <c r="F26" s="13">
        <f t="shared" si="3"/>
        <v>24</v>
      </c>
      <c r="G26" s="13">
        <f t="shared" si="3"/>
        <v>21</v>
      </c>
      <c r="H26" s="13">
        <f t="shared" si="3"/>
        <v>18</v>
      </c>
      <c r="I26" s="13">
        <f t="shared" si="3"/>
        <v>16</v>
      </c>
      <c r="J26" s="13">
        <f t="shared" si="3"/>
        <v>13</v>
      </c>
      <c r="K26" s="13">
        <f t="shared" si="3"/>
        <v>10</v>
      </c>
      <c r="L26" s="13">
        <f t="shared" si="3"/>
        <v>9</v>
      </c>
      <c r="M26" s="13">
        <f t="shared" si="3"/>
        <v>7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-1</v>
      </c>
      <c r="D29" s="19">
        <v>-1</v>
      </c>
      <c r="E29" s="19">
        <v>-1</v>
      </c>
      <c r="F29" s="19">
        <v>-1</v>
      </c>
      <c r="G29" s="19">
        <v>-1</v>
      </c>
      <c r="H29" s="19">
        <v>-1</v>
      </c>
      <c r="I29" s="19">
        <v>-1</v>
      </c>
      <c r="J29" s="19">
        <v>-1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1.38</v>
      </c>
      <c r="D30" s="19">
        <f>D19*B29</f>
        <v>1.2749999999999999</v>
      </c>
      <c r="E30" s="19">
        <f>E19*B29</f>
        <v>1.17</v>
      </c>
      <c r="F30" s="19">
        <f>F19*B29</f>
        <v>1.05</v>
      </c>
      <c r="G30" s="19">
        <f>G19*B29</f>
        <v>0.92999999999999994</v>
      </c>
      <c r="H30" s="19">
        <f>H19*B29</f>
        <v>0.80999999999999994</v>
      </c>
      <c r="I30" s="19">
        <f>I19*B29</f>
        <v>0.69</v>
      </c>
      <c r="J30" s="19">
        <f>J19*B29</f>
        <v>0.58499999999999996</v>
      </c>
      <c r="K30" s="19">
        <f>K19*B29</f>
        <v>0.48</v>
      </c>
      <c r="L30" s="19">
        <f>L19*B29</f>
        <v>0.39</v>
      </c>
      <c r="M30" s="19">
        <f>M19*B29</f>
        <v>0.315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29</v>
      </c>
      <c r="D33" s="13">
        <v>27</v>
      </c>
      <c r="E33" s="13">
        <v>25</v>
      </c>
      <c r="F33" s="13">
        <v>22</v>
      </c>
      <c r="G33" s="13">
        <v>20</v>
      </c>
      <c r="H33" s="13">
        <v>17</v>
      </c>
      <c r="I33" s="13">
        <v>15</v>
      </c>
      <c r="J33" s="13">
        <v>13</v>
      </c>
      <c r="K33" s="13">
        <v>10</v>
      </c>
      <c r="L33" s="13">
        <v>8</v>
      </c>
      <c r="M33" s="13">
        <v>7</v>
      </c>
    </row>
    <row r="34" spans="1:13" x14ac:dyDescent="0.25">
      <c r="A34" s="6"/>
      <c r="C34" s="13">
        <f t="shared" ref="C34:M34" si="4">SUM(C25,C29)</f>
        <v>30</v>
      </c>
      <c r="D34" s="13">
        <f t="shared" si="4"/>
        <v>27</v>
      </c>
      <c r="E34" s="13">
        <f t="shared" si="4"/>
        <v>25</v>
      </c>
      <c r="F34" s="13">
        <f t="shared" si="4"/>
        <v>22</v>
      </c>
      <c r="G34" s="13">
        <f t="shared" si="4"/>
        <v>20</v>
      </c>
      <c r="H34" s="13">
        <f t="shared" si="4"/>
        <v>17</v>
      </c>
      <c r="I34" s="13">
        <f t="shared" si="4"/>
        <v>15</v>
      </c>
      <c r="J34" s="13">
        <f t="shared" si="4"/>
        <v>12</v>
      </c>
      <c r="K34" s="13">
        <f t="shared" si="4"/>
        <v>11</v>
      </c>
      <c r="L34" s="13">
        <f t="shared" si="4"/>
        <v>9</v>
      </c>
      <c r="M34" s="13">
        <f t="shared" si="4"/>
        <v>7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-6</v>
      </c>
      <c r="D37" s="19">
        <v>-6</v>
      </c>
      <c r="E37" s="19">
        <v>-5</v>
      </c>
      <c r="F37" s="19">
        <v>-5</v>
      </c>
      <c r="G37" s="19">
        <v>-4</v>
      </c>
      <c r="H37" s="19">
        <v>-4</v>
      </c>
      <c r="I37" s="19">
        <v>-3</v>
      </c>
      <c r="J37" s="19">
        <v>-3</v>
      </c>
      <c r="K37" s="19">
        <v>-2</v>
      </c>
      <c r="L37" s="19">
        <v>-2</v>
      </c>
      <c r="M37" s="19">
        <v>-1</v>
      </c>
    </row>
    <row r="38" spans="1:13" x14ac:dyDescent="0.25">
      <c r="A38" s="7"/>
      <c r="B38" s="20"/>
      <c r="C38" s="19">
        <f>C33*B37</f>
        <v>6.3220000000000001</v>
      </c>
      <c r="D38" s="19">
        <f>D33*B37</f>
        <v>5.8860000000000001</v>
      </c>
      <c r="E38" s="19">
        <f>E33*B37</f>
        <v>5.45</v>
      </c>
      <c r="F38" s="19">
        <f>F33*B37</f>
        <v>4.7960000000000003</v>
      </c>
      <c r="G38" s="19">
        <f>G33*B37</f>
        <v>4.3600000000000003</v>
      </c>
      <c r="H38" s="19">
        <f>H33*B37</f>
        <v>3.706</v>
      </c>
      <c r="I38" s="19">
        <f>I33*B37</f>
        <v>3.27</v>
      </c>
      <c r="J38" s="19">
        <f>J33*B37</f>
        <v>2.8340000000000001</v>
      </c>
      <c r="K38" s="19">
        <f>K33*B37</f>
        <v>2.1800000000000002</v>
      </c>
      <c r="L38" s="19">
        <f>L33*B37</f>
        <v>1.744</v>
      </c>
      <c r="M38" s="19">
        <f>M33*B37</f>
        <v>1.526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23</v>
      </c>
      <c r="D41" s="13">
        <v>21</v>
      </c>
      <c r="E41" s="13">
        <v>19</v>
      </c>
      <c r="F41" s="13">
        <v>17</v>
      </c>
      <c r="G41" s="13">
        <v>15</v>
      </c>
      <c r="H41" s="13">
        <v>14</v>
      </c>
      <c r="I41" s="13">
        <v>12</v>
      </c>
      <c r="J41" s="13">
        <v>10</v>
      </c>
      <c r="K41" s="13">
        <v>8</v>
      </c>
      <c r="L41" s="13">
        <v>7</v>
      </c>
      <c r="M41" s="13">
        <v>5</v>
      </c>
    </row>
    <row r="42" spans="1:13" x14ac:dyDescent="0.25">
      <c r="A42" s="6"/>
      <c r="C42" s="13">
        <f t="shared" ref="C42:M42" si="5">C33-C37</f>
        <v>35</v>
      </c>
      <c r="D42" s="13">
        <f t="shared" si="5"/>
        <v>33</v>
      </c>
      <c r="E42" s="13">
        <f t="shared" si="5"/>
        <v>30</v>
      </c>
      <c r="F42" s="13">
        <f t="shared" si="5"/>
        <v>27</v>
      </c>
      <c r="G42" s="13">
        <f t="shared" si="5"/>
        <v>24</v>
      </c>
      <c r="H42" s="13">
        <f t="shared" si="5"/>
        <v>21</v>
      </c>
      <c r="I42" s="13">
        <f t="shared" si="5"/>
        <v>18</v>
      </c>
      <c r="J42" s="13">
        <f t="shared" si="5"/>
        <v>16</v>
      </c>
      <c r="K42" s="13">
        <f t="shared" si="5"/>
        <v>12</v>
      </c>
      <c r="L42" s="13">
        <f t="shared" si="5"/>
        <v>10</v>
      </c>
      <c r="M42" s="13">
        <f t="shared" si="5"/>
        <v>8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-4</v>
      </c>
      <c r="D45" s="19">
        <v>-3</v>
      </c>
      <c r="E45" s="19">
        <v>-3</v>
      </c>
      <c r="F45" s="19">
        <v>-3</v>
      </c>
      <c r="G45" s="19">
        <v>-2</v>
      </c>
      <c r="H45" s="19">
        <v>-2</v>
      </c>
      <c r="I45" s="19">
        <v>-2</v>
      </c>
      <c r="J45" s="19">
        <v>-2</v>
      </c>
      <c r="K45" s="19">
        <v>-1</v>
      </c>
      <c r="L45" s="19">
        <v>-1</v>
      </c>
      <c r="M45" s="19">
        <v>-1</v>
      </c>
    </row>
    <row r="46" spans="1:13" x14ac:dyDescent="0.25">
      <c r="A46" s="6" t="s">
        <v>215</v>
      </c>
      <c r="C46" s="13">
        <v>19</v>
      </c>
      <c r="D46" s="13">
        <v>18</v>
      </c>
      <c r="E46" s="13">
        <v>16</v>
      </c>
      <c r="F46" s="13">
        <v>15</v>
      </c>
      <c r="G46" s="13">
        <v>13</v>
      </c>
      <c r="H46" s="13">
        <v>11</v>
      </c>
      <c r="I46" s="13">
        <v>10</v>
      </c>
      <c r="J46" s="13">
        <v>8</v>
      </c>
      <c r="K46" s="13">
        <v>7</v>
      </c>
      <c r="L46" s="13">
        <v>6</v>
      </c>
      <c r="M46" s="13">
        <v>4</v>
      </c>
    </row>
    <row r="47" spans="1:13" x14ac:dyDescent="0.25">
      <c r="A47" s="6"/>
      <c r="C47" s="13">
        <f t="shared" ref="C47:M47" si="6">SUM(C41,C45)</f>
        <v>19</v>
      </c>
      <c r="D47" s="13">
        <f t="shared" si="6"/>
        <v>18</v>
      </c>
      <c r="E47" s="13">
        <f t="shared" si="6"/>
        <v>16</v>
      </c>
      <c r="F47" s="13">
        <f t="shared" si="6"/>
        <v>14</v>
      </c>
      <c r="G47" s="13">
        <f t="shared" si="6"/>
        <v>13</v>
      </c>
      <c r="H47" s="13">
        <f t="shared" si="6"/>
        <v>12</v>
      </c>
      <c r="I47" s="13">
        <f t="shared" si="6"/>
        <v>10</v>
      </c>
      <c r="J47" s="13">
        <f t="shared" si="6"/>
        <v>8</v>
      </c>
      <c r="K47" s="13">
        <f t="shared" si="6"/>
        <v>7</v>
      </c>
      <c r="L47" s="13">
        <f t="shared" si="6"/>
        <v>6</v>
      </c>
      <c r="M47" s="13">
        <f t="shared" si="6"/>
        <v>4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6</v>
      </c>
      <c r="D51" s="13">
        <v>5</v>
      </c>
      <c r="E51" s="13">
        <v>4</v>
      </c>
      <c r="F51" s="13">
        <v>3</v>
      </c>
      <c r="G51" s="13">
        <v>3</v>
      </c>
      <c r="H51" s="13">
        <v>2</v>
      </c>
      <c r="I51" s="13">
        <v>2</v>
      </c>
      <c r="J51" s="13">
        <v>1</v>
      </c>
      <c r="K51" s="13">
        <v>1</v>
      </c>
      <c r="L51" s="13">
        <v>1</v>
      </c>
      <c r="M51" s="13">
        <v>1</v>
      </c>
    </row>
    <row r="52" spans="1:13" x14ac:dyDescent="0.25">
      <c r="A52" s="6"/>
      <c r="C52" s="13">
        <f t="shared" ref="C52:M52" si="7">C46*C50</f>
        <v>6.1921000000000008</v>
      </c>
      <c r="D52" s="13">
        <f t="shared" si="7"/>
        <v>5.2848000000000006</v>
      </c>
      <c r="E52" s="13">
        <f t="shared" si="7"/>
        <v>4.2320000000000002</v>
      </c>
      <c r="F52" s="13">
        <f t="shared" si="7"/>
        <v>3.5745</v>
      </c>
      <c r="G52" s="13">
        <f t="shared" si="7"/>
        <v>2.7911000000000001</v>
      </c>
      <c r="H52" s="13">
        <f t="shared" si="7"/>
        <v>2.1273999999999997</v>
      </c>
      <c r="I52" s="13">
        <f t="shared" si="7"/>
        <v>1.742</v>
      </c>
      <c r="J52" s="13">
        <f t="shared" si="7"/>
        <v>1.256</v>
      </c>
      <c r="K52" s="13">
        <f t="shared" si="7"/>
        <v>0.98980000000000001</v>
      </c>
      <c r="L52" s="13">
        <f t="shared" si="7"/>
        <v>0.76440000000000008</v>
      </c>
      <c r="M52" s="13">
        <f t="shared" si="7"/>
        <v>0.4592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8">(D8-C8)/C8</f>
        <v>2.8985507246376812E-2</v>
      </c>
      <c r="E57" s="20">
        <f t="shared" si="8"/>
        <v>3.5211267605633804E-2</v>
      </c>
      <c r="F57" s="20">
        <f t="shared" si="8"/>
        <v>2.7210884353741496E-2</v>
      </c>
      <c r="G57" s="20">
        <f t="shared" si="8"/>
        <v>2.6490066225165563E-2</v>
      </c>
      <c r="H57" s="20">
        <f t="shared" si="8"/>
        <v>3.2258064516129031E-2</v>
      </c>
      <c r="I57" s="20">
        <f t="shared" si="8"/>
        <v>3.125E-2</v>
      </c>
      <c r="J57" s="20">
        <f t="shared" si="8"/>
        <v>3.0303030303030304E-2</v>
      </c>
      <c r="K57" s="20">
        <f t="shared" si="8"/>
        <v>2.9411764705882353E-2</v>
      </c>
      <c r="L57" s="20">
        <f t="shared" si="8"/>
        <v>2.8571428571428571E-2</v>
      </c>
      <c r="M57" s="20">
        <f t="shared" si="8"/>
        <v>3.3333333333333333E-2</v>
      </c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0.38300000000000001</v>
      </c>
      <c r="D60" s="20">
        <v>0.38300000000000001</v>
      </c>
      <c r="E60" s="20">
        <v>0.38300000000000001</v>
      </c>
      <c r="F60" s="20">
        <v>0.38300000000000001</v>
      </c>
      <c r="G60" s="20">
        <v>0.38300000000000001</v>
      </c>
      <c r="H60" s="20">
        <v>0.38300000000000001</v>
      </c>
      <c r="I60" s="20">
        <v>0.38300000000000001</v>
      </c>
      <c r="J60" s="20">
        <v>0.38300000000000001</v>
      </c>
      <c r="K60" s="20">
        <v>0.38300000000000001</v>
      </c>
      <c r="L60" s="20">
        <v>0.38300000000000001</v>
      </c>
      <c r="M60" s="20">
        <v>0.38300000000000001</v>
      </c>
    </row>
    <row r="61" spans="1:13" x14ac:dyDescent="0.25">
      <c r="A61" s="7"/>
      <c r="C61" s="20">
        <f t="shared" ref="C61:M61" si="9">C20/C19</f>
        <v>0.38043478260869568</v>
      </c>
      <c r="D61" s="20">
        <f t="shared" si="9"/>
        <v>0.38823529411764707</v>
      </c>
      <c r="E61" s="20">
        <f t="shared" si="9"/>
        <v>0.38461538461538464</v>
      </c>
      <c r="F61" s="20">
        <f t="shared" si="9"/>
        <v>0.38571428571428573</v>
      </c>
      <c r="G61" s="20">
        <f t="shared" si="9"/>
        <v>0.38709677419354838</v>
      </c>
      <c r="H61" s="20">
        <f t="shared" si="9"/>
        <v>0.3888888888888889</v>
      </c>
      <c r="I61" s="20">
        <f t="shared" si="9"/>
        <v>0.39130434782608697</v>
      </c>
      <c r="J61" s="20">
        <f t="shared" si="9"/>
        <v>0.38461538461538464</v>
      </c>
      <c r="K61" s="20">
        <f t="shared" si="9"/>
        <v>0.375</v>
      </c>
      <c r="L61" s="20">
        <f t="shared" si="9"/>
        <v>0.38461538461538464</v>
      </c>
      <c r="M61" s="20">
        <f t="shared" si="9"/>
        <v>0.38095238095238093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0.33400000000000002</v>
      </c>
      <c r="D65" s="20">
        <v>0.33400000000000002</v>
      </c>
      <c r="E65" s="20">
        <v>0.33400000000000002</v>
      </c>
      <c r="F65" s="20">
        <v>0.33400000000000002</v>
      </c>
      <c r="G65" s="20">
        <v>0.33400000000000002</v>
      </c>
      <c r="H65" s="20">
        <v>0.33400000000000002</v>
      </c>
      <c r="I65" s="20">
        <v>0.33400000000000002</v>
      </c>
      <c r="J65" s="20">
        <v>0.33400000000000002</v>
      </c>
      <c r="K65" s="20">
        <v>0.33400000000000002</v>
      </c>
      <c r="L65" s="20">
        <v>0.33400000000000002</v>
      </c>
      <c r="M65" s="20">
        <v>0.33400000000000002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0.04</v>
      </c>
      <c r="D69" s="20">
        <v>0.04</v>
      </c>
      <c r="E69" s="20">
        <v>0.04</v>
      </c>
      <c r="F69" s="20">
        <v>0.04</v>
      </c>
      <c r="G69" s="20">
        <v>0.04</v>
      </c>
      <c r="H69" s="20">
        <v>0.04</v>
      </c>
      <c r="I69" s="20">
        <v>0.04</v>
      </c>
      <c r="J69" s="20">
        <v>0.04</v>
      </c>
      <c r="K69" s="20">
        <v>0.04</v>
      </c>
      <c r="L69" s="20">
        <v>0.04</v>
      </c>
      <c r="M69" s="20">
        <v>0.04</v>
      </c>
    </row>
    <row r="70" spans="1:13" x14ac:dyDescent="0.25">
      <c r="A70" s="7"/>
      <c r="C70" s="20">
        <f t="shared" ref="C70:M70" si="10">-C45/C19</f>
        <v>4.3478260869565216E-2</v>
      </c>
      <c r="D70" s="20">
        <f t="shared" si="10"/>
        <v>3.5294117647058823E-2</v>
      </c>
      <c r="E70" s="20">
        <f t="shared" si="10"/>
        <v>3.8461538461538464E-2</v>
      </c>
      <c r="F70" s="20">
        <f t="shared" si="10"/>
        <v>4.2857142857142858E-2</v>
      </c>
      <c r="G70" s="20">
        <f t="shared" si="10"/>
        <v>3.2258064516129031E-2</v>
      </c>
      <c r="H70" s="20">
        <f t="shared" si="10"/>
        <v>3.7037037037037035E-2</v>
      </c>
      <c r="I70" s="20">
        <f t="shared" si="10"/>
        <v>4.3478260869565216E-2</v>
      </c>
      <c r="J70" s="20">
        <f t="shared" si="10"/>
        <v>5.128205128205128E-2</v>
      </c>
      <c r="K70" s="20">
        <f t="shared" si="10"/>
        <v>3.125E-2</v>
      </c>
      <c r="L70" s="20">
        <f t="shared" si="10"/>
        <v>3.8461538461538464E-2</v>
      </c>
      <c r="M70" s="20">
        <f t="shared" si="10"/>
        <v>4.7619047619047616E-2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17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M77"/>
  <sheetViews>
    <sheetView topLeftCell="A40" workbookViewId="0">
      <selection activeCell="H70" sqref="H70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256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191</v>
      </c>
      <c r="D8" s="10">
        <v>197</v>
      </c>
      <c r="E8" s="10">
        <v>203</v>
      </c>
      <c r="F8" s="10">
        <v>209</v>
      </c>
      <c r="G8" s="10">
        <v>215</v>
      </c>
      <c r="H8" s="10">
        <v>222</v>
      </c>
      <c r="I8" s="10">
        <v>228</v>
      </c>
      <c r="J8" s="10">
        <v>235</v>
      </c>
      <c r="K8" s="10">
        <v>242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191</v>
      </c>
      <c r="D10" s="10">
        <v>197</v>
      </c>
      <c r="E10" s="10">
        <v>203</v>
      </c>
      <c r="F10" s="10">
        <v>209</v>
      </c>
      <c r="G10" s="10">
        <v>215</v>
      </c>
      <c r="H10" s="10">
        <v>222</v>
      </c>
      <c r="I10" s="10">
        <v>228</v>
      </c>
      <c r="J10" s="10">
        <v>235</v>
      </c>
      <c r="K10" s="10">
        <v>242</v>
      </c>
    </row>
    <row r="11" spans="1:13" x14ac:dyDescent="0.25">
      <c r="A11" s="7" t="s">
        <v>814</v>
      </c>
      <c r="C11" s="10">
        <f t="shared" ref="C11:M11" si="0">SUM(C8,C9)</f>
        <v>191</v>
      </c>
      <c r="D11" s="10">
        <f t="shared" si="0"/>
        <v>197</v>
      </c>
      <c r="E11" s="10">
        <f t="shared" si="0"/>
        <v>203</v>
      </c>
      <c r="F11" s="10">
        <f t="shared" si="0"/>
        <v>209</v>
      </c>
      <c r="G11" s="10">
        <f t="shared" si="0"/>
        <v>215</v>
      </c>
      <c r="H11" s="10">
        <f t="shared" si="0"/>
        <v>222</v>
      </c>
      <c r="I11" s="10">
        <f t="shared" si="0"/>
        <v>228</v>
      </c>
      <c r="J11" s="10">
        <f t="shared" si="0"/>
        <v>235</v>
      </c>
      <c r="K11" s="10">
        <f t="shared" si="0"/>
        <v>242</v>
      </c>
      <c r="L11">
        <f t="shared" si="0"/>
        <v>0</v>
      </c>
      <c r="M11">
        <f t="shared" si="0"/>
        <v>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>
        <f t="shared" si="1"/>
        <v>0</v>
      </c>
      <c r="M12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16</v>
      </c>
      <c r="D15" s="10">
        <v>13</v>
      </c>
      <c r="E15" s="10">
        <v>9</v>
      </c>
      <c r="F15" s="10">
        <v>7</v>
      </c>
      <c r="G15" s="10">
        <v>5</v>
      </c>
      <c r="H15" s="10">
        <v>4</v>
      </c>
      <c r="I15" s="10">
        <v>2</v>
      </c>
      <c r="J15" s="10">
        <v>2</v>
      </c>
      <c r="K15" s="10">
        <v>1</v>
      </c>
    </row>
    <row r="16" spans="1:13" x14ac:dyDescent="0.25">
      <c r="A16" s="7" t="s">
        <v>815</v>
      </c>
      <c r="C16" s="10">
        <f t="shared" ref="C16:M16" si="2">SUM(C10,C14)</f>
        <v>191.08600000000001</v>
      </c>
      <c r="D16" s="10">
        <f t="shared" si="2"/>
        <v>197.06399999999999</v>
      </c>
      <c r="E16" s="10">
        <f t="shared" si="2"/>
        <v>203.047</v>
      </c>
      <c r="F16" s="10">
        <f t="shared" si="2"/>
        <v>209.03299999999999</v>
      </c>
      <c r="G16" s="10">
        <f t="shared" si="2"/>
        <v>215.023</v>
      </c>
      <c r="H16" s="10">
        <f t="shared" si="2"/>
        <v>222.01599999999999</v>
      </c>
      <c r="I16" s="10">
        <f t="shared" si="2"/>
        <v>228.011</v>
      </c>
      <c r="J16" s="10">
        <f t="shared" si="2"/>
        <v>235.00700000000001</v>
      </c>
      <c r="K16" s="10">
        <f t="shared" si="2"/>
        <v>242.005</v>
      </c>
      <c r="L16">
        <f t="shared" si="2"/>
        <v>0</v>
      </c>
      <c r="M16">
        <f t="shared" si="2"/>
        <v>0</v>
      </c>
    </row>
    <row r="17" spans="1:13" x14ac:dyDescent="0.25">
      <c r="A17" s="7" t="s">
        <v>826</v>
      </c>
      <c r="C17" s="10">
        <f t="shared" ref="C17:M17" si="3">C16-C15</f>
        <v>175.08600000000001</v>
      </c>
      <c r="D17" s="10">
        <f t="shared" si="3"/>
        <v>184.06399999999999</v>
      </c>
      <c r="E17" s="10">
        <f t="shared" si="3"/>
        <v>194.047</v>
      </c>
      <c r="F17" s="10">
        <f t="shared" si="3"/>
        <v>202.03299999999999</v>
      </c>
      <c r="G17" s="10">
        <f t="shared" si="3"/>
        <v>210.023</v>
      </c>
      <c r="H17" s="10">
        <f t="shared" si="3"/>
        <v>218.01599999999999</v>
      </c>
      <c r="I17" s="10">
        <f t="shared" si="3"/>
        <v>226.011</v>
      </c>
      <c r="J17" s="10">
        <f t="shared" si="3"/>
        <v>233.00700000000001</v>
      </c>
      <c r="K17" s="10">
        <f t="shared" si="3"/>
        <v>241.005</v>
      </c>
      <c r="L17">
        <f t="shared" si="3"/>
        <v>0</v>
      </c>
      <c r="M17">
        <f t="shared" si="3"/>
        <v>0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16</v>
      </c>
      <c r="D19" s="13">
        <v>13</v>
      </c>
      <c r="E19" s="13">
        <v>9</v>
      </c>
      <c r="F19" s="13">
        <v>7</v>
      </c>
      <c r="G19" s="13">
        <v>5</v>
      </c>
      <c r="H19" s="13">
        <v>4</v>
      </c>
      <c r="I19" s="13">
        <v>2</v>
      </c>
      <c r="J19" s="13">
        <v>2</v>
      </c>
      <c r="K19" s="13">
        <v>1</v>
      </c>
    </row>
    <row r="20" spans="1:13" x14ac:dyDescent="0.25">
      <c r="A20" s="6" t="s">
        <v>106</v>
      </c>
      <c r="C20" s="13">
        <v>6</v>
      </c>
      <c r="D20" s="13">
        <v>5</v>
      </c>
      <c r="E20" s="13">
        <v>4</v>
      </c>
      <c r="F20" s="13">
        <v>3</v>
      </c>
      <c r="G20" s="13">
        <v>2</v>
      </c>
      <c r="H20" s="13">
        <v>1</v>
      </c>
      <c r="I20" s="13">
        <v>1</v>
      </c>
      <c r="J20" s="13">
        <v>1</v>
      </c>
      <c r="K20" s="13">
        <v>0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6</v>
      </c>
      <c r="D25" s="13">
        <v>4</v>
      </c>
      <c r="E25" s="13">
        <v>3</v>
      </c>
      <c r="F25" s="13">
        <v>2</v>
      </c>
      <c r="G25" s="13">
        <v>2</v>
      </c>
      <c r="H25" s="13">
        <v>1</v>
      </c>
      <c r="I25" s="13">
        <v>1</v>
      </c>
      <c r="J25" s="13">
        <v>1</v>
      </c>
      <c r="K25" s="13">
        <v>0</v>
      </c>
    </row>
    <row r="26" spans="1:13" x14ac:dyDescent="0.25">
      <c r="A26" s="6" t="s">
        <v>816</v>
      </c>
      <c r="C26" s="13">
        <f t="shared" ref="C26:M26" si="4">SUM(C20,C21)</f>
        <v>5</v>
      </c>
      <c r="D26" s="13">
        <f t="shared" si="4"/>
        <v>4</v>
      </c>
      <c r="E26" s="13">
        <f t="shared" si="4"/>
        <v>4</v>
      </c>
      <c r="F26" s="13">
        <f t="shared" si="4"/>
        <v>3</v>
      </c>
      <c r="G26" s="13">
        <f t="shared" si="4"/>
        <v>2</v>
      </c>
      <c r="H26" s="13">
        <f t="shared" si="4"/>
        <v>1</v>
      </c>
      <c r="I26" s="13">
        <f t="shared" si="4"/>
        <v>1</v>
      </c>
      <c r="J26" s="13">
        <f t="shared" si="4"/>
        <v>1</v>
      </c>
      <c r="K26" s="13">
        <f t="shared" si="4"/>
        <v>0</v>
      </c>
      <c r="L26">
        <f t="shared" si="4"/>
        <v>0</v>
      </c>
      <c r="M26">
        <f t="shared" si="4"/>
        <v>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>
        <f t="shared" ca="1" si="5"/>
        <v>0</v>
      </c>
      <c r="M27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 t="s">
        <v>820</v>
      </c>
      <c r="B30" s="20"/>
      <c r="C30" s="19">
        <f>C19*B29</f>
        <v>0.24</v>
      </c>
      <c r="D30" s="19">
        <f>D19*B29</f>
        <v>0.19500000000000001</v>
      </c>
      <c r="E30" s="19">
        <f>E19*B29</f>
        <v>0.13500000000000001</v>
      </c>
      <c r="F30" s="19">
        <f>F19*B29</f>
        <v>0.105</v>
      </c>
      <c r="G30" s="19">
        <f>G19*B29</f>
        <v>7.4999999999999997E-2</v>
      </c>
      <c r="H30" s="19">
        <f>H19*B29</f>
        <v>0.06</v>
      </c>
      <c r="I30" s="19">
        <f>I19*B29</f>
        <v>0.03</v>
      </c>
      <c r="J30" s="19">
        <f>J19*B29</f>
        <v>0.03</v>
      </c>
      <c r="K30" s="19">
        <f>K19*B29</f>
        <v>1.4999999999999999E-2</v>
      </c>
      <c r="L30">
        <f>L19*B29</f>
        <v>0</v>
      </c>
      <c r="M30">
        <f>M19*B29</f>
        <v>0</v>
      </c>
    </row>
    <row r="31" spans="1:13" x14ac:dyDescent="0.25">
      <c r="A31" s="7" t="s">
        <v>831</v>
      </c>
      <c r="B31" s="20"/>
      <c r="C31" s="19">
        <f t="shared" ref="C31:M31" si="6">C30-C29</f>
        <v>0.24</v>
      </c>
      <c r="D31" s="19">
        <f t="shared" si="6"/>
        <v>0.19500000000000001</v>
      </c>
      <c r="E31" s="19">
        <f t="shared" si="6"/>
        <v>0.13500000000000001</v>
      </c>
      <c r="F31" s="19">
        <f t="shared" si="6"/>
        <v>0.105</v>
      </c>
      <c r="G31" s="19">
        <f t="shared" si="6"/>
        <v>7.4999999999999997E-2</v>
      </c>
      <c r="H31" s="19">
        <f t="shared" si="6"/>
        <v>0.06</v>
      </c>
      <c r="I31" s="19">
        <f t="shared" si="6"/>
        <v>0.03</v>
      </c>
      <c r="J31" s="19">
        <f t="shared" si="6"/>
        <v>0.03</v>
      </c>
      <c r="K31" s="19">
        <f t="shared" si="6"/>
        <v>1.4999999999999999E-2</v>
      </c>
      <c r="L31">
        <f t="shared" si="6"/>
        <v>0</v>
      </c>
      <c r="M31">
        <f t="shared" si="6"/>
        <v>0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5</v>
      </c>
      <c r="D33" s="13">
        <v>4</v>
      </c>
      <c r="E33" s="13">
        <v>3</v>
      </c>
      <c r="F33" s="13">
        <v>2</v>
      </c>
      <c r="G33" s="13">
        <v>2</v>
      </c>
      <c r="H33" s="13">
        <v>1</v>
      </c>
      <c r="I33" s="13">
        <v>1</v>
      </c>
      <c r="J33" s="13">
        <v>1</v>
      </c>
      <c r="K33" s="13">
        <v>0</v>
      </c>
    </row>
    <row r="34" spans="1:13" x14ac:dyDescent="0.25">
      <c r="A34" s="6" t="s">
        <v>817</v>
      </c>
      <c r="C34" s="13">
        <f t="shared" ref="C34:M34" si="7">SUM(C25,C29)</f>
        <v>6</v>
      </c>
      <c r="D34" s="13">
        <f t="shared" si="7"/>
        <v>4</v>
      </c>
      <c r="E34" s="13">
        <f t="shared" si="7"/>
        <v>3</v>
      </c>
      <c r="F34" s="13">
        <f t="shared" si="7"/>
        <v>2</v>
      </c>
      <c r="G34" s="13">
        <f t="shared" si="7"/>
        <v>2</v>
      </c>
      <c r="H34" s="13">
        <f t="shared" si="7"/>
        <v>1</v>
      </c>
      <c r="I34" s="13">
        <f t="shared" si="7"/>
        <v>1</v>
      </c>
      <c r="J34" s="13">
        <f t="shared" si="7"/>
        <v>1</v>
      </c>
      <c r="K34" s="13">
        <f t="shared" si="7"/>
        <v>0</v>
      </c>
      <c r="L34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>
        <f t="shared" si="8"/>
        <v>0</v>
      </c>
      <c r="M35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</v>
      </c>
      <c r="D37" s="19">
        <v>-1</v>
      </c>
      <c r="E37" s="19">
        <v>-1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 t="s">
        <v>821</v>
      </c>
      <c r="B38" s="20"/>
      <c r="C38" s="19">
        <f>C33*B37</f>
        <v>1.0900000000000001</v>
      </c>
      <c r="D38" s="19">
        <f>D33*B37</f>
        <v>0.872</v>
      </c>
      <c r="E38" s="19">
        <f>E33*B37</f>
        <v>0.65400000000000003</v>
      </c>
      <c r="F38" s="19">
        <f>F33*B37</f>
        <v>0.436</v>
      </c>
      <c r="G38" s="19">
        <f>G33*B37</f>
        <v>0.436</v>
      </c>
      <c r="H38" s="19">
        <f>H33*B37</f>
        <v>0.218</v>
      </c>
      <c r="I38" s="19">
        <f>I33*B37</f>
        <v>0.218</v>
      </c>
      <c r="J38" s="19">
        <f>J33*B37</f>
        <v>0.218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2.09</v>
      </c>
      <c r="D39" s="19">
        <f t="shared" si="9"/>
        <v>1.8719999999999999</v>
      </c>
      <c r="E39" s="19">
        <f t="shared" si="9"/>
        <v>1.6539999999999999</v>
      </c>
      <c r="F39" s="19">
        <f t="shared" si="9"/>
        <v>0.436</v>
      </c>
      <c r="G39" s="19">
        <f t="shared" si="9"/>
        <v>0.436</v>
      </c>
      <c r="H39" s="19">
        <f t="shared" si="9"/>
        <v>0.218</v>
      </c>
      <c r="I39" s="19">
        <f t="shared" si="9"/>
        <v>0.218</v>
      </c>
      <c r="J39" s="19">
        <f t="shared" si="9"/>
        <v>0.218</v>
      </c>
      <c r="K39" s="19">
        <f t="shared" si="9"/>
        <v>0</v>
      </c>
      <c r="L39">
        <f t="shared" si="9"/>
        <v>0</v>
      </c>
      <c r="M3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4</v>
      </c>
      <c r="D41" s="13">
        <v>3</v>
      </c>
      <c r="E41" s="13">
        <v>2</v>
      </c>
      <c r="F41" s="13">
        <v>2</v>
      </c>
      <c r="G41" s="13">
        <v>1</v>
      </c>
      <c r="H41" s="13">
        <v>1</v>
      </c>
      <c r="I41" s="13">
        <v>1</v>
      </c>
      <c r="J41" s="13">
        <v>0</v>
      </c>
      <c r="K41" s="13">
        <v>0</v>
      </c>
    </row>
    <row r="42" spans="1:13" x14ac:dyDescent="0.25">
      <c r="A42" s="6" t="s">
        <v>819</v>
      </c>
      <c r="C42" s="13">
        <f t="shared" ref="C42:M42" si="10">C33-C37</f>
        <v>6</v>
      </c>
      <c r="D42" s="13">
        <f t="shared" si="10"/>
        <v>5</v>
      </c>
      <c r="E42" s="13">
        <f t="shared" si="10"/>
        <v>4</v>
      </c>
      <c r="F42" s="13">
        <f t="shared" si="10"/>
        <v>2</v>
      </c>
      <c r="G42" s="13">
        <f t="shared" si="10"/>
        <v>2</v>
      </c>
      <c r="H42" s="13">
        <f t="shared" si="10"/>
        <v>1</v>
      </c>
      <c r="I42" s="13">
        <f t="shared" si="10"/>
        <v>1</v>
      </c>
      <c r="J42" s="13">
        <f t="shared" si="10"/>
        <v>1</v>
      </c>
      <c r="K42" s="13">
        <f t="shared" si="10"/>
        <v>0</v>
      </c>
      <c r="L42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13">
        <f t="shared" ref="C43:M43" si="11">C42-C41</f>
        <v>2</v>
      </c>
      <c r="D43" s="13">
        <f t="shared" si="11"/>
        <v>2</v>
      </c>
      <c r="E43" s="13">
        <f t="shared" si="11"/>
        <v>2</v>
      </c>
      <c r="F43" s="13">
        <f t="shared" si="11"/>
        <v>0</v>
      </c>
      <c r="G43" s="13">
        <f t="shared" si="11"/>
        <v>1</v>
      </c>
      <c r="H43" s="13">
        <f t="shared" si="11"/>
        <v>0</v>
      </c>
      <c r="I43" s="13">
        <f t="shared" si="11"/>
        <v>0</v>
      </c>
      <c r="J43" s="13">
        <f t="shared" si="11"/>
        <v>1</v>
      </c>
      <c r="K43" s="13">
        <f t="shared" si="11"/>
        <v>0</v>
      </c>
      <c r="L43">
        <f t="shared" si="11"/>
        <v>0</v>
      </c>
      <c r="M4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3</v>
      </c>
      <c r="D46" s="13">
        <v>3</v>
      </c>
      <c r="E46" s="13">
        <v>2</v>
      </c>
      <c r="F46" s="13">
        <v>1</v>
      </c>
      <c r="G46" s="13">
        <v>1</v>
      </c>
      <c r="H46" s="13">
        <v>1</v>
      </c>
      <c r="I46" s="13">
        <v>1</v>
      </c>
      <c r="J46" s="13">
        <v>0</v>
      </c>
      <c r="K46" s="13">
        <v>0</v>
      </c>
    </row>
    <row r="47" spans="1:13" x14ac:dyDescent="0.25">
      <c r="A47" s="6" t="s">
        <v>818</v>
      </c>
      <c r="C47" s="13">
        <f t="shared" ref="C47:M47" si="12">SUM(C41,C45)</f>
        <v>3</v>
      </c>
      <c r="D47" s="13">
        <f t="shared" si="12"/>
        <v>2</v>
      </c>
      <c r="E47" s="13">
        <f t="shared" si="12"/>
        <v>2</v>
      </c>
      <c r="F47" s="13">
        <f t="shared" si="12"/>
        <v>2</v>
      </c>
      <c r="G47" s="13">
        <f t="shared" si="12"/>
        <v>1</v>
      </c>
      <c r="H47" s="13">
        <f t="shared" si="12"/>
        <v>1</v>
      </c>
      <c r="I47" s="13">
        <f t="shared" si="12"/>
        <v>1</v>
      </c>
      <c r="J47" s="13">
        <f t="shared" si="12"/>
        <v>0</v>
      </c>
      <c r="K47" s="13">
        <f t="shared" si="12"/>
        <v>0</v>
      </c>
      <c r="L47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-1</v>
      </c>
      <c r="E48" s="13">
        <f t="shared" si="13"/>
        <v>0</v>
      </c>
      <c r="F48" s="13">
        <f t="shared" si="13"/>
        <v>1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>
        <f t="shared" si="13"/>
        <v>0</v>
      </c>
      <c r="M48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 t="s">
        <v>822</v>
      </c>
      <c r="C52" s="13">
        <f t="shared" ref="C52:M52" si="14">C46*C50</f>
        <v>0.31020000000000003</v>
      </c>
      <c r="D52" s="13">
        <f t="shared" si="14"/>
        <v>0.27929999999999999</v>
      </c>
      <c r="E52" s="13">
        <f t="shared" si="14"/>
        <v>0.1678</v>
      </c>
      <c r="F52" s="13">
        <f t="shared" si="14"/>
        <v>7.5600000000000001E-2</v>
      </c>
      <c r="G52" s="13">
        <f t="shared" si="14"/>
        <v>6.8099999999999994E-2</v>
      </c>
      <c r="H52" s="13">
        <f t="shared" si="14"/>
        <v>6.1400000000000003E-2</v>
      </c>
      <c r="I52" s="13">
        <f t="shared" si="14"/>
        <v>5.5300000000000002E-2</v>
      </c>
      <c r="J52" s="13">
        <f t="shared" si="14"/>
        <v>0</v>
      </c>
      <c r="K52" s="13">
        <f t="shared" si="14"/>
        <v>0</v>
      </c>
      <c r="L52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0.31020000000000003</v>
      </c>
      <c r="D53" s="13">
        <f t="shared" si="15"/>
        <v>0.27929999999999999</v>
      </c>
      <c r="E53" s="13">
        <f t="shared" si="15"/>
        <v>0.1678</v>
      </c>
      <c r="F53" s="13">
        <f t="shared" si="15"/>
        <v>7.5600000000000001E-2</v>
      </c>
      <c r="G53" s="13">
        <f t="shared" si="15"/>
        <v>6.8099999999999994E-2</v>
      </c>
      <c r="H53" s="13">
        <f t="shared" si="15"/>
        <v>6.1400000000000003E-2</v>
      </c>
      <c r="I53" s="13">
        <f t="shared" si="15"/>
        <v>5.5300000000000002E-2</v>
      </c>
      <c r="J53" s="13">
        <f t="shared" si="15"/>
        <v>0</v>
      </c>
      <c r="K53" s="13">
        <f t="shared" si="15"/>
        <v>0</v>
      </c>
      <c r="L53">
        <f t="shared" si="15"/>
        <v>0</v>
      </c>
      <c r="M5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>
        <f t="shared" ref="D57:M57" si="16">(D8-C8)/C8</f>
        <v>3.1413612565445025E-2</v>
      </c>
      <c r="E57" s="20">
        <f t="shared" si="16"/>
        <v>3.0456852791878174E-2</v>
      </c>
      <c r="F57" s="20">
        <f t="shared" si="16"/>
        <v>2.9556650246305417E-2</v>
      </c>
      <c r="G57" s="20">
        <f t="shared" si="16"/>
        <v>2.8708133971291867E-2</v>
      </c>
      <c r="H57" s="20">
        <f t="shared" si="16"/>
        <v>3.255813953488372E-2</v>
      </c>
      <c r="I57" s="20">
        <f t="shared" si="16"/>
        <v>2.7027027027027029E-2</v>
      </c>
      <c r="J57" s="20">
        <f t="shared" si="16"/>
        <v>3.0701754385964911E-2</v>
      </c>
      <c r="K57" s="20">
        <f t="shared" si="16"/>
        <v>2.9787234042553193E-2</v>
      </c>
      <c r="L57">
        <f t="shared" si="16"/>
        <v>-1</v>
      </c>
      <c r="M57" t="e">
        <f t="shared" si="16"/>
        <v>#DIV/0!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1.4136125654450257E-3</v>
      </c>
      <c r="E58" s="20">
        <f t="shared" si="17"/>
        <v>4.5685279187817479E-4</v>
      </c>
      <c r="F58" s="20">
        <f t="shared" si="17"/>
        <v>-4.4334975369458157E-4</v>
      </c>
      <c r="G58" s="20">
        <f t="shared" si="17"/>
        <v>-1.2918660287081322E-3</v>
      </c>
      <c r="H58" s="20">
        <f t="shared" si="17"/>
        <v>2.5581395348837216E-3</v>
      </c>
      <c r="I58" s="20">
        <f t="shared" si="17"/>
        <v>-2.9729729729729704E-3</v>
      </c>
      <c r="J58" s="20">
        <f t="shared" si="17"/>
        <v>7.0175438596491169E-4</v>
      </c>
      <c r="K58" s="20">
        <f t="shared" si="17"/>
        <v>-2.1276595744680604E-4</v>
      </c>
      <c r="L58">
        <f t="shared" si="17"/>
        <v>-1</v>
      </c>
      <c r="M58" t="e">
        <f t="shared" si="17"/>
        <v>#DIV/0!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0.38300000000000001</v>
      </c>
      <c r="D60" s="20">
        <v>0.38300000000000001</v>
      </c>
      <c r="E60" s="20">
        <v>0.38300000000000001</v>
      </c>
      <c r="F60" s="20">
        <v>0.38300000000000001</v>
      </c>
      <c r="G60" s="20">
        <v>0.38300000000000001</v>
      </c>
      <c r="H60" s="20">
        <v>0.38300000000000001</v>
      </c>
      <c r="I60" s="20">
        <v>0.38300000000000001</v>
      </c>
      <c r="J60" s="20">
        <v>0.38300000000000001</v>
      </c>
      <c r="K60" s="20">
        <v>0.38300000000000001</v>
      </c>
    </row>
    <row r="61" spans="1:13" x14ac:dyDescent="0.25">
      <c r="A61" s="7" t="s">
        <v>823</v>
      </c>
      <c r="C61" s="20">
        <f t="shared" ref="C61:M61" si="18">C20/C19</f>
        <v>0.375</v>
      </c>
      <c r="D61" s="20">
        <f t="shared" si="18"/>
        <v>0.38461538461538464</v>
      </c>
      <c r="E61" s="20">
        <f t="shared" si="18"/>
        <v>0.44444444444444442</v>
      </c>
      <c r="F61" s="20">
        <f t="shared" si="18"/>
        <v>0.42857142857142855</v>
      </c>
      <c r="G61" s="20">
        <f t="shared" si="18"/>
        <v>0.4</v>
      </c>
      <c r="H61" s="20">
        <f t="shared" si="18"/>
        <v>0.25</v>
      </c>
      <c r="I61" s="20">
        <f t="shared" si="18"/>
        <v>0.5</v>
      </c>
      <c r="J61" s="20">
        <f t="shared" si="18"/>
        <v>0.5</v>
      </c>
      <c r="K61" s="20">
        <f t="shared" si="18"/>
        <v>0</v>
      </c>
      <c r="L61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s="20">
        <f t="shared" ref="C62:M62" si="19">C61-C60</f>
        <v>-8.0000000000000071E-3</v>
      </c>
      <c r="D62" s="20">
        <f t="shared" si="19"/>
        <v>1.6153846153846296E-3</v>
      </c>
      <c r="E62" s="20">
        <f t="shared" si="19"/>
        <v>6.1444444444444413E-2</v>
      </c>
      <c r="F62" s="20">
        <f t="shared" si="19"/>
        <v>4.5571428571428541E-2</v>
      </c>
      <c r="G62" s="20">
        <f t="shared" si="19"/>
        <v>1.7000000000000015E-2</v>
      </c>
      <c r="H62" s="20">
        <f t="shared" si="19"/>
        <v>-0.13300000000000001</v>
      </c>
      <c r="I62" s="20">
        <f t="shared" si="19"/>
        <v>0.11699999999999999</v>
      </c>
      <c r="J62" s="20">
        <f t="shared" si="19"/>
        <v>0.11699999999999999</v>
      </c>
      <c r="K62" s="20">
        <f t="shared" si="19"/>
        <v>-0.38300000000000001</v>
      </c>
      <c r="L62" t="e">
        <f t="shared" si="19"/>
        <v>#DIV/0!</v>
      </c>
      <c r="M62" t="e">
        <f t="shared" si="19"/>
        <v>#DIV/0!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0.33400000000000002</v>
      </c>
      <c r="D65" s="20">
        <v>0.33400000000000002</v>
      </c>
      <c r="E65" s="20">
        <v>0.33400000000000002</v>
      </c>
      <c r="F65" s="20">
        <v>0.33400000000000002</v>
      </c>
      <c r="G65" s="20">
        <v>0.33400000000000002</v>
      </c>
      <c r="H65" s="20">
        <v>0.33400000000000002</v>
      </c>
      <c r="I65" s="20">
        <v>0.33400000000000002</v>
      </c>
      <c r="J65" s="20">
        <v>0.33400000000000002</v>
      </c>
      <c r="K65" s="20">
        <v>0.33400000000000002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0.04</v>
      </c>
      <c r="D69" s="20">
        <v>0.04</v>
      </c>
      <c r="E69" s="20">
        <v>0.04</v>
      </c>
      <c r="F69" s="20">
        <v>0.04</v>
      </c>
      <c r="G69" s="20">
        <v>0.04</v>
      </c>
      <c r="H69" s="20">
        <v>0.04</v>
      </c>
      <c r="I69" s="20">
        <v>0.04</v>
      </c>
      <c r="J69" s="20">
        <v>0.04</v>
      </c>
      <c r="K69" s="20">
        <v>0.04</v>
      </c>
    </row>
    <row r="70" spans="1:13" x14ac:dyDescent="0.25">
      <c r="A70" s="7" t="s">
        <v>824</v>
      </c>
      <c r="C70" s="20">
        <f t="shared" ref="C70:M70" si="20">-C45/C19</f>
        <v>6.25E-2</v>
      </c>
      <c r="D70" s="20">
        <f t="shared" si="20"/>
        <v>7.6923076923076927E-2</v>
      </c>
      <c r="E70" s="20">
        <f t="shared" si="20"/>
        <v>0</v>
      </c>
      <c r="F70" s="20">
        <f t="shared" si="20"/>
        <v>0</v>
      </c>
      <c r="G70" s="20">
        <f t="shared" si="20"/>
        <v>0</v>
      </c>
      <c r="H70" s="20">
        <f t="shared" si="20"/>
        <v>0</v>
      </c>
      <c r="I70" s="20">
        <f t="shared" si="20"/>
        <v>0</v>
      </c>
      <c r="J70" s="20">
        <f t="shared" si="20"/>
        <v>0</v>
      </c>
      <c r="K70" s="20">
        <f t="shared" si="20"/>
        <v>0</v>
      </c>
      <c r="L7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s="20">
        <f t="shared" ref="C71:M71" si="21">C70-C69</f>
        <v>2.2499999999999999E-2</v>
      </c>
      <c r="D71" s="20">
        <f t="shared" si="21"/>
        <v>3.6923076923076927E-2</v>
      </c>
      <c r="E71" s="20">
        <f t="shared" si="21"/>
        <v>-0.04</v>
      </c>
      <c r="F71" s="20">
        <f t="shared" si="21"/>
        <v>-0.04</v>
      </c>
      <c r="G71" s="20">
        <f t="shared" si="21"/>
        <v>-0.04</v>
      </c>
      <c r="H71" s="20">
        <f t="shared" si="21"/>
        <v>-0.04</v>
      </c>
      <c r="I71" s="20">
        <f t="shared" si="21"/>
        <v>-0.04</v>
      </c>
      <c r="J71" s="20">
        <f t="shared" si="21"/>
        <v>-0.04</v>
      </c>
      <c r="K71" s="20">
        <f t="shared" si="21"/>
        <v>-0.04</v>
      </c>
      <c r="L71" t="e">
        <f t="shared" si="21"/>
        <v>#DIV/0!</v>
      </c>
      <c r="M71" t="e">
        <f t="shared" si="21"/>
        <v>#DIV/0!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17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M8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257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5</v>
      </c>
      <c r="D8" s="10">
        <v>24</v>
      </c>
      <c r="E8" s="10">
        <v>26</v>
      </c>
      <c r="F8" s="10">
        <v>28</v>
      </c>
      <c r="G8" s="10">
        <v>29</v>
      </c>
      <c r="H8" s="10">
        <v>32</v>
      </c>
      <c r="I8" s="10">
        <v>36</v>
      </c>
      <c r="J8" s="10">
        <v>39</v>
      </c>
      <c r="K8" s="10">
        <v>40</v>
      </c>
      <c r="L8" s="10">
        <v>42</v>
      </c>
      <c r="M8" s="10">
        <v>43</v>
      </c>
    </row>
    <row r="9" spans="1:13" x14ac:dyDescent="0.25">
      <c r="A9" s="7" t="s">
        <v>204</v>
      </c>
      <c r="C9" s="19">
        <v>-4</v>
      </c>
      <c r="D9" s="19">
        <v>-2</v>
      </c>
      <c r="E9" s="19">
        <v>0</v>
      </c>
    </row>
    <row r="10" spans="1:13" x14ac:dyDescent="0.25">
      <c r="A10" s="7" t="s">
        <v>253</v>
      </c>
      <c r="C10" s="10">
        <v>1</v>
      </c>
      <c r="D10" s="10">
        <v>22</v>
      </c>
      <c r="E10" s="10">
        <v>26</v>
      </c>
      <c r="F10" s="10">
        <v>28</v>
      </c>
      <c r="G10" s="10">
        <v>29</v>
      </c>
      <c r="H10" s="10">
        <v>32</v>
      </c>
      <c r="I10" s="10">
        <v>36</v>
      </c>
      <c r="J10" s="10">
        <v>39</v>
      </c>
      <c r="K10" s="10">
        <v>40</v>
      </c>
      <c r="L10" s="10">
        <v>42</v>
      </c>
      <c r="M10" s="10">
        <v>43</v>
      </c>
    </row>
    <row r="11" spans="1:13" x14ac:dyDescent="0.25">
      <c r="A11" s="7" t="s">
        <v>814</v>
      </c>
      <c r="C11" s="10">
        <f t="shared" ref="C11:M11" si="0">SUM(C8,C9)</f>
        <v>1</v>
      </c>
      <c r="D11" s="10">
        <f t="shared" si="0"/>
        <v>22</v>
      </c>
      <c r="E11" s="10">
        <f t="shared" si="0"/>
        <v>26</v>
      </c>
      <c r="F11" s="10">
        <f t="shared" si="0"/>
        <v>28</v>
      </c>
      <c r="G11" s="10">
        <f t="shared" si="0"/>
        <v>29</v>
      </c>
      <c r="H11" s="10">
        <f t="shared" si="0"/>
        <v>32</v>
      </c>
      <c r="I11" s="10">
        <f t="shared" si="0"/>
        <v>36</v>
      </c>
      <c r="J11" s="10">
        <f t="shared" si="0"/>
        <v>39</v>
      </c>
      <c r="K11" s="10">
        <f t="shared" si="0"/>
        <v>40</v>
      </c>
      <c r="L11" s="10">
        <f t="shared" si="0"/>
        <v>42</v>
      </c>
      <c r="M11" s="10">
        <f t="shared" si="0"/>
        <v>43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1</v>
      </c>
      <c r="D14" s="20">
        <v>0.999</v>
      </c>
      <c r="E14" s="20">
        <v>0.996</v>
      </c>
      <c r="F14" s="20">
        <v>0.98799999999999999</v>
      </c>
      <c r="G14" s="20">
        <v>0.97299999999999998</v>
      </c>
      <c r="H14" s="20">
        <v>0.95099999999999996</v>
      </c>
      <c r="I14" s="20">
        <v>0.92100000000000004</v>
      </c>
      <c r="J14" s="20">
        <v>0.88300000000000001</v>
      </c>
      <c r="K14" s="20">
        <v>0.83699999999999997</v>
      </c>
      <c r="L14" s="20">
        <v>0.78500000000000003</v>
      </c>
      <c r="M14" s="20">
        <v>0.72599999999999998</v>
      </c>
    </row>
    <row r="15" spans="1:13" x14ac:dyDescent="0.25">
      <c r="A15" s="7" t="s">
        <v>208</v>
      </c>
      <c r="C15" s="10">
        <v>1</v>
      </c>
      <c r="D15" s="10">
        <v>22</v>
      </c>
      <c r="E15" s="10">
        <v>26</v>
      </c>
      <c r="F15" s="10">
        <v>28</v>
      </c>
      <c r="G15" s="10">
        <v>28</v>
      </c>
      <c r="H15" s="10">
        <v>31</v>
      </c>
      <c r="I15" s="10">
        <v>33</v>
      </c>
      <c r="J15" s="10">
        <v>35</v>
      </c>
      <c r="K15" s="10">
        <v>34</v>
      </c>
      <c r="L15" s="10">
        <v>33</v>
      </c>
      <c r="M15" s="10">
        <v>31</v>
      </c>
    </row>
    <row r="16" spans="1:13" x14ac:dyDescent="0.25">
      <c r="A16" s="7" t="s">
        <v>815</v>
      </c>
      <c r="C16" s="10">
        <f t="shared" ref="C16:M16" si="2">SUM(C10,C14)</f>
        <v>2</v>
      </c>
      <c r="D16" s="10">
        <f t="shared" si="2"/>
        <v>22.998999999999999</v>
      </c>
      <c r="E16" s="10">
        <f t="shared" si="2"/>
        <v>26.995999999999999</v>
      </c>
      <c r="F16" s="10">
        <f t="shared" si="2"/>
        <v>28.988</v>
      </c>
      <c r="G16" s="10">
        <f t="shared" si="2"/>
        <v>29.972999999999999</v>
      </c>
      <c r="H16" s="10">
        <f t="shared" si="2"/>
        <v>32.951000000000001</v>
      </c>
      <c r="I16" s="10">
        <f t="shared" si="2"/>
        <v>36.920999999999999</v>
      </c>
      <c r="J16" s="10">
        <f t="shared" si="2"/>
        <v>39.883000000000003</v>
      </c>
      <c r="K16" s="10">
        <f t="shared" si="2"/>
        <v>40.837000000000003</v>
      </c>
      <c r="L16" s="10">
        <f t="shared" si="2"/>
        <v>42.784999999999997</v>
      </c>
      <c r="M16" s="10">
        <f t="shared" si="2"/>
        <v>43.725999999999999</v>
      </c>
    </row>
    <row r="17" spans="1:13" x14ac:dyDescent="0.25">
      <c r="A17" s="7" t="s">
        <v>826</v>
      </c>
      <c r="C17" s="10">
        <f t="shared" ref="C17:M17" si="3">C16-C15</f>
        <v>1</v>
      </c>
      <c r="D17" s="10">
        <f t="shared" si="3"/>
        <v>0.99899999999999878</v>
      </c>
      <c r="E17" s="10">
        <f t="shared" si="3"/>
        <v>0.99599999999999866</v>
      </c>
      <c r="F17" s="10">
        <f t="shared" si="3"/>
        <v>0.98799999999999955</v>
      </c>
      <c r="G17" s="10">
        <f t="shared" si="3"/>
        <v>1.972999999999999</v>
      </c>
      <c r="H17" s="10">
        <f t="shared" si="3"/>
        <v>1.9510000000000005</v>
      </c>
      <c r="I17" s="10">
        <f t="shared" si="3"/>
        <v>3.9209999999999994</v>
      </c>
      <c r="J17" s="10">
        <f t="shared" si="3"/>
        <v>4.8830000000000027</v>
      </c>
      <c r="K17" s="10">
        <f t="shared" si="3"/>
        <v>6.8370000000000033</v>
      </c>
      <c r="L17" s="10">
        <f t="shared" si="3"/>
        <v>9.7849999999999966</v>
      </c>
      <c r="M17" s="10">
        <f t="shared" si="3"/>
        <v>12.725999999999999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</v>
      </c>
      <c r="D19" s="13">
        <v>22</v>
      </c>
      <c r="E19" s="13">
        <v>26</v>
      </c>
      <c r="F19" s="13">
        <v>28</v>
      </c>
      <c r="G19" s="13">
        <v>28</v>
      </c>
      <c r="H19" s="13">
        <v>31</v>
      </c>
      <c r="I19" s="13">
        <v>33</v>
      </c>
      <c r="J19" s="13">
        <v>35</v>
      </c>
      <c r="K19" s="13">
        <v>34</v>
      </c>
      <c r="L19" s="13">
        <v>33</v>
      </c>
      <c r="M19" s="13">
        <v>31</v>
      </c>
    </row>
    <row r="20" spans="1:13" x14ac:dyDescent="0.25">
      <c r="A20" s="6" t="s">
        <v>106</v>
      </c>
      <c r="C20" s="13">
        <v>0</v>
      </c>
      <c r="D20" s="13">
        <v>7</v>
      </c>
      <c r="E20" s="13">
        <v>9</v>
      </c>
      <c r="F20" s="13">
        <v>10</v>
      </c>
      <c r="G20" s="13">
        <v>10</v>
      </c>
      <c r="H20" s="13">
        <v>12</v>
      </c>
      <c r="I20" s="13">
        <v>13</v>
      </c>
      <c r="J20" s="13">
        <v>14</v>
      </c>
      <c r="K20" s="13">
        <v>14</v>
      </c>
      <c r="L20" s="13">
        <v>14</v>
      </c>
      <c r="M20" s="13">
        <v>13</v>
      </c>
    </row>
    <row r="21" spans="1:13" x14ac:dyDescent="0.25">
      <c r="A21" s="7" t="s">
        <v>107</v>
      </c>
      <c r="C21" s="19">
        <v>0</v>
      </c>
      <c r="D21" s="19">
        <v>-1</v>
      </c>
      <c r="E21" s="19">
        <v>-1</v>
      </c>
      <c r="F21" s="19">
        <v>-1</v>
      </c>
      <c r="G21" s="19">
        <v>-2</v>
      </c>
      <c r="H21" s="19">
        <v>-2</v>
      </c>
      <c r="I21" s="19">
        <v>-2</v>
      </c>
      <c r="J21" s="19">
        <v>-2</v>
      </c>
      <c r="K21" s="19">
        <v>-2</v>
      </c>
      <c r="L21" s="19">
        <v>-2</v>
      </c>
      <c r="M21" s="19">
        <v>-2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0</v>
      </c>
      <c r="D25" s="13">
        <v>6</v>
      </c>
      <c r="E25" s="13">
        <v>8</v>
      </c>
      <c r="F25" s="13">
        <v>9</v>
      </c>
      <c r="G25" s="13">
        <v>9</v>
      </c>
      <c r="H25" s="13">
        <v>10</v>
      </c>
      <c r="I25" s="13">
        <v>11</v>
      </c>
      <c r="J25" s="13">
        <v>13</v>
      </c>
      <c r="K25" s="13">
        <v>12</v>
      </c>
      <c r="L25" s="13">
        <v>12</v>
      </c>
      <c r="M25" s="13">
        <v>12</v>
      </c>
    </row>
    <row r="26" spans="1:13" x14ac:dyDescent="0.25">
      <c r="A26" s="6" t="s">
        <v>816</v>
      </c>
      <c r="C26" s="13">
        <f t="shared" ref="C26:M26" si="4">SUM(C20,C21)</f>
        <v>0</v>
      </c>
      <c r="D26" s="13">
        <f t="shared" si="4"/>
        <v>6</v>
      </c>
      <c r="E26" s="13">
        <f t="shared" si="4"/>
        <v>8</v>
      </c>
      <c r="F26" s="13">
        <f t="shared" si="4"/>
        <v>9</v>
      </c>
      <c r="G26" s="13">
        <f t="shared" si="4"/>
        <v>8</v>
      </c>
      <c r="H26" s="13">
        <f t="shared" si="4"/>
        <v>10</v>
      </c>
      <c r="I26" s="13">
        <f t="shared" si="4"/>
        <v>11</v>
      </c>
      <c r="J26" s="13">
        <f t="shared" si="4"/>
        <v>12</v>
      </c>
      <c r="K26" s="13">
        <f t="shared" si="4"/>
        <v>12</v>
      </c>
      <c r="L26" s="13">
        <f t="shared" si="4"/>
        <v>12</v>
      </c>
      <c r="M26" s="13">
        <f t="shared" si="4"/>
        <v>11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-1</v>
      </c>
      <c r="K29" s="19">
        <v>-1</v>
      </c>
      <c r="L29" s="19">
        <v>0</v>
      </c>
      <c r="M29" s="19">
        <v>0</v>
      </c>
    </row>
    <row r="30" spans="1:13" x14ac:dyDescent="0.25">
      <c r="A30" s="7" t="s">
        <v>820</v>
      </c>
      <c r="B30" s="20"/>
      <c r="C30" s="19">
        <f>C19*B29</f>
        <v>1.4999999999999999E-2</v>
      </c>
      <c r="D30" s="19">
        <f>D19*B29</f>
        <v>0.32999999999999996</v>
      </c>
      <c r="E30" s="19">
        <f>E19*B29</f>
        <v>0.39</v>
      </c>
      <c r="F30" s="19">
        <f>F19*B29</f>
        <v>0.42</v>
      </c>
      <c r="G30" s="19">
        <f>G19*B29</f>
        <v>0.42</v>
      </c>
      <c r="H30" s="19">
        <f>H19*B29</f>
        <v>0.46499999999999997</v>
      </c>
      <c r="I30" s="19">
        <f>I19*B29</f>
        <v>0.495</v>
      </c>
      <c r="J30" s="19">
        <f>J19*B29</f>
        <v>0.52500000000000002</v>
      </c>
      <c r="K30" s="19">
        <f>K19*B29</f>
        <v>0.51</v>
      </c>
      <c r="L30" s="19">
        <f>L19*B29</f>
        <v>0.495</v>
      </c>
      <c r="M30" s="19">
        <f>M19*B29</f>
        <v>0.46499999999999997</v>
      </c>
    </row>
    <row r="31" spans="1:13" x14ac:dyDescent="0.25">
      <c r="A31" s="7" t="s">
        <v>831</v>
      </c>
      <c r="B31" s="20"/>
      <c r="C31" s="19">
        <f t="shared" ref="C31:M31" si="6">C30-C29</f>
        <v>1.4999999999999999E-2</v>
      </c>
      <c r="D31" s="19">
        <f t="shared" si="6"/>
        <v>0.32999999999999996</v>
      </c>
      <c r="E31" s="19">
        <f t="shared" si="6"/>
        <v>0.39</v>
      </c>
      <c r="F31" s="19">
        <f t="shared" si="6"/>
        <v>0.42</v>
      </c>
      <c r="G31" s="19">
        <f t="shared" si="6"/>
        <v>0.42</v>
      </c>
      <c r="H31" s="19">
        <f t="shared" si="6"/>
        <v>0.46499999999999997</v>
      </c>
      <c r="I31" s="19">
        <f t="shared" si="6"/>
        <v>0.495</v>
      </c>
      <c r="J31" s="19">
        <f t="shared" si="6"/>
        <v>1.5249999999999999</v>
      </c>
      <c r="K31" s="19">
        <f t="shared" si="6"/>
        <v>1.51</v>
      </c>
      <c r="L31" s="19">
        <f t="shared" si="6"/>
        <v>0.495</v>
      </c>
      <c r="M31" s="19">
        <f t="shared" si="6"/>
        <v>0.46499999999999997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0</v>
      </c>
      <c r="D33" s="13">
        <v>6</v>
      </c>
      <c r="E33" s="13">
        <v>8</v>
      </c>
      <c r="F33" s="13">
        <v>8</v>
      </c>
      <c r="G33" s="13">
        <v>8</v>
      </c>
      <c r="H33" s="13">
        <v>10</v>
      </c>
      <c r="I33" s="13">
        <v>11</v>
      </c>
      <c r="J33" s="13">
        <v>12</v>
      </c>
      <c r="K33" s="13">
        <v>12</v>
      </c>
      <c r="L33" s="13">
        <v>12</v>
      </c>
      <c r="M33" s="13">
        <v>11</v>
      </c>
    </row>
    <row r="34" spans="1:13" x14ac:dyDescent="0.25">
      <c r="A34" s="6" t="s">
        <v>817</v>
      </c>
      <c r="C34" s="13">
        <f t="shared" ref="C34:M34" si="7">SUM(C25,C29)</f>
        <v>0</v>
      </c>
      <c r="D34" s="13">
        <f t="shared" si="7"/>
        <v>6</v>
      </c>
      <c r="E34" s="13">
        <f t="shared" si="7"/>
        <v>8</v>
      </c>
      <c r="F34" s="13">
        <f t="shared" si="7"/>
        <v>9</v>
      </c>
      <c r="G34" s="13">
        <f t="shared" si="7"/>
        <v>9</v>
      </c>
      <c r="H34" s="13">
        <f t="shared" si="7"/>
        <v>10</v>
      </c>
      <c r="I34" s="13">
        <f t="shared" si="7"/>
        <v>11</v>
      </c>
      <c r="J34" s="13">
        <f t="shared" si="7"/>
        <v>12</v>
      </c>
      <c r="K34" s="13">
        <f t="shared" si="7"/>
        <v>11</v>
      </c>
      <c r="L34" s="13">
        <f t="shared" si="7"/>
        <v>12</v>
      </c>
      <c r="M34" s="13">
        <f t="shared" si="7"/>
        <v>12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0</v>
      </c>
      <c r="F35" s="13">
        <f t="shared" si="8"/>
        <v>1</v>
      </c>
      <c r="G35" s="13">
        <f t="shared" si="8"/>
        <v>1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-1</v>
      </c>
      <c r="L35" s="13">
        <f t="shared" si="8"/>
        <v>0</v>
      </c>
      <c r="M35" s="13">
        <f t="shared" si="8"/>
        <v>1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-1</v>
      </c>
      <c r="E37" s="19">
        <v>-2</v>
      </c>
      <c r="F37" s="19">
        <v>-2</v>
      </c>
      <c r="G37" s="19">
        <v>-2</v>
      </c>
      <c r="H37" s="19">
        <v>-2</v>
      </c>
      <c r="I37" s="19">
        <v>-2</v>
      </c>
      <c r="J37" s="19">
        <v>-3</v>
      </c>
      <c r="K37" s="19">
        <v>-3</v>
      </c>
      <c r="L37" s="19">
        <v>-3</v>
      </c>
      <c r="M37" s="19">
        <v>-2</v>
      </c>
    </row>
    <row r="38" spans="1:13" x14ac:dyDescent="0.25">
      <c r="A38" s="7" t="s">
        <v>821</v>
      </c>
      <c r="B38" s="20"/>
      <c r="C38" s="31">
        <f>C33*B37</f>
        <v>0</v>
      </c>
      <c r="D38" s="19">
        <f>D33*B37</f>
        <v>1.3080000000000001</v>
      </c>
      <c r="E38" s="19">
        <f>E33*B37</f>
        <v>1.744</v>
      </c>
      <c r="F38" s="19">
        <f>F33*B37</f>
        <v>1.744</v>
      </c>
      <c r="G38" s="19">
        <f>G33*B37</f>
        <v>1.744</v>
      </c>
      <c r="H38" s="19">
        <f>H33*B37</f>
        <v>2.1800000000000002</v>
      </c>
      <c r="I38" s="19">
        <f>I33*B37</f>
        <v>2.3980000000000001</v>
      </c>
      <c r="J38" s="19">
        <f>J33*B37</f>
        <v>2.6160000000000001</v>
      </c>
      <c r="K38" s="19">
        <f>K33*B37</f>
        <v>2.6160000000000001</v>
      </c>
      <c r="L38" s="19">
        <f>L33*B37</f>
        <v>2.6160000000000001</v>
      </c>
      <c r="M38" s="19">
        <f>M33*B37</f>
        <v>2.3980000000000001</v>
      </c>
    </row>
    <row r="39" spans="1:13" x14ac:dyDescent="0.25">
      <c r="A39" s="7" t="s">
        <v>832</v>
      </c>
      <c r="B39" s="20"/>
      <c r="C39" s="31">
        <f t="shared" ref="C39:M39" si="9">C38-C37</f>
        <v>0</v>
      </c>
      <c r="D39" s="19">
        <f t="shared" si="9"/>
        <v>2.3079999999999998</v>
      </c>
      <c r="E39" s="19">
        <f t="shared" si="9"/>
        <v>3.7439999999999998</v>
      </c>
      <c r="F39" s="19">
        <f t="shared" si="9"/>
        <v>3.7439999999999998</v>
      </c>
      <c r="G39" s="19">
        <f t="shared" si="9"/>
        <v>3.7439999999999998</v>
      </c>
      <c r="H39" s="19">
        <f t="shared" si="9"/>
        <v>4.18</v>
      </c>
      <c r="I39" s="19">
        <f t="shared" si="9"/>
        <v>4.3979999999999997</v>
      </c>
      <c r="J39" s="19">
        <f t="shared" si="9"/>
        <v>5.6159999999999997</v>
      </c>
      <c r="K39" s="19">
        <f t="shared" si="9"/>
        <v>5.6159999999999997</v>
      </c>
      <c r="L39" s="19">
        <f t="shared" si="9"/>
        <v>5.6159999999999997</v>
      </c>
      <c r="M39" s="19">
        <f t="shared" si="9"/>
        <v>4.3979999999999997</v>
      </c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0</v>
      </c>
      <c r="D41" s="13">
        <v>5</v>
      </c>
      <c r="E41" s="13">
        <v>6</v>
      </c>
      <c r="F41" s="13">
        <v>7</v>
      </c>
      <c r="G41" s="13">
        <v>7</v>
      </c>
      <c r="H41" s="13">
        <v>8</v>
      </c>
      <c r="I41" s="13">
        <v>9</v>
      </c>
      <c r="J41" s="13">
        <v>10</v>
      </c>
      <c r="K41" s="13">
        <v>9</v>
      </c>
      <c r="L41" s="13">
        <v>9</v>
      </c>
      <c r="M41" s="13">
        <v>9</v>
      </c>
    </row>
    <row r="42" spans="1:13" x14ac:dyDescent="0.25">
      <c r="A42" s="6" t="s">
        <v>819</v>
      </c>
      <c r="C42" s="13">
        <f t="shared" ref="C42:M42" si="10">C33-C37</f>
        <v>0</v>
      </c>
      <c r="D42" s="13">
        <f t="shared" si="10"/>
        <v>7</v>
      </c>
      <c r="E42" s="13">
        <f t="shared" si="10"/>
        <v>10</v>
      </c>
      <c r="F42" s="13">
        <f t="shared" si="10"/>
        <v>10</v>
      </c>
      <c r="G42" s="13">
        <f t="shared" si="10"/>
        <v>10</v>
      </c>
      <c r="H42" s="13">
        <f t="shared" si="10"/>
        <v>12</v>
      </c>
      <c r="I42" s="13">
        <f t="shared" si="10"/>
        <v>13</v>
      </c>
      <c r="J42" s="13">
        <f t="shared" si="10"/>
        <v>15</v>
      </c>
      <c r="K42" s="13">
        <f t="shared" si="10"/>
        <v>15</v>
      </c>
      <c r="L42" s="13">
        <f t="shared" si="10"/>
        <v>15</v>
      </c>
      <c r="M42" s="13">
        <f t="shared" si="10"/>
        <v>13</v>
      </c>
    </row>
    <row r="43" spans="1:13" x14ac:dyDescent="0.25">
      <c r="A43" s="6" t="s">
        <v>830</v>
      </c>
      <c r="C43" s="13">
        <f t="shared" ref="C43:M43" si="11">C42-C41</f>
        <v>0</v>
      </c>
      <c r="D43" s="13">
        <f t="shared" si="11"/>
        <v>2</v>
      </c>
      <c r="E43" s="13">
        <f t="shared" si="11"/>
        <v>4</v>
      </c>
      <c r="F43" s="13">
        <f t="shared" si="11"/>
        <v>3</v>
      </c>
      <c r="G43" s="13">
        <f t="shared" si="11"/>
        <v>3</v>
      </c>
      <c r="H43" s="13">
        <f t="shared" si="11"/>
        <v>4</v>
      </c>
      <c r="I43" s="13">
        <f t="shared" si="11"/>
        <v>4</v>
      </c>
      <c r="J43" s="13">
        <f t="shared" si="11"/>
        <v>5</v>
      </c>
      <c r="K43" s="13">
        <f t="shared" si="11"/>
        <v>6</v>
      </c>
      <c r="L43" s="13">
        <f t="shared" si="11"/>
        <v>6</v>
      </c>
      <c r="M43" s="13">
        <f t="shared" si="11"/>
        <v>4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-1</v>
      </c>
      <c r="J45" s="19">
        <v>-1</v>
      </c>
      <c r="K45" s="19">
        <v>-1</v>
      </c>
      <c r="L45" s="19">
        <v>-1</v>
      </c>
      <c r="M45" s="19">
        <v>-1</v>
      </c>
    </row>
    <row r="46" spans="1:13" x14ac:dyDescent="0.25">
      <c r="A46" s="6" t="s">
        <v>215</v>
      </c>
      <c r="C46" s="13">
        <v>0</v>
      </c>
      <c r="D46" s="13">
        <v>4</v>
      </c>
      <c r="E46" s="13">
        <v>5</v>
      </c>
      <c r="F46" s="13">
        <v>6</v>
      </c>
      <c r="G46" s="13">
        <v>6</v>
      </c>
      <c r="H46" s="13">
        <v>7</v>
      </c>
      <c r="I46" s="13">
        <v>8</v>
      </c>
      <c r="J46" s="13">
        <v>8</v>
      </c>
      <c r="K46" s="13">
        <v>8</v>
      </c>
      <c r="L46" s="13">
        <v>8</v>
      </c>
      <c r="M46" s="13">
        <v>8</v>
      </c>
    </row>
    <row r="47" spans="1:13" x14ac:dyDescent="0.25">
      <c r="A47" s="6" t="s">
        <v>818</v>
      </c>
      <c r="C47" s="13">
        <f t="shared" ref="C47:M47" si="12">SUM(C41,C45)</f>
        <v>0</v>
      </c>
      <c r="D47" s="13">
        <f t="shared" si="12"/>
        <v>4</v>
      </c>
      <c r="E47" s="13">
        <f t="shared" si="12"/>
        <v>5</v>
      </c>
      <c r="F47" s="13">
        <f t="shared" si="12"/>
        <v>6</v>
      </c>
      <c r="G47" s="13">
        <f t="shared" si="12"/>
        <v>6</v>
      </c>
      <c r="H47" s="13">
        <f t="shared" si="12"/>
        <v>7</v>
      </c>
      <c r="I47" s="13">
        <f t="shared" si="12"/>
        <v>8</v>
      </c>
      <c r="J47" s="13">
        <f t="shared" si="12"/>
        <v>9</v>
      </c>
      <c r="K47" s="13">
        <f t="shared" si="12"/>
        <v>8</v>
      </c>
      <c r="L47" s="13">
        <f t="shared" si="12"/>
        <v>8</v>
      </c>
      <c r="M47" s="13">
        <f t="shared" si="12"/>
        <v>8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1</v>
      </c>
      <c r="K48" s="13">
        <f t="shared" si="13"/>
        <v>0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0</v>
      </c>
      <c r="D51" s="13">
        <v>4</v>
      </c>
      <c r="E51" s="13">
        <v>4</v>
      </c>
      <c r="F51" s="13">
        <v>4</v>
      </c>
      <c r="G51" s="13">
        <v>4</v>
      </c>
      <c r="H51" s="13">
        <v>4</v>
      </c>
      <c r="I51" s="13">
        <v>4</v>
      </c>
      <c r="J51" s="13">
        <v>4</v>
      </c>
      <c r="K51" s="13">
        <v>4</v>
      </c>
      <c r="L51" s="13">
        <v>3</v>
      </c>
      <c r="M51" s="13">
        <v>3</v>
      </c>
    </row>
    <row r="52" spans="1:13" x14ac:dyDescent="0.25">
      <c r="A52" s="6" t="s">
        <v>822</v>
      </c>
      <c r="C52" s="13">
        <f t="shared" ref="C52:M52" si="14">C46*C50</f>
        <v>0</v>
      </c>
      <c r="D52" s="13">
        <f t="shared" si="14"/>
        <v>3.7012</v>
      </c>
      <c r="E52" s="13">
        <f t="shared" si="14"/>
        <v>4.1680000000000001</v>
      </c>
      <c r="F52" s="13">
        <f t="shared" si="14"/>
        <v>4.5060000000000002</v>
      </c>
      <c r="G52" s="13">
        <f t="shared" si="14"/>
        <v>4.0595999999999997</v>
      </c>
      <c r="H52" s="13">
        <f t="shared" si="14"/>
        <v>4.2665000000000006</v>
      </c>
      <c r="I52" s="13">
        <f t="shared" si="14"/>
        <v>4.3928000000000003</v>
      </c>
      <c r="J52" s="13">
        <f t="shared" si="14"/>
        <v>3.9575999999999998</v>
      </c>
      <c r="K52" s="13">
        <f t="shared" si="14"/>
        <v>3.5655999999999999</v>
      </c>
      <c r="L52" s="13">
        <f t="shared" si="14"/>
        <v>3.2120000000000002</v>
      </c>
      <c r="M52" s="13">
        <f t="shared" si="14"/>
        <v>2.8936000000000002</v>
      </c>
    </row>
    <row r="53" spans="1:13" x14ac:dyDescent="0.25">
      <c r="A53" s="6" t="s">
        <v>833</v>
      </c>
      <c r="C53" s="13">
        <f t="shared" ref="C53:M53" si="15">C52-C51</f>
        <v>0</v>
      </c>
      <c r="D53" s="13">
        <f t="shared" si="15"/>
        <v>-0.29879999999999995</v>
      </c>
      <c r="E53" s="13">
        <f t="shared" si="15"/>
        <v>0.16800000000000015</v>
      </c>
      <c r="F53" s="13">
        <f t="shared" si="15"/>
        <v>0.50600000000000023</v>
      </c>
      <c r="G53" s="13">
        <f t="shared" si="15"/>
        <v>5.9599999999999653E-2</v>
      </c>
      <c r="H53" s="13">
        <f t="shared" si="15"/>
        <v>0.26650000000000063</v>
      </c>
      <c r="I53" s="13">
        <f t="shared" si="15"/>
        <v>0.39280000000000026</v>
      </c>
      <c r="J53" s="13">
        <f t="shared" si="15"/>
        <v>-4.2400000000000215E-2</v>
      </c>
      <c r="K53" s="13">
        <f t="shared" si="15"/>
        <v>-0.43440000000000012</v>
      </c>
      <c r="L53" s="13">
        <f t="shared" si="15"/>
        <v>0.21200000000000019</v>
      </c>
      <c r="M53" s="13">
        <f t="shared" si="15"/>
        <v>-0.10639999999999983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50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50</v>
      </c>
      <c r="F57" s="10">
        <v>50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4</v>
      </c>
      <c r="F58" s="27">
        <v>20</v>
      </c>
      <c r="G58" s="10">
        <v>53</v>
      </c>
      <c r="H58" s="10">
        <v>54</v>
      </c>
      <c r="I58" s="10">
        <v>55</v>
      </c>
      <c r="J58" s="10">
        <v>56</v>
      </c>
    </row>
    <row r="59" spans="1:13" x14ac:dyDescent="0.25">
      <c r="A59" s="6" t="s">
        <v>219</v>
      </c>
      <c r="C59" s="13">
        <v>50</v>
      </c>
      <c r="F59" s="27">
        <v>25</v>
      </c>
      <c r="G59" s="10">
        <v>53</v>
      </c>
      <c r="H59" s="10">
        <v>54</v>
      </c>
      <c r="I59" s="10">
        <v>55</v>
      </c>
      <c r="J59" s="10">
        <v>56</v>
      </c>
    </row>
    <row r="60" spans="1:13" x14ac:dyDescent="0.25">
      <c r="E60" s="7" t="s">
        <v>220</v>
      </c>
      <c r="F60" s="27">
        <v>30</v>
      </c>
      <c r="G60" s="10">
        <v>53</v>
      </c>
      <c r="H60" s="10">
        <v>54</v>
      </c>
      <c r="I60" s="10">
        <v>55</v>
      </c>
      <c r="J60" s="10">
        <v>56</v>
      </c>
    </row>
    <row r="61" spans="1:13" x14ac:dyDescent="0.25">
      <c r="F61" s="27">
        <v>35</v>
      </c>
      <c r="G61" s="10">
        <v>53</v>
      </c>
      <c r="H61" s="10">
        <v>54</v>
      </c>
      <c r="I61" s="10">
        <v>55</v>
      </c>
      <c r="J61" s="10">
        <v>56</v>
      </c>
    </row>
    <row r="62" spans="1:13" x14ac:dyDescent="0.25">
      <c r="F62" s="27">
        <v>40</v>
      </c>
      <c r="G62" s="10">
        <v>53</v>
      </c>
      <c r="H62" s="10">
        <v>54</v>
      </c>
      <c r="I62" s="10">
        <v>55</v>
      </c>
      <c r="J62" s="10">
        <v>56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0.115</v>
      </c>
      <c r="E64" s="20">
        <v>8.4000000000000005E-2</v>
      </c>
      <c r="F64" s="20">
        <v>7.8E-2</v>
      </c>
      <c r="G64" s="20">
        <v>4.3999999999999997E-2</v>
      </c>
      <c r="H64" s="20">
        <v>0.10100000000000001</v>
      </c>
      <c r="I64" s="20">
        <v>0.10299999999999999</v>
      </c>
      <c r="J64" s="20">
        <v>0.104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>
        <f t="shared" ref="D65:M65" si="16">(D8-C8)/C8</f>
        <v>3.8</v>
      </c>
      <c r="E65" s="20">
        <f t="shared" si="16"/>
        <v>8.3333333333333329E-2</v>
      </c>
      <c r="F65" s="20">
        <f t="shared" si="16"/>
        <v>7.6923076923076927E-2</v>
      </c>
      <c r="G65" s="20">
        <f t="shared" si="16"/>
        <v>3.5714285714285712E-2</v>
      </c>
      <c r="H65" s="20">
        <f t="shared" si="16"/>
        <v>0.10344827586206896</v>
      </c>
      <c r="I65" s="20">
        <f t="shared" si="16"/>
        <v>0.125</v>
      </c>
      <c r="J65" s="20">
        <f t="shared" si="16"/>
        <v>8.3333333333333329E-2</v>
      </c>
      <c r="K65" s="20">
        <f t="shared" si="16"/>
        <v>2.564102564102564E-2</v>
      </c>
      <c r="L65" s="20">
        <f t="shared" si="16"/>
        <v>0.05</v>
      </c>
      <c r="M65" s="20">
        <f t="shared" si="16"/>
        <v>2.3809523809523808E-2</v>
      </c>
    </row>
    <row r="66" spans="1:13" x14ac:dyDescent="0.25">
      <c r="A66" s="7"/>
      <c r="C66" s="7" t="s">
        <v>836</v>
      </c>
      <c r="D66" s="20">
        <f t="shared" ref="D66:M66" si="17">D65-D64</f>
        <v>3.6849999999999996</v>
      </c>
      <c r="E66" s="20">
        <f t="shared" si="17"/>
        <v>-6.6666666666667651E-4</v>
      </c>
      <c r="F66" s="20">
        <f t="shared" si="17"/>
        <v>-1.0769230769230725E-3</v>
      </c>
      <c r="G66" s="20">
        <f t="shared" si="17"/>
        <v>-8.2857142857142851E-3</v>
      </c>
      <c r="H66" s="20">
        <f t="shared" si="17"/>
        <v>2.4482758620689576E-3</v>
      </c>
      <c r="I66" s="20">
        <f t="shared" si="17"/>
        <v>2.2000000000000006E-2</v>
      </c>
      <c r="J66" s="20">
        <f t="shared" si="17"/>
        <v>-2.0666666666666667E-2</v>
      </c>
      <c r="K66" s="20">
        <f t="shared" si="17"/>
        <v>-4.3589743589743588E-3</v>
      </c>
      <c r="L66" s="20">
        <f t="shared" si="17"/>
        <v>2.0000000000000004E-2</v>
      </c>
      <c r="M66" s="20">
        <f t="shared" si="17"/>
        <v>-6.1904761904761907E-3</v>
      </c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0.313</v>
      </c>
      <c r="D68" s="20">
        <v>0.32</v>
      </c>
      <c r="E68" s="20">
        <v>0.34899999999999998</v>
      </c>
      <c r="F68" s="20">
        <v>0.36599999999999999</v>
      </c>
      <c r="G68" s="20">
        <v>0.36699999999999999</v>
      </c>
      <c r="H68" s="20">
        <v>0.38500000000000001</v>
      </c>
      <c r="I68" s="20">
        <v>0.40200000000000002</v>
      </c>
      <c r="J68" s="20">
        <v>0.41899999999999998</v>
      </c>
      <c r="K68" s="20">
        <v>0.41899999999999998</v>
      </c>
      <c r="L68" s="20">
        <v>0.41899999999999998</v>
      </c>
      <c r="M68" s="20">
        <v>0.41899999999999998</v>
      </c>
    </row>
    <row r="69" spans="1:13" x14ac:dyDescent="0.25">
      <c r="A69" s="7" t="s">
        <v>823</v>
      </c>
      <c r="C69" s="20">
        <f t="shared" ref="C69:M69" si="18">C20/C19</f>
        <v>0</v>
      </c>
      <c r="D69" s="20">
        <f t="shared" si="18"/>
        <v>0.31818181818181818</v>
      </c>
      <c r="E69" s="20">
        <f t="shared" si="18"/>
        <v>0.34615384615384615</v>
      </c>
      <c r="F69" s="20">
        <f t="shared" si="18"/>
        <v>0.35714285714285715</v>
      </c>
      <c r="G69" s="20">
        <f t="shared" si="18"/>
        <v>0.35714285714285715</v>
      </c>
      <c r="H69" s="20">
        <f t="shared" si="18"/>
        <v>0.38709677419354838</v>
      </c>
      <c r="I69" s="20">
        <f t="shared" si="18"/>
        <v>0.39393939393939392</v>
      </c>
      <c r="J69" s="20">
        <f t="shared" si="18"/>
        <v>0.4</v>
      </c>
      <c r="K69" s="20">
        <f t="shared" si="18"/>
        <v>0.41176470588235292</v>
      </c>
      <c r="L69" s="20">
        <f t="shared" si="18"/>
        <v>0.42424242424242425</v>
      </c>
      <c r="M69" s="20">
        <f t="shared" si="18"/>
        <v>0.41935483870967744</v>
      </c>
    </row>
    <row r="70" spans="1:13" x14ac:dyDescent="0.25">
      <c r="A70" s="7" t="s">
        <v>834</v>
      </c>
      <c r="C70" s="20">
        <f t="shared" ref="C70:M70" si="19">C69-C68</f>
        <v>-0.313</v>
      </c>
      <c r="D70" s="20">
        <f t="shared" si="19"/>
        <v>-1.8181818181818299E-3</v>
      </c>
      <c r="E70" s="20">
        <f t="shared" si="19"/>
        <v>-2.8461538461538316E-3</v>
      </c>
      <c r="F70" s="20">
        <f t="shared" si="19"/>
        <v>-8.8571428571428412E-3</v>
      </c>
      <c r="G70" s="20">
        <f t="shared" si="19"/>
        <v>-9.8571428571428421E-3</v>
      </c>
      <c r="H70" s="20">
        <f t="shared" si="19"/>
        <v>2.0967741935483675E-3</v>
      </c>
      <c r="I70" s="20">
        <f t="shared" si="19"/>
        <v>-8.0606060606061014E-3</v>
      </c>
      <c r="J70" s="20">
        <f t="shared" si="19"/>
        <v>-1.8999999999999961E-2</v>
      </c>
      <c r="K70" s="20">
        <f t="shared" si="19"/>
        <v>-7.235294117647062E-3</v>
      </c>
      <c r="L70" s="20">
        <f t="shared" si="19"/>
        <v>5.2424242424242706E-3</v>
      </c>
      <c r="M70" s="20">
        <f t="shared" si="19"/>
        <v>3.548387096774519E-4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0.27800000000000002</v>
      </c>
      <c r="D73" s="20">
        <v>0.28699999999999998</v>
      </c>
      <c r="E73" s="20">
        <v>0.314</v>
      </c>
      <c r="F73" s="20">
        <v>0.316</v>
      </c>
      <c r="G73" s="20">
        <v>0.312</v>
      </c>
      <c r="H73" s="20">
        <v>0.33200000000000002</v>
      </c>
      <c r="I73" s="20">
        <v>0.35099999999999998</v>
      </c>
      <c r="J73" s="20">
        <v>0.37</v>
      </c>
      <c r="K73" s="20">
        <v>0.37</v>
      </c>
      <c r="L73" s="20">
        <v>0.37</v>
      </c>
      <c r="M73" s="20">
        <v>0.37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3.2000000000000001E-2</v>
      </c>
      <c r="D77" s="20">
        <v>3.2000000000000001E-2</v>
      </c>
      <c r="E77" s="20">
        <v>3.2000000000000001E-2</v>
      </c>
      <c r="F77" s="20">
        <v>3.2000000000000001E-2</v>
      </c>
      <c r="G77" s="20">
        <v>3.2000000000000001E-2</v>
      </c>
      <c r="H77" s="20">
        <v>3.2000000000000001E-2</v>
      </c>
      <c r="I77" s="20">
        <v>3.2000000000000001E-2</v>
      </c>
      <c r="J77" s="20">
        <v>3.2000000000000001E-2</v>
      </c>
      <c r="K77" s="20">
        <v>3.2000000000000001E-2</v>
      </c>
      <c r="L77" s="20">
        <v>3.2000000000000001E-2</v>
      </c>
      <c r="M77" s="20">
        <v>3.2000000000000001E-2</v>
      </c>
    </row>
    <row r="78" spans="1:13" x14ac:dyDescent="0.25">
      <c r="A78" s="7" t="s">
        <v>824</v>
      </c>
      <c r="C78" s="20">
        <f t="shared" ref="C78:M78" si="20">-C45/C19</f>
        <v>0</v>
      </c>
      <c r="D78" s="20">
        <f t="shared" si="20"/>
        <v>4.5454545454545456E-2</v>
      </c>
      <c r="E78" s="20">
        <f t="shared" si="20"/>
        <v>3.8461538461538464E-2</v>
      </c>
      <c r="F78" s="20">
        <f t="shared" si="20"/>
        <v>3.5714285714285712E-2</v>
      </c>
      <c r="G78" s="20">
        <f t="shared" si="20"/>
        <v>3.5714285714285712E-2</v>
      </c>
      <c r="H78" s="20">
        <f t="shared" si="20"/>
        <v>3.2258064516129031E-2</v>
      </c>
      <c r="I78" s="20">
        <f t="shared" si="20"/>
        <v>3.0303030303030304E-2</v>
      </c>
      <c r="J78" s="20">
        <f t="shared" si="20"/>
        <v>2.8571428571428571E-2</v>
      </c>
      <c r="K78" s="20">
        <f t="shared" si="20"/>
        <v>2.9411764705882353E-2</v>
      </c>
      <c r="L78" s="20">
        <f t="shared" si="20"/>
        <v>3.0303030303030304E-2</v>
      </c>
      <c r="M78" s="20">
        <f t="shared" si="20"/>
        <v>3.2258064516129031E-2</v>
      </c>
    </row>
    <row r="79" spans="1:13" x14ac:dyDescent="0.25">
      <c r="A79" s="7" t="s">
        <v>835</v>
      </c>
      <c r="C79" s="20">
        <f t="shared" ref="C79:M79" si="21">C78-C77</f>
        <v>-3.2000000000000001E-2</v>
      </c>
      <c r="D79" s="20">
        <f t="shared" si="21"/>
        <v>1.3454545454545455E-2</v>
      </c>
      <c r="E79" s="20">
        <f t="shared" si="21"/>
        <v>6.461538461538463E-3</v>
      </c>
      <c r="F79" s="20">
        <f t="shared" si="21"/>
        <v>3.7142857142857116E-3</v>
      </c>
      <c r="G79" s="20">
        <f t="shared" si="21"/>
        <v>3.7142857142857116E-3</v>
      </c>
      <c r="H79" s="20">
        <f t="shared" si="21"/>
        <v>2.580645161290307E-4</v>
      </c>
      <c r="I79" s="20">
        <f t="shared" si="21"/>
        <v>-1.6969696969696968E-3</v>
      </c>
      <c r="J79" s="20">
        <f t="shared" si="21"/>
        <v>-3.4285714285714301E-3</v>
      </c>
      <c r="K79" s="20">
        <f t="shared" si="21"/>
        <v>-2.5882352941176481E-3</v>
      </c>
      <c r="L79" s="20">
        <f t="shared" si="21"/>
        <v>-1.6969696969696968E-3</v>
      </c>
      <c r="M79" s="20">
        <f t="shared" si="21"/>
        <v>2.580645161290307E-4</v>
      </c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F85" s="5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259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44</v>
      </c>
      <c r="D8" s="10">
        <v>45</v>
      </c>
      <c r="E8" s="10">
        <v>47</v>
      </c>
      <c r="F8" s="10">
        <v>48</v>
      </c>
      <c r="G8" s="10">
        <v>50</v>
      </c>
      <c r="H8" s="10">
        <v>51</v>
      </c>
      <c r="I8" s="10">
        <v>53</v>
      </c>
      <c r="J8" s="10">
        <v>54</v>
      </c>
      <c r="K8" s="10">
        <v>56</v>
      </c>
      <c r="L8" s="10">
        <v>58</v>
      </c>
      <c r="M8" s="10">
        <v>59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44</v>
      </c>
      <c r="D10" s="10">
        <v>45</v>
      </c>
      <c r="E10" s="10">
        <v>47</v>
      </c>
      <c r="F10" s="10">
        <v>48</v>
      </c>
      <c r="G10" s="10">
        <v>50</v>
      </c>
      <c r="H10" s="10">
        <v>51</v>
      </c>
      <c r="I10" s="10">
        <v>53</v>
      </c>
      <c r="J10" s="10">
        <v>54</v>
      </c>
      <c r="K10" s="10">
        <v>56</v>
      </c>
      <c r="L10" s="10">
        <v>58</v>
      </c>
      <c r="M10" s="10">
        <v>59</v>
      </c>
    </row>
    <row r="11" spans="1:13" x14ac:dyDescent="0.25">
      <c r="A11" s="7" t="s">
        <v>814</v>
      </c>
      <c r="C11" s="10">
        <f t="shared" ref="C11:M11" si="0">SUM(C8,C9)</f>
        <v>44</v>
      </c>
      <c r="D11" s="10">
        <f t="shared" si="0"/>
        <v>45</v>
      </c>
      <c r="E11" s="10">
        <f t="shared" si="0"/>
        <v>47</v>
      </c>
      <c r="F11" s="10">
        <f t="shared" si="0"/>
        <v>48</v>
      </c>
      <c r="G11" s="10">
        <f t="shared" si="0"/>
        <v>50</v>
      </c>
      <c r="H11" s="10">
        <f t="shared" si="0"/>
        <v>51</v>
      </c>
      <c r="I11" s="10">
        <f t="shared" si="0"/>
        <v>53</v>
      </c>
      <c r="J11" s="10">
        <f t="shared" si="0"/>
        <v>54</v>
      </c>
      <c r="K11" s="10">
        <f t="shared" si="0"/>
        <v>56</v>
      </c>
      <c r="L11" s="10">
        <f t="shared" si="0"/>
        <v>58</v>
      </c>
      <c r="M11" s="10">
        <f t="shared" si="0"/>
        <v>59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29</v>
      </c>
      <c r="D15" s="10">
        <v>27</v>
      </c>
      <c r="E15" s="10">
        <v>25</v>
      </c>
      <c r="F15" s="10">
        <v>22</v>
      </c>
      <c r="G15" s="10">
        <v>20</v>
      </c>
      <c r="H15" s="10">
        <v>17</v>
      </c>
      <c r="I15" s="10">
        <v>15</v>
      </c>
      <c r="J15" s="10">
        <v>13</v>
      </c>
      <c r="K15" s="10">
        <v>10</v>
      </c>
      <c r="L15" s="10">
        <v>8</v>
      </c>
      <c r="M15" s="10">
        <v>7</v>
      </c>
    </row>
    <row r="16" spans="1:13" x14ac:dyDescent="0.25">
      <c r="A16" s="7" t="s">
        <v>815</v>
      </c>
      <c r="C16" s="10">
        <f t="shared" ref="C16:M16" si="2">SUM(C10,C14)</f>
        <v>44.662999999999997</v>
      </c>
      <c r="D16" s="10">
        <f t="shared" si="2"/>
        <v>45.597999999999999</v>
      </c>
      <c r="E16" s="10">
        <f t="shared" si="2"/>
        <v>47.530999999999999</v>
      </c>
      <c r="F16" s="10">
        <f t="shared" si="2"/>
        <v>48.463999999999999</v>
      </c>
      <c r="G16" s="10">
        <f t="shared" si="2"/>
        <v>50.399000000000001</v>
      </c>
      <c r="H16" s="10">
        <f t="shared" si="2"/>
        <v>51.338000000000001</v>
      </c>
      <c r="I16" s="10">
        <f t="shared" si="2"/>
        <v>53.281999999999996</v>
      </c>
      <c r="J16" s="10">
        <f t="shared" si="2"/>
        <v>54.231000000000002</v>
      </c>
      <c r="K16" s="10">
        <f t="shared" si="2"/>
        <v>56.185000000000002</v>
      </c>
      <c r="L16" s="10">
        <f t="shared" si="2"/>
        <v>58.146000000000001</v>
      </c>
      <c r="M16" s="10">
        <f t="shared" si="2"/>
        <v>59.113</v>
      </c>
    </row>
    <row r="17" spans="1:13" x14ac:dyDescent="0.25">
      <c r="A17" s="7" t="s">
        <v>826</v>
      </c>
      <c r="C17" s="10">
        <f t="shared" ref="C17:M17" si="3">C16-C15</f>
        <v>15.662999999999997</v>
      </c>
      <c r="D17" s="10">
        <f t="shared" si="3"/>
        <v>18.597999999999999</v>
      </c>
      <c r="E17" s="10">
        <f t="shared" si="3"/>
        <v>22.530999999999999</v>
      </c>
      <c r="F17" s="10">
        <f t="shared" si="3"/>
        <v>26.463999999999999</v>
      </c>
      <c r="G17" s="10">
        <f t="shared" si="3"/>
        <v>30.399000000000001</v>
      </c>
      <c r="H17" s="10">
        <f t="shared" si="3"/>
        <v>34.338000000000001</v>
      </c>
      <c r="I17" s="10">
        <f t="shared" si="3"/>
        <v>38.281999999999996</v>
      </c>
      <c r="J17" s="10">
        <f t="shared" si="3"/>
        <v>41.231000000000002</v>
      </c>
      <c r="K17" s="10">
        <f t="shared" si="3"/>
        <v>46.185000000000002</v>
      </c>
      <c r="L17" s="10">
        <f t="shared" si="3"/>
        <v>50.146000000000001</v>
      </c>
      <c r="M17" s="10">
        <f t="shared" si="3"/>
        <v>52.113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29</v>
      </c>
      <c r="D19" s="13">
        <v>27</v>
      </c>
      <c r="E19" s="13">
        <v>25</v>
      </c>
      <c r="F19" s="13">
        <v>22</v>
      </c>
      <c r="G19" s="13">
        <v>20</v>
      </c>
      <c r="H19" s="13">
        <v>17</v>
      </c>
      <c r="I19" s="13">
        <v>15</v>
      </c>
      <c r="J19" s="13">
        <v>13</v>
      </c>
      <c r="K19" s="13">
        <v>10</v>
      </c>
      <c r="L19" s="13">
        <v>8</v>
      </c>
      <c r="M19" s="13">
        <v>7</v>
      </c>
    </row>
    <row r="20" spans="1:13" x14ac:dyDescent="0.25">
      <c r="A20" s="6" t="s">
        <v>106</v>
      </c>
      <c r="C20" s="13">
        <v>12</v>
      </c>
      <c r="D20" s="13">
        <v>11</v>
      </c>
      <c r="E20" s="13">
        <v>10</v>
      </c>
      <c r="F20" s="13">
        <v>9</v>
      </c>
      <c r="G20" s="13">
        <v>8</v>
      </c>
      <c r="H20" s="13">
        <v>7</v>
      </c>
      <c r="I20" s="13">
        <v>6</v>
      </c>
      <c r="J20" s="13">
        <v>5</v>
      </c>
      <c r="K20" s="13">
        <v>4</v>
      </c>
      <c r="L20" s="13">
        <v>4</v>
      </c>
      <c r="M20" s="13">
        <v>3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-1</v>
      </c>
      <c r="F21" s="19">
        <v>-1</v>
      </c>
      <c r="G21" s="19">
        <v>-1</v>
      </c>
      <c r="H21" s="19">
        <v>-1</v>
      </c>
      <c r="I21" s="19">
        <v>-1</v>
      </c>
      <c r="J21" s="19">
        <v>-1</v>
      </c>
      <c r="K21" s="19">
        <v>-1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11</v>
      </c>
      <c r="D25" s="13">
        <v>10</v>
      </c>
      <c r="E25" s="13">
        <v>9</v>
      </c>
      <c r="F25" s="13">
        <v>8</v>
      </c>
      <c r="G25" s="13">
        <v>7</v>
      </c>
      <c r="H25" s="13">
        <v>6</v>
      </c>
      <c r="I25" s="13">
        <v>5</v>
      </c>
      <c r="J25" s="13">
        <v>5</v>
      </c>
      <c r="K25" s="13">
        <v>4</v>
      </c>
      <c r="L25" s="13">
        <v>3</v>
      </c>
      <c r="M25" s="13">
        <v>2</v>
      </c>
    </row>
    <row r="26" spans="1:13" x14ac:dyDescent="0.25">
      <c r="A26" s="6" t="s">
        <v>816</v>
      </c>
      <c r="C26" s="13">
        <f t="shared" ref="C26:M26" si="4">SUM(C20,C21)</f>
        <v>11</v>
      </c>
      <c r="D26" s="13">
        <f t="shared" si="4"/>
        <v>10</v>
      </c>
      <c r="E26" s="13">
        <f t="shared" si="4"/>
        <v>9</v>
      </c>
      <c r="F26" s="13">
        <f t="shared" si="4"/>
        <v>8</v>
      </c>
      <c r="G26" s="13">
        <f t="shared" si="4"/>
        <v>7</v>
      </c>
      <c r="H26" s="13">
        <f t="shared" si="4"/>
        <v>6</v>
      </c>
      <c r="I26" s="13">
        <f t="shared" si="4"/>
        <v>5</v>
      </c>
      <c r="J26" s="13">
        <f t="shared" si="4"/>
        <v>4</v>
      </c>
      <c r="K26" s="13">
        <f t="shared" si="4"/>
        <v>3</v>
      </c>
      <c r="L26" s="13">
        <f t="shared" si="4"/>
        <v>4</v>
      </c>
      <c r="M26" s="13">
        <f t="shared" si="4"/>
        <v>3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 t="s">
        <v>820</v>
      </c>
      <c r="B30" s="20"/>
      <c r="C30" s="19">
        <f>C19*B29</f>
        <v>0.435</v>
      </c>
      <c r="D30" s="19">
        <f>D19*B29</f>
        <v>0.40499999999999997</v>
      </c>
      <c r="E30" s="19">
        <f>E19*B29</f>
        <v>0.375</v>
      </c>
      <c r="F30" s="19">
        <f>F19*B29</f>
        <v>0.32999999999999996</v>
      </c>
      <c r="G30" s="19">
        <f>G19*B29</f>
        <v>0.3</v>
      </c>
      <c r="H30" s="19">
        <f>H19*B29</f>
        <v>0.255</v>
      </c>
      <c r="I30" s="19">
        <f>I19*B29</f>
        <v>0.22499999999999998</v>
      </c>
      <c r="J30" s="19">
        <f>J19*B29</f>
        <v>0.19500000000000001</v>
      </c>
      <c r="K30" s="19">
        <f>K19*B29</f>
        <v>0.15</v>
      </c>
      <c r="L30" s="19">
        <f>L19*B29</f>
        <v>0.12</v>
      </c>
      <c r="M30" s="19">
        <f>M19*B29</f>
        <v>0.105</v>
      </c>
    </row>
    <row r="31" spans="1:13" x14ac:dyDescent="0.25">
      <c r="A31" s="7" t="s">
        <v>831</v>
      </c>
      <c r="B31" s="20"/>
      <c r="C31" s="19">
        <f t="shared" ref="C31:M31" si="6">C30-C29</f>
        <v>0.435</v>
      </c>
      <c r="D31" s="19">
        <f t="shared" si="6"/>
        <v>0.40499999999999997</v>
      </c>
      <c r="E31" s="19">
        <f t="shared" si="6"/>
        <v>0.375</v>
      </c>
      <c r="F31" s="19">
        <f t="shared" si="6"/>
        <v>0.32999999999999996</v>
      </c>
      <c r="G31" s="19">
        <f t="shared" si="6"/>
        <v>0.3</v>
      </c>
      <c r="H31" s="19">
        <f t="shared" si="6"/>
        <v>0.255</v>
      </c>
      <c r="I31" s="19">
        <f t="shared" si="6"/>
        <v>0.22499999999999998</v>
      </c>
      <c r="J31" s="19">
        <f t="shared" si="6"/>
        <v>0.19500000000000001</v>
      </c>
      <c r="K31" s="19">
        <f t="shared" si="6"/>
        <v>0.15</v>
      </c>
      <c r="L31" s="19">
        <f t="shared" si="6"/>
        <v>0.12</v>
      </c>
      <c r="M31" s="19">
        <f t="shared" si="6"/>
        <v>0.105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10</v>
      </c>
      <c r="D33" s="13">
        <v>10</v>
      </c>
      <c r="E33" s="13">
        <v>9</v>
      </c>
      <c r="F33" s="13">
        <v>8</v>
      </c>
      <c r="G33" s="13">
        <v>7</v>
      </c>
      <c r="H33" s="13">
        <v>6</v>
      </c>
      <c r="I33" s="13">
        <v>5</v>
      </c>
      <c r="J33" s="13">
        <v>4</v>
      </c>
      <c r="K33" s="13">
        <v>4</v>
      </c>
      <c r="L33" s="13">
        <v>3</v>
      </c>
      <c r="M33" s="13">
        <v>2</v>
      </c>
    </row>
    <row r="34" spans="1:13" x14ac:dyDescent="0.25">
      <c r="A34" s="6" t="s">
        <v>817</v>
      </c>
      <c r="C34" s="13">
        <f t="shared" ref="C34:M34" si="7">SUM(C25,C29)</f>
        <v>11</v>
      </c>
      <c r="D34" s="13">
        <f t="shared" si="7"/>
        <v>10</v>
      </c>
      <c r="E34" s="13">
        <f t="shared" si="7"/>
        <v>9</v>
      </c>
      <c r="F34" s="13">
        <f t="shared" si="7"/>
        <v>8</v>
      </c>
      <c r="G34" s="13">
        <f t="shared" si="7"/>
        <v>7</v>
      </c>
      <c r="H34" s="13">
        <f t="shared" si="7"/>
        <v>6</v>
      </c>
      <c r="I34" s="13">
        <f t="shared" si="7"/>
        <v>5</v>
      </c>
      <c r="J34" s="13">
        <f t="shared" si="7"/>
        <v>5</v>
      </c>
      <c r="K34" s="13">
        <f t="shared" si="7"/>
        <v>4</v>
      </c>
      <c r="L34" s="13">
        <f t="shared" si="7"/>
        <v>3</v>
      </c>
      <c r="M34" s="13">
        <f t="shared" si="7"/>
        <v>2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1</v>
      </c>
      <c r="K35" s="13">
        <f t="shared" si="8"/>
        <v>0</v>
      </c>
      <c r="L35" s="13">
        <f t="shared" si="8"/>
        <v>0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-2</v>
      </c>
      <c r="D37" s="19">
        <v>-2</v>
      </c>
      <c r="E37" s="19">
        <v>-2</v>
      </c>
      <c r="F37" s="19">
        <v>-2</v>
      </c>
      <c r="G37" s="19">
        <v>-2</v>
      </c>
      <c r="H37" s="19">
        <v>-1</v>
      </c>
      <c r="I37" s="19">
        <v>-1</v>
      </c>
      <c r="J37" s="19">
        <v>-1</v>
      </c>
      <c r="K37" s="19">
        <v>-1</v>
      </c>
      <c r="L37" s="19">
        <v>-1</v>
      </c>
      <c r="M37" s="19">
        <v>-1</v>
      </c>
    </row>
    <row r="38" spans="1:13" x14ac:dyDescent="0.25">
      <c r="A38" s="7" t="s">
        <v>821</v>
      </c>
      <c r="B38" s="20"/>
      <c r="C38" s="19">
        <f>C33*B37</f>
        <v>2.1800000000000002</v>
      </c>
      <c r="D38" s="19">
        <f>D33*B37</f>
        <v>2.1800000000000002</v>
      </c>
      <c r="E38" s="19">
        <f>E33*B37</f>
        <v>1.962</v>
      </c>
      <c r="F38" s="19">
        <f>F33*B37</f>
        <v>1.744</v>
      </c>
      <c r="G38" s="19">
        <f>G33*B37</f>
        <v>1.526</v>
      </c>
      <c r="H38" s="19">
        <f>H33*B37</f>
        <v>1.3080000000000001</v>
      </c>
      <c r="I38" s="19">
        <f>I33*B37</f>
        <v>1.0900000000000001</v>
      </c>
      <c r="J38" s="19">
        <f>J33*B37</f>
        <v>0.872</v>
      </c>
      <c r="K38" s="19">
        <f>K33*B37</f>
        <v>0.872</v>
      </c>
      <c r="L38" s="19">
        <f>L33*B37</f>
        <v>0.65400000000000003</v>
      </c>
      <c r="M38" s="19">
        <f>M33*B37</f>
        <v>0.436</v>
      </c>
    </row>
    <row r="39" spans="1:13" x14ac:dyDescent="0.25">
      <c r="A39" s="7" t="s">
        <v>832</v>
      </c>
      <c r="B39" s="20"/>
      <c r="C39" s="19">
        <f t="shared" ref="C39:M39" si="9">C38-C37</f>
        <v>4.18</v>
      </c>
      <c r="D39" s="19">
        <f t="shared" si="9"/>
        <v>4.18</v>
      </c>
      <c r="E39" s="19">
        <f t="shared" si="9"/>
        <v>3.9619999999999997</v>
      </c>
      <c r="F39" s="19">
        <f t="shared" si="9"/>
        <v>3.7439999999999998</v>
      </c>
      <c r="G39" s="19">
        <f t="shared" si="9"/>
        <v>3.5259999999999998</v>
      </c>
      <c r="H39" s="19">
        <f t="shared" si="9"/>
        <v>2.3079999999999998</v>
      </c>
      <c r="I39" s="19">
        <f t="shared" si="9"/>
        <v>2.09</v>
      </c>
      <c r="J39" s="19">
        <f t="shared" si="9"/>
        <v>1.8719999999999999</v>
      </c>
      <c r="K39" s="19">
        <f t="shared" si="9"/>
        <v>1.8719999999999999</v>
      </c>
      <c r="L39" s="19">
        <f t="shared" si="9"/>
        <v>1.6539999999999999</v>
      </c>
      <c r="M39" s="19">
        <f t="shared" si="9"/>
        <v>1.4359999999999999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8</v>
      </c>
      <c r="D41" s="13">
        <v>8</v>
      </c>
      <c r="E41" s="13">
        <v>7</v>
      </c>
      <c r="F41" s="13">
        <v>6</v>
      </c>
      <c r="G41" s="13">
        <v>6</v>
      </c>
      <c r="H41" s="13">
        <v>5</v>
      </c>
      <c r="I41" s="13">
        <v>4</v>
      </c>
      <c r="J41" s="13">
        <v>3</v>
      </c>
      <c r="K41" s="13">
        <v>3</v>
      </c>
      <c r="L41" s="13">
        <v>2</v>
      </c>
      <c r="M41" s="13">
        <v>2</v>
      </c>
    </row>
    <row r="42" spans="1:13" x14ac:dyDescent="0.25">
      <c r="A42" s="6" t="s">
        <v>819</v>
      </c>
      <c r="C42" s="13">
        <f t="shared" ref="C42:M42" si="10">C33-C37</f>
        <v>12</v>
      </c>
      <c r="D42" s="13">
        <f t="shared" si="10"/>
        <v>12</v>
      </c>
      <c r="E42" s="13">
        <f t="shared" si="10"/>
        <v>11</v>
      </c>
      <c r="F42" s="13">
        <f t="shared" si="10"/>
        <v>10</v>
      </c>
      <c r="G42" s="13">
        <f t="shared" si="10"/>
        <v>9</v>
      </c>
      <c r="H42" s="13">
        <f t="shared" si="10"/>
        <v>7</v>
      </c>
      <c r="I42" s="13">
        <f t="shared" si="10"/>
        <v>6</v>
      </c>
      <c r="J42" s="13">
        <f t="shared" si="10"/>
        <v>5</v>
      </c>
      <c r="K42" s="13">
        <f t="shared" si="10"/>
        <v>5</v>
      </c>
      <c r="L42" s="13">
        <f t="shared" si="10"/>
        <v>4</v>
      </c>
      <c r="M42" s="13">
        <f t="shared" si="10"/>
        <v>3</v>
      </c>
    </row>
    <row r="43" spans="1:13" x14ac:dyDescent="0.25">
      <c r="A43" s="6" t="s">
        <v>830</v>
      </c>
      <c r="C43" s="13">
        <f t="shared" ref="C43:M43" si="11">C42-C41</f>
        <v>4</v>
      </c>
      <c r="D43" s="13">
        <f t="shared" si="11"/>
        <v>4</v>
      </c>
      <c r="E43" s="13">
        <f t="shared" si="11"/>
        <v>4</v>
      </c>
      <c r="F43" s="13">
        <f t="shared" si="11"/>
        <v>4</v>
      </c>
      <c r="G43" s="13">
        <f t="shared" si="11"/>
        <v>3</v>
      </c>
      <c r="H43" s="13">
        <f t="shared" si="11"/>
        <v>2</v>
      </c>
      <c r="I43" s="13">
        <f t="shared" si="11"/>
        <v>2</v>
      </c>
      <c r="J43" s="13">
        <f t="shared" si="11"/>
        <v>2</v>
      </c>
      <c r="K43" s="13">
        <f t="shared" si="11"/>
        <v>2</v>
      </c>
      <c r="L43" s="13">
        <f t="shared" si="11"/>
        <v>2</v>
      </c>
      <c r="M43" s="13">
        <f t="shared" si="11"/>
        <v>1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7</v>
      </c>
      <c r="D46" s="13">
        <v>7</v>
      </c>
      <c r="E46" s="13">
        <v>6</v>
      </c>
      <c r="F46" s="13">
        <v>5</v>
      </c>
      <c r="G46" s="13">
        <v>5</v>
      </c>
      <c r="H46" s="13">
        <v>4</v>
      </c>
      <c r="I46" s="13">
        <v>4</v>
      </c>
      <c r="J46" s="13">
        <v>3</v>
      </c>
      <c r="K46" s="13">
        <v>3</v>
      </c>
      <c r="L46" s="13">
        <v>2</v>
      </c>
      <c r="M46" s="13">
        <v>2</v>
      </c>
    </row>
    <row r="47" spans="1:13" x14ac:dyDescent="0.25">
      <c r="A47" s="6" t="s">
        <v>818</v>
      </c>
      <c r="C47" s="13">
        <f t="shared" ref="C47:M47" si="12">SUM(C41,C45)</f>
        <v>7</v>
      </c>
      <c r="D47" s="13">
        <f t="shared" si="12"/>
        <v>7</v>
      </c>
      <c r="E47" s="13">
        <f t="shared" si="12"/>
        <v>6</v>
      </c>
      <c r="F47" s="13">
        <f t="shared" si="12"/>
        <v>5</v>
      </c>
      <c r="G47" s="13">
        <f t="shared" si="12"/>
        <v>5</v>
      </c>
      <c r="H47" s="13">
        <f t="shared" si="12"/>
        <v>4</v>
      </c>
      <c r="I47" s="13">
        <f t="shared" si="12"/>
        <v>4</v>
      </c>
      <c r="J47" s="13">
        <f t="shared" si="12"/>
        <v>3</v>
      </c>
      <c r="K47" s="13">
        <f t="shared" si="12"/>
        <v>3</v>
      </c>
      <c r="L47" s="13">
        <f t="shared" si="12"/>
        <v>2</v>
      </c>
      <c r="M47" s="13">
        <f t="shared" si="12"/>
        <v>2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2</v>
      </c>
      <c r="D51" s="13">
        <v>2</v>
      </c>
      <c r="E51" s="13">
        <v>2</v>
      </c>
      <c r="F51" s="13">
        <v>1</v>
      </c>
      <c r="G51" s="13">
        <v>1</v>
      </c>
      <c r="H51" s="13">
        <v>1</v>
      </c>
      <c r="I51" s="13">
        <v>1</v>
      </c>
      <c r="J51" s="13">
        <v>0</v>
      </c>
      <c r="K51" s="13">
        <v>0</v>
      </c>
      <c r="L51" s="13">
        <v>0</v>
      </c>
      <c r="M51" s="13">
        <v>0</v>
      </c>
    </row>
    <row r="52" spans="1:13" x14ac:dyDescent="0.25">
      <c r="A52" s="6" t="s">
        <v>822</v>
      </c>
      <c r="C52" s="13">
        <f t="shared" ref="C52:M52" si="14">C46*C50</f>
        <v>2.2813000000000003</v>
      </c>
      <c r="D52" s="13">
        <f t="shared" si="14"/>
        <v>2.0552000000000001</v>
      </c>
      <c r="E52" s="13">
        <f t="shared" si="14"/>
        <v>1.5870000000000002</v>
      </c>
      <c r="F52" s="13">
        <f t="shared" si="14"/>
        <v>1.1915</v>
      </c>
      <c r="G52" s="13">
        <f t="shared" si="14"/>
        <v>1.0735000000000001</v>
      </c>
      <c r="H52" s="13">
        <f t="shared" si="14"/>
        <v>0.77359999999999995</v>
      </c>
      <c r="I52" s="13">
        <f t="shared" si="14"/>
        <v>0.69679999999999997</v>
      </c>
      <c r="J52" s="13">
        <f t="shared" si="14"/>
        <v>0.47099999999999997</v>
      </c>
      <c r="K52" s="13">
        <f t="shared" si="14"/>
        <v>0.42420000000000002</v>
      </c>
      <c r="L52" s="13">
        <f t="shared" si="14"/>
        <v>0.25480000000000003</v>
      </c>
      <c r="M52" s="13">
        <f t="shared" si="14"/>
        <v>0.2296</v>
      </c>
    </row>
    <row r="53" spans="1:13" x14ac:dyDescent="0.25">
      <c r="A53" s="6" t="s">
        <v>833</v>
      </c>
      <c r="C53" s="13">
        <f t="shared" ref="C53:M53" si="15">C52-C51</f>
        <v>0.28130000000000033</v>
      </c>
      <c r="D53" s="13">
        <f t="shared" si="15"/>
        <v>5.5200000000000138E-2</v>
      </c>
      <c r="E53" s="13">
        <f t="shared" si="15"/>
        <v>-0.41299999999999981</v>
      </c>
      <c r="F53" s="13">
        <f t="shared" si="15"/>
        <v>0.1915</v>
      </c>
      <c r="G53" s="13">
        <f t="shared" si="15"/>
        <v>7.3500000000000121E-2</v>
      </c>
      <c r="H53" s="13">
        <f t="shared" si="15"/>
        <v>-0.22640000000000005</v>
      </c>
      <c r="I53" s="13">
        <f t="shared" si="15"/>
        <v>-0.30320000000000003</v>
      </c>
      <c r="J53" s="13">
        <f t="shared" si="15"/>
        <v>0.47099999999999997</v>
      </c>
      <c r="K53" s="13">
        <f t="shared" si="15"/>
        <v>0.42420000000000002</v>
      </c>
      <c r="L53" s="13">
        <f t="shared" si="15"/>
        <v>0.25480000000000003</v>
      </c>
      <c r="M53" s="13">
        <f t="shared" si="15"/>
        <v>0.2296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16">(D8-C8)/C8</f>
        <v>2.2727272727272728E-2</v>
      </c>
      <c r="E57" s="20">
        <f t="shared" si="16"/>
        <v>4.4444444444444446E-2</v>
      </c>
      <c r="F57" s="20">
        <f t="shared" si="16"/>
        <v>2.1276595744680851E-2</v>
      </c>
      <c r="G57" s="20">
        <f t="shared" si="16"/>
        <v>4.1666666666666664E-2</v>
      </c>
      <c r="H57" s="20">
        <f t="shared" si="16"/>
        <v>0.02</v>
      </c>
      <c r="I57" s="20">
        <f t="shared" si="16"/>
        <v>3.9215686274509803E-2</v>
      </c>
      <c r="J57" s="20">
        <f t="shared" si="16"/>
        <v>1.8867924528301886E-2</v>
      </c>
      <c r="K57" s="20">
        <f t="shared" si="16"/>
        <v>3.7037037037037035E-2</v>
      </c>
      <c r="L57" s="20">
        <f t="shared" si="16"/>
        <v>3.5714285714285712E-2</v>
      </c>
      <c r="M57" s="20">
        <f t="shared" si="16"/>
        <v>1.7241379310344827E-2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-7.272727272727271E-3</v>
      </c>
      <c r="E58" s="20">
        <f t="shared" si="17"/>
        <v>1.4444444444444447E-2</v>
      </c>
      <c r="F58" s="20">
        <f t="shared" si="17"/>
        <v>-8.7234042553191483E-3</v>
      </c>
      <c r="G58" s="20">
        <f t="shared" si="17"/>
        <v>1.1666666666666665E-2</v>
      </c>
      <c r="H58" s="20">
        <f t="shared" si="17"/>
        <v>-9.9999999999999985E-3</v>
      </c>
      <c r="I58" s="20">
        <f t="shared" si="17"/>
        <v>9.2156862745098045E-3</v>
      </c>
      <c r="J58" s="20">
        <f t="shared" si="17"/>
        <v>-1.1132075471698113E-2</v>
      </c>
      <c r="K58" s="20">
        <f t="shared" si="17"/>
        <v>7.0370370370370361E-3</v>
      </c>
      <c r="L58" s="20">
        <f t="shared" si="17"/>
        <v>5.7142857142857134E-3</v>
      </c>
      <c r="M58" s="20">
        <f t="shared" si="17"/>
        <v>-1.2758620689655172E-2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0.41899999999999998</v>
      </c>
      <c r="D60" s="20">
        <v>0.41899999999999998</v>
      </c>
      <c r="E60" s="20">
        <v>0.41899999999999998</v>
      </c>
      <c r="F60" s="20">
        <v>0.41899999999999998</v>
      </c>
      <c r="G60" s="20">
        <v>0.41899999999999998</v>
      </c>
      <c r="H60" s="20">
        <v>0.41899999999999998</v>
      </c>
      <c r="I60" s="20">
        <v>0.41899999999999998</v>
      </c>
      <c r="J60" s="20">
        <v>0.41899999999999998</v>
      </c>
      <c r="K60" s="20">
        <v>0.41899999999999998</v>
      </c>
      <c r="L60" s="20">
        <v>0.41899999999999998</v>
      </c>
      <c r="M60" s="20">
        <v>0.41899999999999998</v>
      </c>
    </row>
    <row r="61" spans="1:13" x14ac:dyDescent="0.25">
      <c r="A61" s="7" t="s">
        <v>823</v>
      </c>
      <c r="C61" s="20">
        <f t="shared" ref="C61:M61" si="18">C20/C19</f>
        <v>0.41379310344827586</v>
      </c>
      <c r="D61" s="20">
        <f t="shared" si="18"/>
        <v>0.40740740740740738</v>
      </c>
      <c r="E61" s="20">
        <f t="shared" si="18"/>
        <v>0.4</v>
      </c>
      <c r="F61" s="20">
        <f t="shared" si="18"/>
        <v>0.40909090909090912</v>
      </c>
      <c r="G61" s="20">
        <f t="shared" si="18"/>
        <v>0.4</v>
      </c>
      <c r="H61" s="20">
        <f t="shared" si="18"/>
        <v>0.41176470588235292</v>
      </c>
      <c r="I61" s="20">
        <f t="shared" si="18"/>
        <v>0.4</v>
      </c>
      <c r="J61" s="20">
        <f t="shared" si="18"/>
        <v>0.38461538461538464</v>
      </c>
      <c r="K61" s="20">
        <f t="shared" si="18"/>
        <v>0.4</v>
      </c>
      <c r="L61" s="20">
        <f t="shared" si="18"/>
        <v>0.5</v>
      </c>
      <c r="M61" s="20">
        <f t="shared" si="18"/>
        <v>0.42857142857142855</v>
      </c>
    </row>
    <row r="62" spans="1:13" x14ac:dyDescent="0.25">
      <c r="A62" s="7" t="s">
        <v>834</v>
      </c>
      <c r="C62" s="20">
        <f t="shared" ref="C62:M62" si="19">C61-C60</f>
        <v>-5.2068965517241272E-3</v>
      </c>
      <c r="D62" s="20">
        <f t="shared" si="19"/>
        <v>-1.1592592592592599E-2</v>
      </c>
      <c r="E62" s="20">
        <f t="shared" si="19"/>
        <v>-1.8999999999999961E-2</v>
      </c>
      <c r="F62" s="20">
        <f t="shared" si="19"/>
        <v>-9.9090909090908674E-3</v>
      </c>
      <c r="G62" s="20">
        <f t="shared" si="19"/>
        <v>-1.8999999999999961E-2</v>
      </c>
      <c r="H62" s="20">
        <f t="shared" si="19"/>
        <v>-7.235294117647062E-3</v>
      </c>
      <c r="I62" s="20">
        <f t="shared" si="19"/>
        <v>-1.8999999999999961E-2</v>
      </c>
      <c r="J62" s="20">
        <f t="shared" si="19"/>
        <v>-3.4384615384615347E-2</v>
      </c>
      <c r="K62" s="20">
        <f t="shared" si="19"/>
        <v>-1.8999999999999961E-2</v>
      </c>
      <c r="L62" s="20">
        <f t="shared" si="19"/>
        <v>8.1000000000000016E-2</v>
      </c>
      <c r="M62" s="20">
        <f t="shared" si="19"/>
        <v>9.5714285714285641E-3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0.37</v>
      </c>
      <c r="D65" s="20">
        <v>0.37</v>
      </c>
      <c r="E65" s="20">
        <v>0.37</v>
      </c>
      <c r="F65" s="20">
        <v>0.37</v>
      </c>
      <c r="G65" s="20">
        <v>0.37</v>
      </c>
      <c r="H65" s="20">
        <v>0.37</v>
      </c>
      <c r="I65" s="20">
        <v>0.37</v>
      </c>
      <c r="J65" s="20">
        <v>0.37</v>
      </c>
      <c r="K65" s="20">
        <v>0.37</v>
      </c>
      <c r="L65" s="20">
        <v>0.37</v>
      </c>
      <c r="M65" s="20">
        <v>0.37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3.2000000000000001E-2</v>
      </c>
      <c r="D69" s="20">
        <v>3.2000000000000001E-2</v>
      </c>
      <c r="E69" s="20">
        <v>3.2000000000000001E-2</v>
      </c>
      <c r="F69" s="20">
        <v>3.2000000000000001E-2</v>
      </c>
      <c r="G69" s="20">
        <v>3.2000000000000001E-2</v>
      </c>
      <c r="H69" s="20">
        <v>3.2000000000000001E-2</v>
      </c>
      <c r="I69" s="20">
        <v>3.2000000000000001E-2</v>
      </c>
      <c r="J69" s="20">
        <v>3.2000000000000001E-2</v>
      </c>
      <c r="K69" s="20">
        <v>3.2000000000000001E-2</v>
      </c>
      <c r="L69" s="20">
        <v>3.2000000000000001E-2</v>
      </c>
      <c r="M69" s="20">
        <v>3.2000000000000001E-2</v>
      </c>
    </row>
    <row r="70" spans="1:13" x14ac:dyDescent="0.25">
      <c r="A70" s="7" t="s">
        <v>824</v>
      </c>
      <c r="C70" s="20">
        <f t="shared" ref="C70:M70" si="20">-C45/C19</f>
        <v>3.4482758620689655E-2</v>
      </c>
      <c r="D70" s="20">
        <f t="shared" si="20"/>
        <v>3.7037037037037035E-2</v>
      </c>
      <c r="E70" s="20">
        <f t="shared" si="20"/>
        <v>0.04</v>
      </c>
      <c r="F70" s="20">
        <f t="shared" si="20"/>
        <v>4.5454545454545456E-2</v>
      </c>
      <c r="G70" s="20">
        <f t="shared" si="20"/>
        <v>0.05</v>
      </c>
      <c r="H70" s="20">
        <f t="shared" si="20"/>
        <v>5.8823529411764705E-2</v>
      </c>
      <c r="I70" s="20">
        <f t="shared" si="20"/>
        <v>0</v>
      </c>
      <c r="J70" s="20">
        <f t="shared" si="20"/>
        <v>0</v>
      </c>
      <c r="K70" s="20">
        <f t="shared" si="20"/>
        <v>0</v>
      </c>
      <c r="L70" s="20">
        <f t="shared" si="20"/>
        <v>0</v>
      </c>
      <c r="M70" s="20">
        <f t="shared" si="20"/>
        <v>0</v>
      </c>
    </row>
    <row r="71" spans="1:13" x14ac:dyDescent="0.25">
      <c r="A71" s="7" t="s">
        <v>835</v>
      </c>
      <c r="C71" s="20">
        <f t="shared" ref="C71:M71" si="21">C70-C69</f>
        <v>2.482758620689654E-3</v>
      </c>
      <c r="D71" s="20">
        <f t="shared" si="21"/>
        <v>5.0370370370370343E-3</v>
      </c>
      <c r="E71" s="20">
        <f t="shared" si="21"/>
        <v>8.0000000000000002E-3</v>
      </c>
      <c r="F71" s="20">
        <f t="shared" si="21"/>
        <v>1.3454545454545455E-2</v>
      </c>
      <c r="G71" s="20">
        <f t="shared" si="21"/>
        <v>1.8000000000000002E-2</v>
      </c>
      <c r="H71" s="20">
        <f t="shared" si="21"/>
        <v>2.6823529411764704E-2</v>
      </c>
      <c r="I71" s="20">
        <f t="shared" si="21"/>
        <v>-3.2000000000000001E-2</v>
      </c>
      <c r="J71" s="20">
        <f t="shared" si="21"/>
        <v>-3.2000000000000001E-2</v>
      </c>
      <c r="K71" s="20">
        <f t="shared" si="21"/>
        <v>-3.2000000000000001E-2</v>
      </c>
      <c r="L71" s="20">
        <f t="shared" si="21"/>
        <v>-3.2000000000000001E-2</v>
      </c>
      <c r="M71" s="20">
        <f t="shared" si="21"/>
        <v>-3.2000000000000001E-2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M77"/>
  <sheetViews>
    <sheetView topLeftCell="A43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260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D7" s="9" t="s">
        <v>242</v>
      </c>
      <c r="E7" s="9" t="s">
        <v>243</v>
      </c>
      <c r="F7" s="9" t="s">
        <v>244</v>
      </c>
      <c r="G7" s="9" t="s">
        <v>245</v>
      </c>
      <c r="H7" s="9" t="s">
        <v>246</v>
      </c>
      <c r="I7" s="9" t="s">
        <v>247</v>
      </c>
      <c r="J7" s="9" t="s">
        <v>248</v>
      </c>
      <c r="K7" s="9" t="s">
        <v>249</v>
      </c>
      <c r="L7" s="9" t="s">
        <v>250</v>
      </c>
    </row>
    <row r="8" spans="1:13" x14ac:dyDescent="0.25">
      <c r="A8" s="7" t="s">
        <v>203</v>
      </c>
      <c r="D8" s="10">
        <v>61</v>
      </c>
      <c r="E8" s="10">
        <v>63</v>
      </c>
      <c r="F8" s="10">
        <v>65</v>
      </c>
      <c r="G8" s="10">
        <v>67</v>
      </c>
      <c r="H8" s="10">
        <v>69</v>
      </c>
      <c r="I8" s="10">
        <v>71</v>
      </c>
      <c r="J8" s="10">
        <v>73</v>
      </c>
      <c r="K8" s="10">
        <v>75</v>
      </c>
      <c r="L8" s="10">
        <v>77</v>
      </c>
    </row>
    <row r="9" spans="1:13" x14ac:dyDescent="0.25">
      <c r="A9" s="7" t="s">
        <v>204</v>
      </c>
    </row>
    <row r="10" spans="1:13" x14ac:dyDescent="0.25">
      <c r="A10" s="7" t="s">
        <v>253</v>
      </c>
      <c r="D10" s="10">
        <v>61</v>
      </c>
      <c r="E10" s="10">
        <v>63</v>
      </c>
      <c r="F10" s="10">
        <v>65</v>
      </c>
      <c r="G10" s="10">
        <v>67</v>
      </c>
      <c r="H10" s="10">
        <v>69</v>
      </c>
      <c r="I10" s="10">
        <v>71</v>
      </c>
      <c r="J10" s="10">
        <v>73</v>
      </c>
      <c r="K10" s="10">
        <v>75</v>
      </c>
      <c r="L10" s="10">
        <v>77</v>
      </c>
    </row>
    <row r="11" spans="1:13" x14ac:dyDescent="0.25">
      <c r="A11" s="7" t="s">
        <v>814</v>
      </c>
      <c r="C11">
        <f t="shared" ref="C11:M11" si="0">SUM(C8,C9)</f>
        <v>0</v>
      </c>
      <c r="D11" s="10">
        <f t="shared" si="0"/>
        <v>61</v>
      </c>
      <c r="E11" s="10">
        <f t="shared" si="0"/>
        <v>63</v>
      </c>
      <c r="F11" s="10">
        <f t="shared" si="0"/>
        <v>65</v>
      </c>
      <c r="G11" s="10">
        <f t="shared" si="0"/>
        <v>67</v>
      </c>
      <c r="H11" s="10">
        <f t="shared" si="0"/>
        <v>69</v>
      </c>
      <c r="I11" s="10">
        <f t="shared" si="0"/>
        <v>71</v>
      </c>
      <c r="J11" s="10">
        <f t="shared" si="0"/>
        <v>73</v>
      </c>
      <c r="K11" s="10">
        <f t="shared" si="0"/>
        <v>75</v>
      </c>
      <c r="L11" s="10">
        <f t="shared" si="0"/>
        <v>77</v>
      </c>
      <c r="M11">
        <f t="shared" si="0"/>
        <v>0</v>
      </c>
    </row>
    <row r="12" spans="1:13" x14ac:dyDescent="0.25">
      <c r="A12" s="7" t="s">
        <v>825</v>
      </c>
      <c r="C12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>
        <f t="shared" si="1"/>
        <v>0</v>
      </c>
    </row>
    <row r="13" spans="1:13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</row>
    <row r="14" spans="1:13" x14ac:dyDescent="0.25">
      <c r="A14" s="7" t="s">
        <v>206</v>
      </c>
      <c r="C14" s="7" t="s">
        <v>254</v>
      </c>
      <c r="D14" s="20">
        <v>8.5999999999999993E-2</v>
      </c>
      <c r="E14" s="20">
        <v>6.4000000000000001E-2</v>
      </c>
      <c r="F14" s="20">
        <v>4.7E-2</v>
      </c>
      <c r="G14" s="20">
        <v>3.3000000000000002E-2</v>
      </c>
      <c r="H14" s="20">
        <v>2.3E-2</v>
      </c>
      <c r="I14" s="20">
        <v>1.6E-2</v>
      </c>
      <c r="J14" s="20">
        <v>1.0999999999999999E-2</v>
      </c>
      <c r="K14" s="20">
        <v>7.0000000000000001E-3</v>
      </c>
      <c r="L14" s="20">
        <v>5.0000000000000001E-3</v>
      </c>
    </row>
    <row r="15" spans="1:13" x14ac:dyDescent="0.25">
      <c r="A15" s="7" t="s">
        <v>208</v>
      </c>
      <c r="D15" s="10">
        <v>5</v>
      </c>
      <c r="E15" s="10">
        <v>4</v>
      </c>
      <c r="F15" s="10">
        <v>3</v>
      </c>
      <c r="G15" s="10">
        <v>2</v>
      </c>
      <c r="H15" s="10">
        <v>2</v>
      </c>
      <c r="I15" s="10">
        <v>1</v>
      </c>
      <c r="J15" s="10">
        <v>1</v>
      </c>
      <c r="K15" s="10">
        <v>1</v>
      </c>
      <c r="L15" s="10">
        <v>0</v>
      </c>
    </row>
    <row r="16" spans="1:13" x14ac:dyDescent="0.25">
      <c r="A16" s="7" t="s">
        <v>815</v>
      </c>
      <c r="C16" s="59">
        <f t="shared" ref="C16:M16" si="2">SUM(C10,C14)</f>
        <v>0</v>
      </c>
      <c r="D16" s="10">
        <f t="shared" si="2"/>
        <v>61.085999999999999</v>
      </c>
      <c r="E16" s="10">
        <f t="shared" si="2"/>
        <v>63.064</v>
      </c>
      <c r="F16" s="10">
        <f t="shared" si="2"/>
        <v>65.046999999999997</v>
      </c>
      <c r="G16" s="10">
        <f t="shared" si="2"/>
        <v>67.033000000000001</v>
      </c>
      <c r="H16" s="10">
        <f t="shared" si="2"/>
        <v>69.022999999999996</v>
      </c>
      <c r="I16" s="10">
        <f t="shared" si="2"/>
        <v>71.016000000000005</v>
      </c>
      <c r="J16" s="10">
        <f t="shared" si="2"/>
        <v>73.010999999999996</v>
      </c>
      <c r="K16" s="10">
        <f t="shared" si="2"/>
        <v>75.007000000000005</v>
      </c>
      <c r="L16" s="10">
        <f t="shared" si="2"/>
        <v>77.004999999999995</v>
      </c>
      <c r="M16">
        <f t="shared" si="2"/>
        <v>0</v>
      </c>
    </row>
    <row r="17" spans="1:13" x14ac:dyDescent="0.25">
      <c r="A17" s="7" t="s">
        <v>826</v>
      </c>
      <c r="C17" s="59">
        <f t="shared" ref="C17:M17" si="3">C16-C15</f>
        <v>0</v>
      </c>
      <c r="D17" s="10">
        <f t="shared" si="3"/>
        <v>56.085999999999999</v>
      </c>
      <c r="E17" s="10">
        <f t="shared" si="3"/>
        <v>59.064</v>
      </c>
      <c r="F17" s="10">
        <f t="shared" si="3"/>
        <v>62.046999999999997</v>
      </c>
      <c r="G17" s="10">
        <f t="shared" si="3"/>
        <v>65.033000000000001</v>
      </c>
      <c r="H17" s="10">
        <f t="shared" si="3"/>
        <v>67.022999999999996</v>
      </c>
      <c r="I17" s="10">
        <f t="shared" si="3"/>
        <v>70.016000000000005</v>
      </c>
      <c r="J17" s="10">
        <f t="shared" si="3"/>
        <v>72.010999999999996</v>
      </c>
      <c r="K17" s="10">
        <f t="shared" si="3"/>
        <v>74.007000000000005</v>
      </c>
      <c r="L17" s="10">
        <f t="shared" si="3"/>
        <v>77.004999999999995</v>
      </c>
      <c r="M17">
        <f t="shared" si="3"/>
        <v>0</v>
      </c>
    </row>
    <row r="18" spans="1:13" x14ac:dyDescent="0.25">
      <c r="A18" s="7"/>
      <c r="D18" s="10"/>
      <c r="E18" s="10"/>
      <c r="F18" s="10"/>
      <c r="G18" s="10"/>
      <c r="H18" s="10"/>
      <c r="I18" s="10"/>
      <c r="J18" s="10"/>
      <c r="K18" s="10"/>
      <c r="L18" s="10"/>
    </row>
    <row r="19" spans="1:13" x14ac:dyDescent="0.25">
      <c r="A19" s="6" t="s">
        <v>205</v>
      </c>
      <c r="D19" s="13">
        <v>5</v>
      </c>
      <c r="E19" s="13">
        <v>4</v>
      </c>
      <c r="F19" s="13">
        <v>3</v>
      </c>
      <c r="G19" s="13">
        <v>2</v>
      </c>
      <c r="H19" s="13">
        <v>2</v>
      </c>
      <c r="I19" s="13">
        <v>1</v>
      </c>
      <c r="J19" s="13">
        <v>1</v>
      </c>
      <c r="K19" s="13">
        <v>1</v>
      </c>
      <c r="L19" s="13">
        <v>0</v>
      </c>
    </row>
    <row r="20" spans="1:13" x14ac:dyDescent="0.25">
      <c r="A20" s="6" t="s">
        <v>106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  <c r="L20" s="13">
        <v>0</v>
      </c>
    </row>
    <row r="21" spans="1:13" x14ac:dyDescent="0.25">
      <c r="A21" s="7" t="s">
        <v>107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</row>
    <row r="22" spans="1:13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</row>
    <row r="23" spans="1:13" x14ac:dyDescent="0.25">
      <c r="A23" s="7"/>
      <c r="D23" s="19"/>
      <c r="E23" s="19"/>
      <c r="F23" s="19"/>
      <c r="G23" s="19"/>
      <c r="H23" s="19"/>
      <c r="I23" s="19"/>
      <c r="J23" s="19"/>
      <c r="K23" s="19"/>
      <c r="L23" s="19"/>
    </row>
    <row r="24" spans="1:13" x14ac:dyDescent="0.25">
      <c r="A24" s="7"/>
      <c r="D24" s="19"/>
      <c r="E24" s="19"/>
      <c r="F24" s="19"/>
      <c r="G24" s="19"/>
      <c r="H24" s="19"/>
      <c r="I24" s="19"/>
      <c r="J24" s="19"/>
      <c r="K24" s="19"/>
      <c r="L24" s="19"/>
    </row>
    <row r="25" spans="1:13" x14ac:dyDescent="0.25">
      <c r="A25" s="6" t="s">
        <v>211</v>
      </c>
      <c r="D25" s="13">
        <v>2</v>
      </c>
      <c r="E25" s="13">
        <v>1</v>
      </c>
      <c r="F25" s="13">
        <v>1</v>
      </c>
      <c r="G25" s="13">
        <v>1</v>
      </c>
      <c r="H25" s="13">
        <v>1</v>
      </c>
      <c r="I25" s="13">
        <v>0</v>
      </c>
      <c r="J25" s="13">
        <v>0</v>
      </c>
      <c r="K25" s="13">
        <v>0</v>
      </c>
      <c r="L25" s="13">
        <v>0</v>
      </c>
    </row>
    <row r="26" spans="1:13" x14ac:dyDescent="0.25">
      <c r="A26" s="6" t="s">
        <v>816</v>
      </c>
      <c r="C26">
        <f t="shared" ref="C26:M26" si="4">SUM(C20,C21)</f>
        <v>0</v>
      </c>
      <c r="D26" s="13">
        <f t="shared" si="4"/>
        <v>2</v>
      </c>
      <c r="E26" s="13">
        <f t="shared" si="4"/>
        <v>2</v>
      </c>
      <c r="F26" s="13">
        <f t="shared" si="4"/>
        <v>1</v>
      </c>
      <c r="G26" s="13">
        <f t="shared" si="4"/>
        <v>1</v>
      </c>
      <c r="H26" s="13">
        <f t="shared" si="4"/>
        <v>1</v>
      </c>
      <c r="I26" s="13">
        <f t="shared" si="4"/>
        <v>0</v>
      </c>
      <c r="J26" s="13">
        <f t="shared" si="4"/>
        <v>0</v>
      </c>
      <c r="K26" s="13">
        <f t="shared" si="4"/>
        <v>0</v>
      </c>
      <c r="L26" s="13">
        <f t="shared" si="4"/>
        <v>0</v>
      </c>
      <c r="M26">
        <f t="shared" si="4"/>
        <v>0</v>
      </c>
    </row>
    <row r="27" spans="1:13" x14ac:dyDescent="0.25">
      <c r="A27" s="6" t="s">
        <v>827</v>
      </c>
      <c r="C27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>
        <f t="shared" ca="1" si="5"/>
        <v>0</v>
      </c>
    </row>
    <row r="28" spans="1:13" x14ac:dyDescent="0.25">
      <c r="A28" s="6"/>
      <c r="D28" s="13"/>
      <c r="E28" s="13"/>
      <c r="F28" s="13"/>
      <c r="G28" s="13"/>
      <c r="H28" s="13"/>
      <c r="I28" s="13"/>
      <c r="J28" s="13"/>
      <c r="K28" s="13"/>
      <c r="L28" s="13"/>
    </row>
    <row r="29" spans="1:13" x14ac:dyDescent="0.25">
      <c r="A29" s="7" t="s">
        <v>210</v>
      </c>
      <c r="C29" s="20">
        <v>1.4999999999999999E-2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</row>
    <row r="30" spans="1:13" x14ac:dyDescent="0.25">
      <c r="A30" s="7" t="s">
        <v>820</v>
      </c>
      <c r="C30" s="20">
        <f>C19*B29</f>
        <v>0</v>
      </c>
      <c r="D30" s="19">
        <f>D19*B29</f>
        <v>0</v>
      </c>
      <c r="E30" s="19">
        <f>E19*B29</f>
        <v>0</v>
      </c>
      <c r="F30" s="19">
        <f>F19*B29</f>
        <v>0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 s="19">
        <f>L19*B29</f>
        <v>0</v>
      </c>
      <c r="M30">
        <f>M19*B29</f>
        <v>0</v>
      </c>
    </row>
    <row r="31" spans="1:13" x14ac:dyDescent="0.25">
      <c r="A31" s="7" t="s">
        <v>831</v>
      </c>
      <c r="C31" s="20">
        <f t="shared" ref="C31:M31" si="6">C30-C29</f>
        <v>-1.4999999999999999E-2</v>
      </c>
      <c r="D31" s="19">
        <f t="shared" si="6"/>
        <v>0</v>
      </c>
      <c r="E31" s="19">
        <f t="shared" si="6"/>
        <v>0</v>
      </c>
      <c r="F31" s="19">
        <f t="shared" si="6"/>
        <v>0</v>
      </c>
      <c r="G31" s="19">
        <f t="shared" si="6"/>
        <v>0</v>
      </c>
      <c r="H31" s="19">
        <f t="shared" si="6"/>
        <v>0</v>
      </c>
      <c r="I31" s="19">
        <f t="shared" si="6"/>
        <v>0</v>
      </c>
      <c r="J31" s="19">
        <f t="shared" si="6"/>
        <v>0</v>
      </c>
      <c r="K31" s="19">
        <f t="shared" si="6"/>
        <v>0</v>
      </c>
      <c r="L31" s="19">
        <f t="shared" si="6"/>
        <v>0</v>
      </c>
      <c r="M31">
        <f t="shared" si="6"/>
        <v>0</v>
      </c>
    </row>
    <row r="32" spans="1:13" x14ac:dyDescent="0.25">
      <c r="A32" s="7"/>
      <c r="C32" s="20"/>
      <c r="D32" s="19"/>
      <c r="E32" s="19"/>
      <c r="F32" s="19"/>
      <c r="G32" s="19"/>
      <c r="H32" s="19"/>
      <c r="I32" s="19"/>
      <c r="J32" s="19"/>
      <c r="K32" s="19"/>
      <c r="L32" s="19"/>
    </row>
    <row r="33" spans="1:13" x14ac:dyDescent="0.25">
      <c r="A33" s="6" t="s">
        <v>108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0</v>
      </c>
      <c r="J33" s="13">
        <v>0</v>
      </c>
      <c r="K33" s="13">
        <v>0</v>
      </c>
      <c r="L33" s="13">
        <v>0</v>
      </c>
    </row>
    <row r="34" spans="1:13" x14ac:dyDescent="0.25">
      <c r="A34" s="6" t="s">
        <v>817</v>
      </c>
      <c r="C34" s="60">
        <f t="shared" ref="C34:M34" si="7">SUM(C25,C29)</f>
        <v>1.4999999999999999E-2</v>
      </c>
      <c r="D34" s="13">
        <f t="shared" si="7"/>
        <v>2</v>
      </c>
      <c r="E34" s="13">
        <f t="shared" si="7"/>
        <v>1</v>
      </c>
      <c r="F34" s="13">
        <f t="shared" si="7"/>
        <v>1</v>
      </c>
      <c r="G34" s="13">
        <f t="shared" si="7"/>
        <v>1</v>
      </c>
      <c r="H34" s="13">
        <f t="shared" si="7"/>
        <v>1</v>
      </c>
      <c r="I34" s="13">
        <f t="shared" si="7"/>
        <v>0</v>
      </c>
      <c r="J34" s="13">
        <f t="shared" si="7"/>
        <v>0</v>
      </c>
      <c r="K34" s="13">
        <f t="shared" si="7"/>
        <v>0</v>
      </c>
      <c r="L34" s="13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60">
        <f t="shared" ref="C35:M35" si="8">C34-C33</f>
        <v>1.4999999999999999E-2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>
        <f t="shared" si="8"/>
        <v>0</v>
      </c>
    </row>
    <row r="36" spans="1:13" x14ac:dyDescent="0.25">
      <c r="A36" s="6"/>
      <c r="D36" s="13"/>
      <c r="E36" s="13"/>
      <c r="F36" s="13"/>
      <c r="G36" s="13"/>
      <c r="H36" s="13"/>
      <c r="I36" s="13"/>
      <c r="J36" s="13"/>
      <c r="K36" s="13"/>
      <c r="L36" s="13"/>
    </row>
    <row r="37" spans="1:13" x14ac:dyDescent="0.25">
      <c r="A37" s="7" t="s">
        <v>212</v>
      </c>
      <c r="C37" s="20">
        <v>0.218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</row>
    <row r="38" spans="1:13" x14ac:dyDescent="0.25">
      <c r="A38" s="7" t="s">
        <v>821</v>
      </c>
      <c r="C38" s="20">
        <f>C33*B37</f>
        <v>0</v>
      </c>
      <c r="D38" s="19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 s="19">
        <f>L33*B37</f>
        <v>0</v>
      </c>
      <c r="M38">
        <f>M33*B37</f>
        <v>0</v>
      </c>
    </row>
    <row r="39" spans="1:13" x14ac:dyDescent="0.25">
      <c r="A39" s="7" t="s">
        <v>832</v>
      </c>
      <c r="C39" s="20">
        <f t="shared" ref="C39:M39" si="9">C38-C37</f>
        <v>-0.218</v>
      </c>
      <c r="D39" s="19">
        <f t="shared" si="9"/>
        <v>0</v>
      </c>
      <c r="E39" s="19">
        <f t="shared" si="9"/>
        <v>0</v>
      </c>
      <c r="F39" s="19">
        <f t="shared" si="9"/>
        <v>0</v>
      </c>
      <c r="G39" s="19">
        <f t="shared" si="9"/>
        <v>0</v>
      </c>
      <c r="H39" s="19">
        <f t="shared" si="9"/>
        <v>0</v>
      </c>
      <c r="I39" s="19">
        <f t="shared" si="9"/>
        <v>0</v>
      </c>
      <c r="J39" s="19">
        <f t="shared" si="9"/>
        <v>0</v>
      </c>
      <c r="K39" s="19">
        <f t="shared" si="9"/>
        <v>0</v>
      </c>
      <c r="L39" s="19">
        <f t="shared" si="9"/>
        <v>0</v>
      </c>
      <c r="M39">
        <f t="shared" si="9"/>
        <v>0</v>
      </c>
    </row>
    <row r="40" spans="1:13" x14ac:dyDescent="0.25">
      <c r="A40" s="7"/>
      <c r="C40" s="20"/>
      <c r="D40" s="19"/>
      <c r="E40" s="19"/>
      <c r="F40" s="19"/>
      <c r="G40" s="19"/>
      <c r="H40" s="19"/>
      <c r="I40" s="19"/>
      <c r="J40" s="19"/>
      <c r="K40" s="19"/>
      <c r="L40" s="19"/>
    </row>
    <row r="41" spans="1:13" x14ac:dyDescent="0.25">
      <c r="A41" s="6" t="s">
        <v>213</v>
      </c>
      <c r="D41" s="13">
        <v>1</v>
      </c>
      <c r="E41" s="13">
        <v>1</v>
      </c>
      <c r="F41" s="13">
        <v>1</v>
      </c>
      <c r="G41" s="13">
        <v>1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</row>
    <row r="42" spans="1:13" x14ac:dyDescent="0.25">
      <c r="A42" s="6" t="s">
        <v>819</v>
      </c>
      <c r="C42" s="60">
        <f t="shared" ref="C42:M42" si="10">C33-C37</f>
        <v>-0.218</v>
      </c>
      <c r="D42" s="13">
        <f t="shared" si="10"/>
        <v>2</v>
      </c>
      <c r="E42" s="13">
        <f t="shared" si="10"/>
        <v>1</v>
      </c>
      <c r="F42" s="13">
        <f t="shared" si="10"/>
        <v>1</v>
      </c>
      <c r="G42" s="13">
        <f t="shared" si="10"/>
        <v>1</v>
      </c>
      <c r="H42" s="13">
        <f t="shared" si="10"/>
        <v>1</v>
      </c>
      <c r="I42" s="13">
        <f t="shared" si="10"/>
        <v>0</v>
      </c>
      <c r="J42" s="13">
        <f t="shared" si="10"/>
        <v>0</v>
      </c>
      <c r="K42" s="13">
        <f t="shared" si="10"/>
        <v>0</v>
      </c>
      <c r="L42" s="13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60">
        <f t="shared" ref="C43:M43" si="11">C42-C41</f>
        <v>-0.218</v>
      </c>
      <c r="D43" s="13">
        <f t="shared" si="11"/>
        <v>1</v>
      </c>
      <c r="E43" s="13">
        <f t="shared" si="11"/>
        <v>0</v>
      </c>
      <c r="F43" s="13">
        <f t="shared" si="11"/>
        <v>0</v>
      </c>
      <c r="G43" s="13">
        <f t="shared" si="11"/>
        <v>0</v>
      </c>
      <c r="H43" s="13">
        <f t="shared" si="11"/>
        <v>1</v>
      </c>
      <c r="I43" s="13">
        <f t="shared" si="11"/>
        <v>0</v>
      </c>
      <c r="J43" s="13">
        <f t="shared" si="11"/>
        <v>0</v>
      </c>
      <c r="K43" s="13">
        <f t="shared" si="11"/>
        <v>0</v>
      </c>
      <c r="L43" s="13">
        <f t="shared" si="11"/>
        <v>0</v>
      </c>
      <c r="M43">
        <f t="shared" si="11"/>
        <v>0</v>
      </c>
    </row>
    <row r="44" spans="1:13" x14ac:dyDescent="0.25">
      <c r="A44" s="6"/>
      <c r="D44" s="13"/>
      <c r="E44" s="13"/>
      <c r="F44" s="13"/>
      <c r="G44" s="13"/>
      <c r="H44" s="13"/>
      <c r="I44" s="13"/>
      <c r="J44" s="13"/>
      <c r="K44" s="13"/>
      <c r="L44" s="13"/>
    </row>
    <row r="45" spans="1:13" x14ac:dyDescent="0.25">
      <c r="A45" s="7" t="s">
        <v>214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</row>
    <row r="46" spans="1:13" x14ac:dyDescent="0.25">
      <c r="A46" s="6" t="s">
        <v>215</v>
      </c>
      <c r="D46" s="13">
        <v>1</v>
      </c>
      <c r="E46" s="13">
        <v>1</v>
      </c>
      <c r="F46" s="13">
        <v>1</v>
      </c>
      <c r="G46" s="13">
        <v>1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</row>
    <row r="47" spans="1:13" x14ac:dyDescent="0.25">
      <c r="A47" s="6" t="s">
        <v>818</v>
      </c>
      <c r="C47">
        <f t="shared" ref="C47:M47" si="12">SUM(C41,C45)</f>
        <v>0</v>
      </c>
      <c r="D47" s="13">
        <f t="shared" si="12"/>
        <v>1</v>
      </c>
      <c r="E47" s="13">
        <f t="shared" si="12"/>
        <v>1</v>
      </c>
      <c r="F47" s="13">
        <f t="shared" si="12"/>
        <v>1</v>
      </c>
      <c r="G47" s="13">
        <f t="shared" si="12"/>
        <v>1</v>
      </c>
      <c r="H47" s="13">
        <f t="shared" si="12"/>
        <v>0</v>
      </c>
      <c r="I47" s="13">
        <f t="shared" si="12"/>
        <v>0</v>
      </c>
      <c r="J47" s="13">
        <f t="shared" si="12"/>
        <v>0</v>
      </c>
      <c r="K47" s="13">
        <f t="shared" si="12"/>
        <v>0</v>
      </c>
      <c r="L47" s="13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 s="13">
        <f t="shared" si="13"/>
        <v>0</v>
      </c>
      <c r="M48">
        <f t="shared" si="13"/>
        <v>0</v>
      </c>
    </row>
    <row r="49" spans="1:13" x14ac:dyDescent="0.25">
      <c r="A49" s="6"/>
      <c r="D49" s="13"/>
      <c r="E49" s="13"/>
      <c r="F49" s="13"/>
      <c r="G49" s="13"/>
      <c r="H49" s="13"/>
      <c r="I49" s="13"/>
      <c r="J49" s="13"/>
      <c r="K49" s="13"/>
      <c r="L49" s="13"/>
    </row>
    <row r="50" spans="1:13" x14ac:dyDescent="0.25">
      <c r="A50" s="7" t="s">
        <v>115</v>
      </c>
      <c r="C50" s="20">
        <v>0.11</v>
      </c>
      <c r="D50" s="23">
        <v>0.10340000000000001</v>
      </c>
      <c r="E50" s="23">
        <v>9.3100000000000002E-2</v>
      </c>
      <c r="F50" s="23">
        <v>8.3900000000000002E-2</v>
      </c>
      <c r="G50" s="23">
        <v>7.5600000000000001E-2</v>
      </c>
      <c r="H50" s="23">
        <v>6.8099999999999994E-2</v>
      </c>
      <c r="I50" s="23">
        <v>6.1400000000000003E-2</v>
      </c>
      <c r="J50" s="23">
        <v>5.5300000000000002E-2</v>
      </c>
      <c r="K50" s="23">
        <v>4.9799999999999997E-2</v>
      </c>
      <c r="L50" s="23">
        <v>4.4900000000000002E-2</v>
      </c>
    </row>
    <row r="51" spans="1:13" x14ac:dyDescent="0.25">
      <c r="A51" s="6" t="s">
        <v>116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</row>
    <row r="52" spans="1:13" x14ac:dyDescent="0.25">
      <c r="A52" s="6" t="s">
        <v>822</v>
      </c>
      <c r="C52">
        <f t="shared" ref="C52:M52" si="14">C46*C50</f>
        <v>0</v>
      </c>
      <c r="D52" s="13">
        <f t="shared" si="14"/>
        <v>0.10340000000000001</v>
      </c>
      <c r="E52" s="13">
        <f t="shared" si="14"/>
        <v>9.3100000000000002E-2</v>
      </c>
      <c r="F52" s="13">
        <f t="shared" si="14"/>
        <v>8.3900000000000002E-2</v>
      </c>
      <c r="G52" s="13">
        <f t="shared" si="14"/>
        <v>7.5600000000000001E-2</v>
      </c>
      <c r="H52" s="13">
        <f t="shared" si="14"/>
        <v>0</v>
      </c>
      <c r="I52" s="13">
        <f t="shared" si="14"/>
        <v>0</v>
      </c>
      <c r="J52" s="13">
        <f t="shared" si="14"/>
        <v>0</v>
      </c>
      <c r="K52" s="13">
        <f t="shared" si="14"/>
        <v>0</v>
      </c>
      <c r="L52" s="13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>
        <f t="shared" ref="C53:M53" si="15">C52-C51</f>
        <v>0</v>
      </c>
      <c r="D53" s="13">
        <f t="shared" si="15"/>
        <v>0.10340000000000001</v>
      </c>
      <c r="E53" s="13">
        <f t="shared" si="15"/>
        <v>9.3100000000000002E-2</v>
      </c>
      <c r="F53" s="13">
        <f t="shared" si="15"/>
        <v>8.3900000000000002E-2</v>
      </c>
      <c r="G53" s="13">
        <f t="shared" si="15"/>
        <v>7.5600000000000001E-2</v>
      </c>
      <c r="H53" s="13">
        <f t="shared" si="15"/>
        <v>0</v>
      </c>
      <c r="I53" s="13">
        <f t="shared" si="15"/>
        <v>0</v>
      </c>
      <c r="J53" s="13">
        <f t="shared" si="15"/>
        <v>0</v>
      </c>
      <c r="K53" s="13">
        <f t="shared" si="15"/>
        <v>0</v>
      </c>
      <c r="L53" s="13">
        <f t="shared" si="15"/>
        <v>0</v>
      </c>
      <c r="M53">
        <f t="shared" si="15"/>
        <v>0</v>
      </c>
    </row>
    <row r="54" spans="1:13" x14ac:dyDescent="0.25">
      <c r="A54" s="6"/>
      <c r="D54" s="13"/>
      <c r="E54" s="13"/>
      <c r="F54" s="13"/>
      <c r="G54" s="13"/>
      <c r="H54" s="13"/>
      <c r="I54" s="13"/>
      <c r="J54" s="13"/>
      <c r="K54" s="13"/>
      <c r="L54" s="13"/>
    </row>
    <row r="55" spans="1:13" x14ac:dyDescent="0.25">
      <c r="A55" s="9" t="s">
        <v>221</v>
      </c>
    </row>
    <row r="56" spans="1:13" x14ac:dyDescent="0.25">
      <c r="A56" s="7" t="s">
        <v>222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</row>
    <row r="57" spans="1:13" x14ac:dyDescent="0.25">
      <c r="A57" s="7"/>
      <c r="D57" s="20" t="e">
        <f t="shared" ref="D57:M57" si="16">(D8-C8)/C8</f>
        <v>#DIV/0!</v>
      </c>
      <c r="E57" s="20">
        <f t="shared" si="16"/>
        <v>3.2786885245901641E-2</v>
      </c>
      <c r="F57" s="20">
        <f t="shared" si="16"/>
        <v>3.1746031746031744E-2</v>
      </c>
      <c r="G57" s="20">
        <f t="shared" si="16"/>
        <v>3.0769230769230771E-2</v>
      </c>
      <c r="H57" s="20">
        <f t="shared" si="16"/>
        <v>2.9850746268656716E-2</v>
      </c>
      <c r="I57" s="20">
        <f t="shared" si="16"/>
        <v>2.8985507246376812E-2</v>
      </c>
      <c r="J57" s="20">
        <f t="shared" si="16"/>
        <v>2.8169014084507043E-2</v>
      </c>
      <c r="K57" s="20">
        <f t="shared" si="16"/>
        <v>2.7397260273972601E-2</v>
      </c>
      <c r="L57" s="20">
        <f t="shared" si="16"/>
        <v>2.6666666666666668E-2</v>
      </c>
      <c r="M57">
        <f t="shared" si="16"/>
        <v>-1</v>
      </c>
    </row>
    <row r="58" spans="1:13" x14ac:dyDescent="0.25">
      <c r="A58" s="7"/>
      <c r="C58">
        <f t="shared" ref="C58:M58" si="17">C57-C56</f>
        <v>0</v>
      </c>
      <c r="D58" s="20" t="e">
        <f t="shared" si="17"/>
        <v>#DIV/0!</v>
      </c>
      <c r="E58" s="20">
        <f t="shared" si="17"/>
        <v>2.7868852459016422E-3</v>
      </c>
      <c r="F58" s="20">
        <f t="shared" si="17"/>
        <v>1.7460317460317454E-3</v>
      </c>
      <c r="G58" s="20">
        <f t="shared" si="17"/>
        <v>7.6923076923077205E-4</v>
      </c>
      <c r="H58" s="20">
        <f t="shared" si="17"/>
        <v>-1.4925373134328304E-4</v>
      </c>
      <c r="I58" s="20">
        <f t="shared" si="17"/>
        <v>-1.0144927536231869E-3</v>
      </c>
      <c r="J58" s="20">
        <f t="shared" si="17"/>
        <v>-1.830985915492956E-3</v>
      </c>
      <c r="K58" s="20">
        <f t="shared" si="17"/>
        <v>-2.6027397260273977E-3</v>
      </c>
      <c r="L58" s="20">
        <f t="shared" si="17"/>
        <v>-3.3333333333333305E-3</v>
      </c>
      <c r="M58">
        <f t="shared" si="17"/>
        <v>-1</v>
      </c>
    </row>
    <row r="59" spans="1:13" x14ac:dyDescent="0.25">
      <c r="A59" s="7"/>
      <c r="D59" s="20"/>
      <c r="E59" s="20"/>
      <c r="F59" s="20"/>
      <c r="G59" s="20"/>
      <c r="H59" s="20"/>
      <c r="I59" s="20"/>
      <c r="J59" s="20"/>
      <c r="K59" s="20"/>
      <c r="L59" s="20"/>
    </row>
    <row r="60" spans="1:13" x14ac:dyDescent="0.25">
      <c r="A60" s="7" t="s">
        <v>224</v>
      </c>
      <c r="D60" s="20">
        <v>0.41899999999999998</v>
      </c>
      <c r="E60" s="20">
        <v>0.41899999999999998</v>
      </c>
      <c r="F60" s="20">
        <v>0.41899999999999998</v>
      </c>
      <c r="G60" s="20">
        <v>0.41899999999999998</v>
      </c>
      <c r="H60" s="20">
        <v>0.41899999999999998</v>
      </c>
      <c r="I60" s="20">
        <v>0.41899999999999998</v>
      </c>
      <c r="J60" s="20">
        <v>0.41899999999999998</v>
      </c>
      <c r="K60" s="20">
        <v>0.41899999999999998</v>
      </c>
      <c r="L60" s="20">
        <v>0.41899999999999998</v>
      </c>
    </row>
    <row r="61" spans="1:13" x14ac:dyDescent="0.25">
      <c r="A61" s="7" t="s">
        <v>823</v>
      </c>
      <c r="C61" t="e">
        <f t="shared" ref="C61:M61" si="18">C20/C19</f>
        <v>#DIV/0!</v>
      </c>
      <c r="D61" s="20">
        <f t="shared" si="18"/>
        <v>0.4</v>
      </c>
      <c r="E61" s="20">
        <f t="shared" si="18"/>
        <v>0.5</v>
      </c>
      <c r="F61" s="20">
        <f t="shared" si="18"/>
        <v>0.33333333333333331</v>
      </c>
      <c r="G61" s="20">
        <f t="shared" si="18"/>
        <v>0.5</v>
      </c>
      <c r="H61" s="20">
        <f t="shared" si="18"/>
        <v>0.5</v>
      </c>
      <c r="I61" s="20">
        <f t="shared" si="18"/>
        <v>0</v>
      </c>
      <c r="J61" s="20">
        <f t="shared" si="18"/>
        <v>0</v>
      </c>
      <c r="K61" s="20">
        <f t="shared" si="18"/>
        <v>0</v>
      </c>
      <c r="L61" s="20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t="e">
        <f t="shared" ref="C62:M62" si="19">C61-C60</f>
        <v>#DIV/0!</v>
      </c>
      <c r="D62" s="20">
        <f t="shared" si="19"/>
        <v>-1.8999999999999961E-2</v>
      </c>
      <c r="E62" s="20">
        <f t="shared" si="19"/>
        <v>8.1000000000000016E-2</v>
      </c>
      <c r="F62" s="20">
        <f t="shared" si="19"/>
        <v>-8.5666666666666669E-2</v>
      </c>
      <c r="G62" s="20">
        <f t="shared" si="19"/>
        <v>8.1000000000000016E-2</v>
      </c>
      <c r="H62" s="20">
        <f t="shared" si="19"/>
        <v>8.1000000000000016E-2</v>
      </c>
      <c r="I62" s="20">
        <f t="shared" si="19"/>
        <v>-0.41899999999999998</v>
      </c>
      <c r="J62" s="20">
        <f t="shared" si="19"/>
        <v>-0.41899999999999998</v>
      </c>
      <c r="K62" s="20">
        <f t="shared" si="19"/>
        <v>-0.41899999999999998</v>
      </c>
      <c r="L62" s="20" t="e">
        <f t="shared" si="19"/>
        <v>#DIV/0!</v>
      </c>
      <c r="M62" t="e">
        <f t="shared" si="19"/>
        <v>#DIV/0!</v>
      </c>
    </row>
    <row r="63" spans="1:13" x14ac:dyDescent="0.25">
      <c r="A63" s="7"/>
      <c r="D63" s="20"/>
      <c r="E63" s="20"/>
      <c r="F63" s="20"/>
      <c r="G63" s="20"/>
      <c r="H63" s="20"/>
      <c r="I63" s="20"/>
      <c r="J63" s="20"/>
      <c r="K63" s="20"/>
      <c r="L63" s="20"/>
    </row>
    <row r="64" spans="1:13" x14ac:dyDescent="0.25">
      <c r="A64" s="7" t="s">
        <v>107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</row>
    <row r="65" spans="1:13" x14ac:dyDescent="0.25">
      <c r="A65" s="7" t="s">
        <v>225</v>
      </c>
      <c r="D65" s="20">
        <v>0.37</v>
      </c>
      <c r="E65" s="20">
        <v>0.37</v>
      </c>
      <c r="F65" s="20">
        <v>0.37</v>
      </c>
      <c r="G65" s="20">
        <v>0.37</v>
      </c>
      <c r="H65" s="20">
        <v>0.37</v>
      </c>
      <c r="I65" s="20">
        <v>0.37</v>
      </c>
      <c r="J65" s="20">
        <v>0.37</v>
      </c>
      <c r="K65" s="20">
        <v>0.37</v>
      </c>
      <c r="L65" s="20">
        <v>0.37</v>
      </c>
    </row>
    <row r="66" spans="1:13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</row>
    <row r="67" spans="1:13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</row>
    <row r="68" spans="1:13" x14ac:dyDescent="0.25">
      <c r="A68" s="7"/>
      <c r="D68" s="20"/>
      <c r="E68" s="20"/>
      <c r="F68" s="20"/>
      <c r="G68" s="20"/>
      <c r="H68" s="20"/>
      <c r="I68" s="20"/>
      <c r="J68" s="20"/>
      <c r="K68" s="20"/>
      <c r="L68" s="20"/>
    </row>
    <row r="69" spans="1:13" x14ac:dyDescent="0.25">
      <c r="A69" s="7" t="s">
        <v>240</v>
      </c>
      <c r="D69" s="20">
        <v>3.2000000000000001E-2</v>
      </c>
      <c r="E69" s="20">
        <v>3.2000000000000001E-2</v>
      </c>
      <c r="F69" s="20">
        <v>3.2000000000000001E-2</v>
      </c>
      <c r="G69" s="20">
        <v>3.2000000000000001E-2</v>
      </c>
      <c r="H69" s="20">
        <v>3.2000000000000001E-2</v>
      </c>
      <c r="I69" s="20">
        <v>3.2000000000000001E-2</v>
      </c>
      <c r="J69" s="20">
        <v>3.2000000000000001E-2</v>
      </c>
      <c r="K69" s="20">
        <v>3.2000000000000001E-2</v>
      </c>
      <c r="L69" s="20">
        <v>3.2000000000000001E-2</v>
      </c>
    </row>
    <row r="70" spans="1:13" x14ac:dyDescent="0.25">
      <c r="A70" s="7" t="s">
        <v>824</v>
      </c>
      <c r="C70" t="e">
        <f t="shared" ref="C70:M70" si="20">-C45/C19</f>
        <v>#DIV/0!</v>
      </c>
      <c r="D70" s="20">
        <f t="shared" si="20"/>
        <v>0</v>
      </c>
      <c r="E70" s="20">
        <f t="shared" si="20"/>
        <v>0</v>
      </c>
      <c r="F70" s="20">
        <f t="shared" si="20"/>
        <v>0</v>
      </c>
      <c r="G70" s="20">
        <f t="shared" si="20"/>
        <v>0</v>
      </c>
      <c r="H70" s="20">
        <f t="shared" si="20"/>
        <v>0</v>
      </c>
      <c r="I70" s="20">
        <f t="shared" si="20"/>
        <v>0</v>
      </c>
      <c r="J70" s="20">
        <f t="shared" si="20"/>
        <v>0</v>
      </c>
      <c r="K70" s="20">
        <f t="shared" si="20"/>
        <v>0</v>
      </c>
      <c r="L70" s="2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t="e">
        <f t="shared" ref="C71:M71" si="21">C70-C69</f>
        <v>#DIV/0!</v>
      </c>
      <c r="D71" s="20">
        <f t="shared" si="21"/>
        <v>-3.2000000000000001E-2</v>
      </c>
      <c r="E71" s="20">
        <f t="shared" si="21"/>
        <v>-3.2000000000000001E-2</v>
      </c>
      <c r="F71" s="20">
        <f t="shared" si="21"/>
        <v>-3.2000000000000001E-2</v>
      </c>
      <c r="G71" s="20">
        <f t="shared" si="21"/>
        <v>-3.2000000000000001E-2</v>
      </c>
      <c r="H71" s="20">
        <f t="shared" si="21"/>
        <v>-3.2000000000000001E-2</v>
      </c>
      <c r="I71" s="20">
        <f t="shared" si="21"/>
        <v>-3.2000000000000001E-2</v>
      </c>
      <c r="J71" s="20">
        <f t="shared" si="21"/>
        <v>-3.2000000000000001E-2</v>
      </c>
      <c r="K71" s="20">
        <f t="shared" si="21"/>
        <v>-3.2000000000000001E-2</v>
      </c>
      <c r="L71" s="20" t="e">
        <f t="shared" si="21"/>
        <v>#DIV/0!</v>
      </c>
      <c r="M71" t="e">
        <f t="shared" si="21"/>
        <v>#DIV/0!</v>
      </c>
    </row>
    <row r="72" spans="1:13" x14ac:dyDescent="0.25">
      <c r="A72" s="7"/>
      <c r="D72" s="20"/>
      <c r="E72" s="20"/>
      <c r="F72" s="20"/>
      <c r="G72" s="20"/>
      <c r="H72" s="20"/>
      <c r="I72" s="20"/>
      <c r="J72" s="20"/>
      <c r="K72" s="20"/>
      <c r="L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N85"/>
  <sheetViews>
    <sheetView workbookViewId="0"/>
  </sheetViews>
  <sheetFormatPr defaultRowHeight="15" x14ac:dyDescent="0.25"/>
  <cols>
    <col min="1" max="1" width="62.7109375" bestFit="1" customWidth="1"/>
  </cols>
  <sheetData>
    <row r="2" spans="1:14" x14ac:dyDescent="0.25">
      <c r="A2" s="6" t="s">
        <v>1</v>
      </c>
      <c r="N2" s="7" t="s">
        <v>261</v>
      </c>
    </row>
    <row r="3" spans="1:14" x14ac:dyDescent="0.25">
      <c r="A3" s="6" t="s">
        <v>9</v>
      </c>
    </row>
    <row r="4" spans="1:14" x14ac:dyDescent="0.25">
      <c r="A4" s="6" t="s">
        <v>262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6</v>
      </c>
      <c r="E8" s="10">
        <v>26</v>
      </c>
      <c r="F8" s="10">
        <v>27</v>
      </c>
      <c r="G8" s="10">
        <v>28</v>
      </c>
      <c r="H8" s="10">
        <v>30</v>
      </c>
      <c r="I8" s="10">
        <v>32</v>
      </c>
      <c r="J8" s="10">
        <v>34</v>
      </c>
      <c r="K8" s="10">
        <v>36</v>
      </c>
      <c r="L8" s="10">
        <v>37</v>
      </c>
      <c r="M8" s="10">
        <v>38</v>
      </c>
      <c r="N8" s="10">
        <v>39</v>
      </c>
    </row>
    <row r="9" spans="1:14" x14ac:dyDescent="0.25">
      <c r="A9" s="7" t="s">
        <v>204</v>
      </c>
      <c r="D9" s="19">
        <v>-4</v>
      </c>
      <c r="E9" s="19">
        <v>-3</v>
      </c>
      <c r="F9" s="19">
        <v>0</v>
      </c>
    </row>
    <row r="10" spans="1:14" x14ac:dyDescent="0.25">
      <c r="A10" s="7" t="s">
        <v>253</v>
      </c>
      <c r="D10" s="10">
        <v>2</v>
      </c>
      <c r="E10" s="10">
        <v>23</v>
      </c>
      <c r="F10" s="10">
        <v>27</v>
      </c>
      <c r="G10" s="10">
        <v>28</v>
      </c>
      <c r="H10" s="10">
        <v>30</v>
      </c>
      <c r="I10" s="10">
        <v>32</v>
      </c>
      <c r="J10" s="10">
        <v>34</v>
      </c>
      <c r="K10" s="10">
        <v>36</v>
      </c>
      <c r="L10" s="10">
        <v>37</v>
      </c>
      <c r="M10" s="10">
        <v>38</v>
      </c>
      <c r="N10" s="10">
        <v>39</v>
      </c>
    </row>
    <row r="11" spans="1:14" x14ac:dyDescent="0.25">
      <c r="A11" s="7" t="s">
        <v>814</v>
      </c>
      <c r="C11">
        <f t="shared" ref="C11:M11" si="0">SUM(C8,C9)</f>
        <v>0</v>
      </c>
      <c r="D11" s="10">
        <f t="shared" si="0"/>
        <v>2</v>
      </c>
      <c r="E11" s="10">
        <f t="shared" si="0"/>
        <v>23</v>
      </c>
      <c r="F11" s="10">
        <f t="shared" si="0"/>
        <v>27</v>
      </c>
      <c r="G11" s="10">
        <f t="shared" si="0"/>
        <v>28</v>
      </c>
      <c r="H11" s="10">
        <f t="shared" si="0"/>
        <v>30</v>
      </c>
      <c r="I11" s="10">
        <f t="shared" si="0"/>
        <v>32</v>
      </c>
      <c r="J11" s="10">
        <f t="shared" si="0"/>
        <v>34</v>
      </c>
      <c r="K11" s="10">
        <f t="shared" si="0"/>
        <v>36</v>
      </c>
      <c r="L11" s="10">
        <f t="shared" si="0"/>
        <v>37</v>
      </c>
      <c r="M11" s="10">
        <f t="shared" si="0"/>
        <v>38</v>
      </c>
      <c r="N11" s="10"/>
    </row>
    <row r="12" spans="1:14" x14ac:dyDescent="0.25">
      <c r="A12" s="7" t="s">
        <v>825</v>
      </c>
      <c r="C12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  <c r="N12" s="10"/>
    </row>
    <row r="13" spans="1:14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5">
      <c r="A14" s="7" t="s">
        <v>206</v>
      </c>
      <c r="C14" s="7" t="s">
        <v>254</v>
      </c>
      <c r="D14" s="20">
        <v>1</v>
      </c>
      <c r="E14" s="20">
        <v>0.999</v>
      </c>
      <c r="F14" s="20">
        <v>0.996</v>
      </c>
      <c r="G14" s="20">
        <v>0.98799999999999999</v>
      </c>
      <c r="H14" s="20">
        <v>0.97299999999999998</v>
      </c>
      <c r="I14" s="20">
        <v>0.95099999999999996</v>
      </c>
      <c r="J14" s="20">
        <v>0.92100000000000004</v>
      </c>
      <c r="K14" s="20">
        <v>0.88300000000000001</v>
      </c>
      <c r="L14" s="20">
        <v>0.83699999999999997</v>
      </c>
      <c r="M14" s="20">
        <v>0.78500000000000003</v>
      </c>
      <c r="N14" s="20">
        <v>0.72599999999999998</v>
      </c>
    </row>
    <row r="15" spans="1:14" x14ac:dyDescent="0.25">
      <c r="A15" s="7" t="s">
        <v>208</v>
      </c>
      <c r="D15" s="10">
        <v>2</v>
      </c>
      <c r="E15" s="10">
        <v>23</v>
      </c>
      <c r="F15" s="10">
        <v>27</v>
      </c>
      <c r="G15" s="10">
        <v>28</v>
      </c>
      <c r="H15" s="10">
        <v>29</v>
      </c>
      <c r="I15" s="10">
        <v>30</v>
      </c>
      <c r="J15" s="10">
        <v>31</v>
      </c>
      <c r="K15" s="10">
        <v>32</v>
      </c>
      <c r="L15" s="10">
        <v>31</v>
      </c>
      <c r="M15" s="10">
        <v>30</v>
      </c>
      <c r="N15" s="10">
        <v>28</v>
      </c>
    </row>
    <row r="16" spans="1:14" x14ac:dyDescent="0.25">
      <c r="A16" s="7" t="s">
        <v>815</v>
      </c>
      <c r="C16" s="59">
        <f t="shared" ref="C16:M16" si="2">SUM(C10,C14)</f>
        <v>0</v>
      </c>
      <c r="D16" s="10">
        <f t="shared" si="2"/>
        <v>3</v>
      </c>
      <c r="E16" s="10">
        <f t="shared" si="2"/>
        <v>23.998999999999999</v>
      </c>
      <c r="F16" s="10">
        <f t="shared" si="2"/>
        <v>27.995999999999999</v>
      </c>
      <c r="G16" s="10">
        <f t="shared" si="2"/>
        <v>28.988</v>
      </c>
      <c r="H16" s="10">
        <f t="shared" si="2"/>
        <v>30.972999999999999</v>
      </c>
      <c r="I16" s="10">
        <f t="shared" si="2"/>
        <v>32.951000000000001</v>
      </c>
      <c r="J16" s="10">
        <f t="shared" si="2"/>
        <v>34.920999999999999</v>
      </c>
      <c r="K16" s="10">
        <f t="shared" si="2"/>
        <v>36.883000000000003</v>
      </c>
      <c r="L16" s="10">
        <f t="shared" si="2"/>
        <v>37.837000000000003</v>
      </c>
      <c r="M16" s="10">
        <f t="shared" si="2"/>
        <v>38.784999999999997</v>
      </c>
      <c r="N16" s="10"/>
    </row>
    <row r="17" spans="1:14" x14ac:dyDescent="0.25">
      <c r="A17" s="7" t="s">
        <v>826</v>
      </c>
      <c r="C17" s="59">
        <f t="shared" ref="C17:M17" si="3">C16-C15</f>
        <v>0</v>
      </c>
      <c r="D17" s="10">
        <f t="shared" si="3"/>
        <v>1</v>
      </c>
      <c r="E17" s="10">
        <f t="shared" si="3"/>
        <v>0.99899999999999878</v>
      </c>
      <c r="F17" s="10">
        <f t="shared" si="3"/>
        <v>0.99599999999999866</v>
      </c>
      <c r="G17" s="10">
        <f t="shared" si="3"/>
        <v>0.98799999999999955</v>
      </c>
      <c r="H17" s="10">
        <f t="shared" si="3"/>
        <v>1.972999999999999</v>
      </c>
      <c r="I17" s="10">
        <f t="shared" si="3"/>
        <v>2.9510000000000005</v>
      </c>
      <c r="J17" s="10">
        <f t="shared" si="3"/>
        <v>3.9209999999999994</v>
      </c>
      <c r="K17" s="10">
        <f t="shared" si="3"/>
        <v>4.8830000000000027</v>
      </c>
      <c r="L17" s="10">
        <f t="shared" si="3"/>
        <v>6.8370000000000033</v>
      </c>
      <c r="M17" s="10">
        <f t="shared" si="3"/>
        <v>8.7849999999999966</v>
      </c>
      <c r="N17" s="10"/>
    </row>
    <row r="18" spans="1:14" x14ac:dyDescent="0.25">
      <c r="A18" s="7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1:14" x14ac:dyDescent="0.25">
      <c r="A19" s="6" t="s">
        <v>205</v>
      </c>
      <c r="D19" s="13">
        <v>2</v>
      </c>
      <c r="E19" s="13">
        <v>23</v>
      </c>
      <c r="F19" s="13">
        <v>27</v>
      </c>
      <c r="G19" s="13">
        <v>28</v>
      </c>
      <c r="H19" s="13">
        <v>29</v>
      </c>
      <c r="I19" s="13">
        <v>30</v>
      </c>
      <c r="J19" s="13">
        <v>31</v>
      </c>
      <c r="K19" s="13">
        <v>32</v>
      </c>
      <c r="L19" s="13">
        <v>31</v>
      </c>
      <c r="M19" s="13">
        <v>30</v>
      </c>
      <c r="N19" s="13">
        <v>28</v>
      </c>
    </row>
    <row r="20" spans="1:14" x14ac:dyDescent="0.25">
      <c r="A20" s="6" t="s">
        <v>106</v>
      </c>
      <c r="D20" s="13">
        <v>1</v>
      </c>
      <c r="E20" s="13">
        <v>11</v>
      </c>
      <c r="F20" s="13">
        <v>14</v>
      </c>
      <c r="G20" s="13">
        <v>15</v>
      </c>
      <c r="H20" s="13">
        <v>16</v>
      </c>
      <c r="I20" s="13">
        <v>17</v>
      </c>
      <c r="J20" s="13">
        <v>17</v>
      </c>
      <c r="K20" s="13">
        <v>18</v>
      </c>
      <c r="L20" s="13">
        <v>18</v>
      </c>
      <c r="M20" s="13">
        <v>17</v>
      </c>
      <c r="N20" s="13">
        <v>16</v>
      </c>
    </row>
    <row r="21" spans="1:14" x14ac:dyDescent="0.25">
      <c r="A21" s="7" t="s">
        <v>107</v>
      </c>
      <c r="D21" s="19">
        <v>0</v>
      </c>
      <c r="E21" s="19">
        <v>-1</v>
      </c>
      <c r="F21" s="19">
        <v>-1</v>
      </c>
      <c r="G21" s="19">
        <v>-1</v>
      </c>
      <c r="H21" s="19">
        <v>-2</v>
      </c>
      <c r="I21" s="19">
        <v>-2</v>
      </c>
      <c r="J21" s="19">
        <v>-2</v>
      </c>
      <c r="K21" s="19">
        <v>-2</v>
      </c>
      <c r="L21" s="19">
        <v>-2</v>
      </c>
      <c r="M21" s="19">
        <v>-1</v>
      </c>
      <c r="N21" s="19">
        <v>-1</v>
      </c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7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</row>
    <row r="24" spans="1:14" x14ac:dyDescent="0.25">
      <c r="A24" s="7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5" spans="1:14" x14ac:dyDescent="0.25">
      <c r="A25" s="6" t="s">
        <v>211</v>
      </c>
      <c r="D25" s="13">
        <v>1</v>
      </c>
      <c r="E25" s="13">
        <v>10</v>
      </c>
      <c r="F25" s="13">
        <v>13</v>
      </c>
      <c r="G25" s="13">
        <v>14</v>
      </c>
      <c r="H25" s="13">
        <v>14</v>
      </c>
      <c r="I25" s="13">
        <v>15</v>
      </c>
      <c r="J25" s="13">
        <v>16</v>
      </c>
      <c r="K25" s="13">
        <v>17</v>
      </c>
      <c r="L25" s="13">
        <v>16</v>
      </c>
      <c r="M25" s="13">
        <v>16</v>
      </c>
      <c r="N25" s="13">
        <v>15</v>
      </c>
    </row>
    <row r="26" spans="1:14" x14ac:dyDescent="0.25">
      <c r="A26" s="6" t="s">
        <v>816</v>
      </c>
      <c r="C26">
        <f t="shared" ref="C26:M26" si="4">SUM(C20,C21)</f>
        <v>0</v>
      </c>
      <c r="D26" s="13">
        <f t="shared" si="4"/>
        <v>1</v>
      </c>
      <c r="E26" s="13">
        <f t="shared" si="4"/>
        <v>10</v>
      </c>
      <c r="F26" s="13">
        <f t="shared" si="4"/>
        <v>13</v>
      </c>
      <c r="G26" s="13">
        <f t="shared" si="4"/>
        <v>14</v>
      </c>
      <c r="H26" s="13">
        <f t="shared" si="4"/>
        <v>14</v>
      </c>
      <c r="I26" s="13">
        <f t="shared" si="4"/>
        <v>15</v>
      </c>
      <c r="J26" s="13">
        <f t="shared" si="4"/>
        <v>15</v>
      </c>
      <c r="K26" s="13">
        <f t="shared" si="4"/>
        <v>16</v>
      </c>
      <c r="L26" s="13">
        <f t="shared" si="4"/>
        <v>16</v>
      </c>
      <c r="M26" s="13">
        <f t="shared" si="4"/>
        <v>16</v>
      </c>
      <c r="N26" s="13"/>
    </row>
    <row r="27" spans="1:14" x14ac:dyDescent="0.25">
      <c r="A27" s="6" t="s">
        <v>827</v>
      </c>
      <c r="C27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  <c r="N27" s="13"/>
    </row>
    <row r="28" spans="1:14" x14ac:dyDescent="0.25">
      <c r="A28" s="6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7" t="s">
        <v>210</v>
      </c>
      <c r="C29" s="20">
        <v>1.4999999999999999E-2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</row>
    <row r="30" spans="1:14" x14ac:dyDescent="0.25">
      <c r="A30" s="7" t="s">
        <v>820</v>
      </c>
      <c r="C30" s="20">
        <f>C19*B29</f>
        <v>0</v>
      </c>
      <c r="D30" s="19">
        <f>D19*B29</f>
        <v>0</v>
      </c>
      <c r="E30" s="19">
        <f>E19*B29</f>
        <v>0</v>
      </c>
      <c r="F30" s="19">
        <f>F19*B29</f>
        <v>0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 s="19">
        <f>L19*B29</f>
        <v>0</v>
      </c>
      <c r="M30" s="19">
        <f>M19*B29</f>
        <v>0</v>
      </c>
      <c r="N30" s="19"/>
    </row>
    <row r="31" spans="1:14" x14ac:dyDescent="0.25">
      <c r="A31" s="7" t="s">
        <v>831</v>
      </c>
      <c r="C31" s="20">
        <f t="shared" ref="C31:M31" si="6">C30-C29</f>
        <v>-1.4999999999999999E-2</v>
      </c>
      <c r="D31" s="19">
        <f t="shared" si="6"/>
        <v>0</v>
      </c>
      <c r="E31" s="19">
        <f t="shared" si="6"/>
        <v>0</v>
      </c>
      <c r="F31" s="19">
        <f t="shared" si="6"/>
        <v>0</v>
      </c>
      <c r="G31" s="19">
        <f t="shared" si="6"/>
        <v>0</v>
      </c>
      <c r="H31" s="19">
        <f t="shared" si="6"/>
        <v>0</v>
      </c>
      <c r="I31" s="19">
        <f t="shared" si="6"/>
        <v>0</v>
      </c>
      <c r="J31" s="19">
        <f t="shared" si="6"/>
        <v>0</v>
      </c>
      <c r="K31" s="19">
        <f t="shared" si="6"/>
        <v>0</v>
      </c>
      <c r="L31" s="19">
        <f t="shared" si="6"/>
        <v>0</v>
      </c>
      <c r="M31" s="19">
        <f t="shared" si="6"/>
        <v>0</v>
      </c>
      <c r="N31" s="19"/>
    </row>
    <row r="32" spans="1:14" x14ac:dyDescent="0.25">
      <c r="A32" s="7"/>
      <c r="C32" s="20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</row>
    <row r="33" spans="1:14" x14ac:dyDescent="0.25">
      <c r="A33" s="6" t="s">
        <v>108</v>
      </c>
      <c r="D33" s="13">
        <v>1</v>
      </c>
      <c r="E33" s="13">
        <v>10</v>
      </c>
      <c r="F33" s="13">
        <v>13</v>
      </c>
      <c r="G33" s="13">
        <v>13</v>
      </c>
      <c r="H33" s="13">
        <v>14</v>
      </c>
      <c r="I33" s="13">
        <v>14</v>
      </c>
      <c r="J33" s="13">
        <v>15</v>
      </c>
      <c r="K33" s="13">
        <v>16</v>
      </c>
      <c r="L33" s="13">
        <v>16</v>
      </c>
      <c r="M33" s="13">
        <v>15</v>
      </c>
      <c r="N33" s="13">
        <v>14</v>
      </c>
    </row>
    <row r="34" spans="1:14" x14ac:dyDescent="0.25">
      <c r="A34" s="6" t="s">
        <v>817</v>
      </c>
      <c r="C34" s="60">
        <f t="shared" ref="C34:M34" si="7">SUM(C25,C29)</f>
        <v>1.4999999999999999E-2</v>
      </c>
      <c r="D34" s="13">
        <f t="shared" si="7"/>
        <v>1</v>
      </c>
      <c r="E34" s="13">
        <f t="shared" si="7"/>
        <v>10</v>
      </c>
      <c r="F34" s="13">
        <f t="shared" si="7"/>
        <v>13</v>
      </c>
      <c r="G34" s="13">
        <f t="shared" si="7"/>
        <v>14</v>
      </c>
      <c r="H34" s="13">
        <f t="shared" si="7"/>
        <v>14</v>
      </c>
      <c r="I34" s="13">
        <f t="shared" si="7"/>
        <v>15</v>
      </c>
      <c r="J34" s="13">
        <f t="shared" si="7"/>
        <v>16</v>
      </c>
      <c r="K34" s="13">
        <f t="shared" si="7"/>
        <v>17</v>
      </c>
      <c r="L34" s="13">
        <f t="shared" si="7"/>
        <v>16</v>
      </c>
      <c r="M34" s="13">
        <f t="shared" si="7"/>
        <v>16</v>
      </c>
      <c r="N34" s="13"/>
    </row>
    <row r="35" spans="1:14" x14ac:dyDescent="0.25">
      <c r="A35" s="6" t="s">
        <v>828</v>
      </c>
      <c r="C35" s="60">
        <f t="shared" ref="C35:M35" si="8">C34-C33</f>
        <v>1.4999999999999999E-2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1</v>
      </c>
      <c r="H35" s="13">
        <f t="shared" si="8"/>
        <v>0</v>
      </c>
      <c r="I35" s="13">
        <f t="shared" si="8"/>
        <v>1</v>
      </c>
      <c r="J35" s="13">
        <f t="shared" si="8"/>
        <v>1</v>
      </c>
      <c r="K35" s="13">
        <f t="shared" si="8"/>
        <v>1</v>
      </c>
      <c r="L35" s="13">
        <f t="shared" si="8"/>
        <v>0</v>
      </c>
      <c r="M35" s="13">
        <f t="shared" si="8"/>
        <v>1</v>
      </c>
      <c r="N35" s="13"/>
    </row>
    <row r="36" spans="1:14" x14ac:dyDescent="0.25">
      <c r="A36" s="6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7" t="s">
        <v>212</v>
      </c>
      <c r="C37" s="20">
        <v>0.218</v>
      </c>
      <c r="D37" s="31">
        <v>0</v>
      </c>
      <c r="E37" s="19">
        <v>-2</v>
      </c>
      <c r="F37" s="19">
        <v>-3</v>
      </c>
      <c r="G37" s="19">
        <v>-3</v>
      </c>
      <c r="H37" s="19">
        <v>-3</v>
      </c>
      <c r="I37" s="19">
        <v>-3</v>
      </c>
      <c r="J37" s="19">
        <v>-3</v>
      </c>
      <c r="K37" s="19">
        <v>-4</v>
      </c>
      <c r="L37" s="19">
        <v>-3</v>
      </c>
      <c r="M37" s="19">
        <v>-3</v>
      </c>
      <c r="N37" s="19">
        <v>-3</v>
      </c>
    </row>
    <row r="38" spans="1:14" x14ac:dyDescent="0.25">
      <c r="A38" s="7" t="s">
        <v>821</v>
      </c>
      <c r="C38" s="20">
        <f>C33*B37</f>
        <v>0</v>
      </c>
      <c r="D38" s="31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 s="19">
        <f>L33*B37</f>
        <v>0</v>
      </c>
      <c r="M38" s="19">
        <f>M33*B37</f>
        <v>0</v>
      </c>
      <c r="N38" s="19"/>
    </row>
    <row r="39" spans="1:14" x14ac:dyDescent="0.25">
      <c r="A39" s="7" t="s">
        <v>832</v>
      </c>
      <c r="C39" s="20">
        <f t="shared" ref="C39:M39" si="9">C38-C37</f>
        <v>-0.218</v>
      </c>
      <c r="D39" s="31">
        <f t="shared" si="9"/>
        <v>0</v>
      </c>
      <c r="E39" s="19">
        <f t="shared" si="9"/>
        <v>2</v>
      </c>
      <c r="F39" s="19">
        <f t="shared" si="9"/>
        <v>3</v>
      </c>
      <c r="G39" s="19">
        <f t="shared" si="9"/>
        <v>3</v>
      </c>
      <c r="H39" s="19">
        <f t="shared" si="9"/>
        <v>3</v>
      </c>
      <c r="I39" s="19">
        <f t="shared" si="9"/>
        <v>3</v>
      </c>
      <c r="J39" s="19">
        <f t="shared" si="9"/>
        <v>3</v>
      </c>
      <c r="K39" s="19">
        <f t="shared" si="9"/>
        <v>4</v>
      </c>
      <c r="L39" s="19">
        <f t="shared" si="9"/>
        <v>3</v>
      </c>
      <c r="M39" s="19">
        <f t="shared" si="9"/>
        <v>3</v>
      </c>
      <c r="N39" s="19"/>
    </row>
    <row r="40" spans="1:14" x14ac:dyDescent="0.25">
      <c r="A40" s="7"/>
      <c r="C40" s="20"/>
      <c r="D40" s="31"/>
      <c r="E40" s="19"/>
      <c r="F40" s="19"/>
      <c r="G40" s="19"/>
      <c r="H40" s="19"/>
      <c r="I40" s="19"/>
      <c r="J40" s="19"/>
      <c r="K40" s="19"/>
      <c r="L40" s="19"/>
      <c r="M40" s="19"/>
      <c r="N40" s="19"/>
    </row>
    <row r="41" spans="1:14" x14ac:dyDescent="0.25">
      <c r="A41" s="6" t="s">
        <v>213</v>
      </c>
      <c r="D41" s="13">
        <v>1</v>
      </c>
      <c r="E41" s="13">
        <v>8</v>
      </c>
      <c r="F41" s="13">
        <v>10</v>
      </c>
      <c r="G41" s="13">
        <v>10</v>
      </c>
      <c r="H41" s="13">
        <v>11</v>
      </c>
      <c r="I41" s="13">
        <v>11</v>
      </c>
      <c r="J41" s="13">
        <v>12</v>
      </c>
      <c r="K41" s="13">
        <v>13</v>
      </c>
      <c r="L41" s="13">
        <v>12</v>
      </c>
      <c r="M41" s="13">
        <v>12</v>
      </c>
      <c r="N41" s="13">
        <v>11</v>
      </c>
    </row>
    <row r="42" spans="1:14" x14ac:dyDescent="0.25">
      <c r="A42" s="6" t="s">
        <v>819</v>
      </c>
      <c r="C42" s="60">
        <f t="shared" ref="C42:M42" si="10">C33-C37</f>
        <v>-0.218</v>
      </c>
      <c r="D42" s="13">
        <f t="shared" si="10"/>
        <v>1</v>
      </c>
      <c r="E42" s="13">
        <f t="shared" si="10"/>
        <v>12</v>
      </c>
      <c r="F42" s="13">
        <f t="shared" si="10"/>
        <v>16</v>
      </c>
      <c r="G42" s="13">
        <f t="shared" si="10"/>
        <v>16</v>
      </c>
      <c r="H42" s="13">
        <f t="shared" si="10"/>
        <v>17</v>
      </c>
      <c r="I42" s="13">
        <f t="shared" si="10"/>
        <v>17</v>
      </c>
      <c r="J42" s="13">
        <f t="shared" si="10"/>
        <v>18</v>
      </c>
      <c r="K42" s="13">
        <f t="shared" si="10"/>
        <v>20</v>
      </c>
      <c r="L42" s="13">
        <f t="shared" si="10"/>
        <v>19</v>
      </c>
      <c r="M42" s="13">
        <f t="shared" si="10"/>
        <v>18</v>
      </c>
      <c r="N42" s="13"/>
    </row>
    <row r="43" spans="1:14" x14ac:dyDescent="0.25">
      <c r="A43" s="6" t="s">
        <v>830</v>
      </c>
      <c r="C43" s="60">
        <f t="shared" ref="C43:M43" si="11">C42-C41</f>
        <v>-0.218</v>
      </c>
      <c r="D43" s="13">
        <f t="shared" si="11"/>
        <v>0</v>
      </c>
      <c r="E43" s="13">
        <f t="shared" si="11"/>
        <v>4</v>
      </c>
      <c r="F43" s="13">
        <f t="shared" si="11"/>
        <v>6</v>
      </c>
      <c r="G43" s="13">
        <f t="shared" si="11"/>
        <v>6</v>
      </c>
      <c r="H43" s="13">
        <f t="shared" si="11"/>
        <v>6</v>
      </c>
      <c r="I43" s="13">
        <f t="shared" si="11"/>
        <v>6</v>
      </c>
      <c r="J43" s="13">
        <f t="shared" si="11"/>
        <v>6</v>
      </c>
      <c r="K43" s="13">
        <f t="shared" si="11"/>
        <v>7</v>
      </c>
      <c r="L43" s="13">
        <f t="shared" si="11"/>
        <v>7</v>
      </c>
      <c r="M43" s="13">
        <f t="shared" si="11"/>
        <v>6</v>
      </c>
      <c r="N43" s="13"/>
    </row>
    <row r="44" spans="1:14" x14ac:dyDescent="0.25">
      <c r="A44" s="6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7" t="s">
        <v>214</v>
      </c>
      <c r="D45" s="19">
        <v>0</v>
      </c>
      <c r="E45" s="19">
        <v>-1</v>
      </c>
      <c r="F45" s="19">
        <v>-1</v>
      </c>
      <c r="G45" s="19">
        <v>-1</v>
      </c>
      <c r="H45" s="19">
        <v>-1</v>
      </c>
      <c r="I45" s="19">
        <v>-1</v>
      </c>
      <c r="J45" s="19">
        <v>-1</v>
      </c>
      <c r="K45" s="19">
        <v>-1</v>
      </c>
      <c r="L45" s="19">
        <v>-1</v>
      </c>
      <c r="M45" s="19">
        <v>-1</v>
      </c>
      <c r="N45" s="19">
        <v>-1</v>
      </c>
    </row>
    <row r="46" spans="1:14" x14ac:dyDescent="0.25">
      <c r="A46" s="6" t="s">
        <v>215</v>
      </c>
      <c r="D46" s="13">
        <v>1</v>
      </c>
      <c r="E46" s="13">
        <v>7</v>
      </c>
      <c r="F46" s="13">
        <v>9</v>
      </c>
      <c r="G46" s="13">
        <v>9</v>
      </c>
      <c r="H46" s="13">
        <v>10</v>
      </c>
      <c r="I46" s="13">
        <v>10</v>
      </c>
      <c r="J46" s="13">
        <v>11</v>
      </c>
      <c r="K46" s="13">
        <v>11</v>
      </c>
      <c r="L46" s="13">
        <v>11</v>
      </c>
      <c r="M46" s="13">
        <v>11</v>
      </c>
      <c r="N46" s="13">
        <v>10</v>
      </c>
    </row>
    <row r="47" spans="1:14" x14ac:dyDescent="0.25">
      <c r="A47" s="6" t="s">
        <v>818</v>
      </c>
      <c r="C47">
        <f t="shared" ref="C47:M47" si="12">SUM(C41,C45)</f>
        <v>0</v>
      </c>
      <c r="D47" s="13">
        <f t="shared" si="12"/>
        <v>1</v>
      </c>
      <c r="E47" s="13">
        <f t="shared" si="12"/>
        <v>7</v>
      </c>
      <c r="F47" s="13">
        <f t="shared" si="12"/>
        <v>9</v>
      </c>
      <c r="G47" s="13">
        <f t="shared" si="12"/>
        <v>9</v>
      </c>
      <c r="H47" s="13">
        <f t="shared" si="12"/>
        <v>10</v>
      </c>
      <c r="I47" s="13">
        <f t="shared" si="12"/>
        <v>10</v>
      </c>
      <c r="J47" s="13">
        <f t="shared" si="12"/>
        <v>11</v>
      </c>
      <c r="K47" s="13">
        <f t="shared" si="12"/>
        <v>12</v>
      </c>
      <c r="L47" s="13">
        <f t="shared" si="12"/>
        <v>11</v>
      </c>
      <c r="M47" s="13">
        <f t="shared" si="12"/>
        <v>11</v>
      </c>
      <c r="N47" s="13"/>
    </row>
    <row r="48" spans="1:14" x14ac:dyDescent="0.25">
      <c r="A48" s="6" t="s">
        <v>829</v>
      </c>
      <c r="C48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1</v>
      </c>
      <c r="L48" s="13">
        <f t="shared" si="13"/>
        <v>0</v>
      </c>
      <c r="M48" s="13">
        <f t="shared" si="13"/>
        <v>0</v>
      </c>
      <c r="N48" s="13"/>
    </row>
    <row r="49" spans="1:14" x14ac:dyDescent="0.25">
      <c r="A49" s="6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7" t="s">
        <v>115</v>
      </c>
      <c r="C50" s="20">
        <v>0.11</v>
      </c>
      <c r="D50" s="23">
        <v>0.98740000000000006</v>
      </c>
      <c r="E50" s="23">
        <v>0.92530000000000001</v>
      </c>
      <c r="F50" s="23">
        <v>0.83360000000000001</v>
      </c>
      <c r="G50" s="24">
        <v>0.751</v>
      </c>
      <c r="H50" s="23">
        <v>0.67659999999999998</v>
      </c>
      <c r="I50" s="23">
        <v>0.60950000000000004</v>
      </c>
      <c r="J50" s="23">
        <v>0.54910000000000003</v>
      </c>
      <c r="K50" s="23">
        <v>0.49469999999999997</v>
      </c>
      <c r="L50" s="23">
        <v>0.44569999999999999</v>
      </c>
      <c r="M50" s="23">
        <v>0.40150000000000002</v>
      </c>
      <c r="N50" s="23">
        <v>0.36170000000000002</v>
      </c>
    </row>
    <row r="51" spans="1:14" x14ac:dyDescent="0.25">
      <c r="A51" s="6" t="s">
        <v>116</v>
      </c>
      <c r="D51" s="13">
        <v>1</v>
      </c>
      <c r="E51" s="13">
        <v>7</v>
      </c>
      <c r="F51" s="13">
        <v>7</v>
      </c>
      <c r="G51" s="13">
        <v>7</v>
      </c>
      <c r="H51" s="13">
        <v>6</v>
      </c>
      <c r="I51" s="13">
        <v>6</v>
      </c>
      <c r="J51" s="13">
        <v>6</v>
      </c>
      <c r="K51" s="13">
        <v>6</v>
      </c>
      <c r="L51" s="13">
        <v>5</v>
      </c>
      <c r="M51" s="13">
        <v>4</v>
      </c>
      <c r="N51" s="13">
        <v>4</v>
      </c>
    </row>
    <row r="52" spans="1:14" x14ac:dyDescent="0.25">
      <c r="A52" s="6" t="s">
        <v>822</v>
      </c>
      <c r="C52">
        <f t="shared" ref="C52:M52" si="14">C46*C50</f>
        <v>0</v>
      </c>
      <c r="D52" s="13">
        <f t="shared" si="14"/>
        <v>0.98740000000000006</v>
      </c>
      <c r="E52" s="13">
        <f t="shared" si="14"/>
        <v>6.4771000000000001</v>
      </c>
      <c r="F52" s="13">
        <f t="shared" si="14"/>
        <v>7.5023999999999997</v>
      </c>
      <c r="G52" s="13">
        <f t="shared" si="14"/>
        <v>6.7590000000000003</v>
      </c>
      <c r="H52" s="13">
        <f t="shared" si="14"/>
        <v>6.766</v>
      </c>
      <c r="I52" s="13">
        <f t="shared" si="14"/>
        <v>6.0950000000000006</v>
      </c>
      <c r="J52" s="13">
        <f t="shared" si="14"/>
        <v>6.0401000000000007</v>
      </c>
      <c r="K52" s="13">
        <f t="shared" si="14"/>
        <v>5.4417</v>
      </c>
      <c r="L52" s="13">
        <f t="shared" si="14"/>
        <v>4.9026999999999994</v>
      </c>
      <c r="M52" s="13">
        <f t="shared" si="14"/>
        <v>4.4165000000000001</v>
      </c>
      <c r="N52" s="13"/>
    </row>
    <row r="53" spans="1:14" x14ac:dyDescent="0.25">
      <c r="A53" s="6" t="s">
        <v>833</v>
      </c>
      <c r="C53">
        <f t="shared" ref="C53:M53" si="15">C52-C51</f>
        <v>0</v>
      </c>
      <c r="D53" s="13">
        <f t="shared" si="15"/>
        <v>-1.2599999999999945E-2</v>
      </c>
      <c r="E53" s="13">
        <f t="shared" si="15"/>
        <v>-0.52289999999999992</v>
      </c>
      <c r="F53" s="13">
        <f t="shared" si="15"/>
        <v>0.50239999999999974</v>
      </c>
      <c r="G53" s="13">
        <f t="shared" si="15"/>
        <v>-0.24099999999999966</v>
      </c>
      <c r="H53" s="13">
        <f t="shared" si="15"/>
        <v>0.76600000000000001</v>
      </c>
      <c r="I53" s="13">
        <f t="shared" si="15"/>
        <v>9.5000000000000639E-2</v>
      </c>
      <c r="J53" s="13">
        <f t="shared" si="15"/>
        <v>4.0100000000000691E-2</v>
      </c>
      <c r="K53" s="13">
        <f t="shared" si="15"/>
        <v>-0.55830000000000002</v>
      </c>
      <c r="L53" s="13">
        <f t="shared" si="15"/>
        <v>-9.7300000000000608E-2</v>
      </c>
      <c r="M53" s="13">
        <f t="shared" si="15"/>
        <v>0.41650000000000009</v>
      </c>
      <c r="N53" s="13"/>
    </row>
    <row r="54" spans="1:14" x14ac:dyDescent="0.25">
      <c r="A54" s="6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7" t="s">
        <v>216</v>
      </c>
      <c r="D55" s="10">
        <v>74</v>
      </c>
    </row>
    <row r="56" spans="1:14" x14ac:dyDescent="0.25">
      <c r="I56" s="7" t="s">
        <v>217</v>
      </c>
    </row>
    <row r="57" spans="1:14" x14ac:dyDescent="0.25">
      <c r="A57" s="6" t="s">
        <v>218</v>
      </c>
      <c r="D57" s="13">
        <v>74</v>
      </c>
      <c r="G57" s="10">
        <v>80</v>
      </c>
      <c r="H57" s="15">
        <v>0.02</v>
      </c>
      <c r="I57" s="15">
        <v>0.03</v>
      </c>
      <c r="J57" s="15">
        <v>0.04</v>
      </c>
      <c r="K57" s="15">
        <v>0.05</v>
      </c>
    </row>
    <row r="58" spans="1:14" x14ac:dyDescent="0.25">
      <c r="A58" s="7" t="s">
        <v>121</v>
      </c>
      <c r="C58" s="7" t="s">
        <v>122</v>
      </c>
      <c r="D58" s="10">
        <v>6</v>
      </c>
      <c r="G58" s="27">
        <v>20</v>
      </c>
      <c r="H58" s="23">
        <v>78.900000000000006</v>
      </c>
      <c r="I58" s="23">
        <v>80.3</v>
      </c>
      <c r="J58" s="23">
        <v>81.7</v>
      </c>
      <c r="K58" s="23">
        <v>83.3</v>
      </c>
    </row>
    <row r="59" spans="1:14" x14ac:dyDescent="0.25">
      <c r="A59" s="6" t="s">
        <v>219</v>
      </c>
      <c r="D59" s="13">
        <v>80</v>
      </c>
      <c r="G59" s="27">
        <v>25</v>
      </c>
      <c r="H59" s="23">
        <v>78.900000000000006</v>
      </c>
      <c r="I59" s="23">
        <v>80.3</v>
      </c>
      <c r="J59" s="23">
        <v>81.7</v>
      </c>
      <c r="K59" s="23">
        <v>83.3</v>
      </c>
    </row>
    <row r="60" spans="1:14" x14ac:dyDescent="0.25">
      <c r="F60" s="7" t="s">
        <v>220</v>
      </c>
      <c r="G60" s="27">
        <v>30</v>
      </c>
      <c r="H60" s="23">
        <v>78.900000000000006</v>
      </c>
      <c r="I60" s="23">
        <v>80.3</v>
      </c>
      <c r="J60" s="23">
        <v>81.7</v>
      </c>
      <c r="K60" s="23">
        <v>83.3</v>
      </c>
    </row>
    <row r="61" spans="1:14" x14ac:dyDescent="0.25">
      <c r="G61" s="27">
        <v>35</v>
      </c>
      <c r="H61" s="23">
        <v>78.900000000000006</v>
      </c>
      <c r="I61" s="23">
        <v>80.3</v>
      </c>
      <c r="J61" s="23">
        <v>81.7</v>
      </c>
      <c r="K61" s="23">
        <v>83.3</v>
      </c>
    </row>
    <row r="62" spans="1:14" x14ac:dyDescent="0.25">
      <c r="G62" s="27">
        <v>40</v>
      </c>
      <c r="H62" s="23">
        <v>78.900000000000006</v>
      </c>
      <c r="I62" s="23">
        <v>80.3</v>
      </c>
      <c r="J62" s="23">
        <v>81.7</v>
      </c>
      <c r="K62" s="23">
        <v>83.3</v>
      </c>
    </row>
    <row r="63" spans="1:14" x14ac:dyDescent="0.25">
      <c r="A63" s="9" t="s">
        <v>221</v>
      </c>
    </row>
    <row r="64" spans="1:14" x14ac:dyDescent="0.25">
      <c r="A64" s="7" t="s">
        <v>222</v>
      </c>
      <c r="D64" s="7" t="s">
        <v>223</v>
      </c>
      <c r="E64" s="20">
        <v>0.05</v>
      </c>
      <c r="F64" s="20">
        <v>0.05</v>
      </c>
      <c r="G64" s="20">
        <v>4.1000000000000002E-2</v>
      </c>
      <c r="H64" s="20">
        <v>5.8999999999999997E-2</v>
      </c>
      <c r="I64" s="20">
        <v>6.0999999999999999E-2</v>
      </c>
      <c r="J64" s="20">
        <v>6.3E-2</v>
      </c>
      <c r="K64" s="20">
        <v>6.4000000000000001E-2</v>
      </c>
      <c r="L64" s="20">
        <v>0.03</v>
      </c>
      <c r="M64" s="20">
        <v>0.03</v>
      </c>
      <c r="N64" s="20">
        <v>0.03</v>
      </c>
    </row>
    <row r="65" spans="1:14" x14ac:dyDescent="0.25">
      <c r="A65" s="7"/>
      <c r="D65" s="7" t="s">
        <v>806</v>
      </c>
      <c r="E65" s="20">
        <f t="shared" ref="E65:M65" si="16">(E8-D8)/D8</f>
        <v>3.3333333333333335</v>
      </c>
      <c r="F65" s="20">
        <f t="shared" si="16"/>
        <v>3.8461538461538464E-2</v>
      </c>
      <c r="G65" s="20">
        <f t="shared" si="16"/>
        <v>3.7037037037037035E-2</v>
      </c>
      <c r="H65" s="20">
        <f t="shared" si="16"/>
        <v>7.1428571428571425E-2</v>
      </c>
      <c r="I65" s="20">
        <f t="shared" si="16"/>
        <v>6.6666666666666666E-2</v>
      </c>
      <c r="J65" s="20">
        <f t="shared" si="16"/>
        <v>6.25E-2</v>
      </c>
      <c r="K65" s="20">
        <f t="shared" si="16"/>
        <v>5.8823529411764705E-2</v>
      </c>
      <c r="L65" s="20">
        <f t="shared" si="16"/>
        <v>2.7777777777777776E-2</v>
      </c>
      <c r="M65" s="20">
        <f t="shared" si="16"/>
        <v>2.7027027027027029E-2</v>
      </c>
      <c r="N65" s="20"/>
    </row>
    <row r="66" spans="1:14" x14ac:dyDescent="0.25">
      <c r="A66" s="7"/>
      <c r="C66">
        <f>C65-C64</f>
        <v>0</v>
      </c>
      <c r="D66" s="7" t="s">
        <v>837</v>
      </c>
      <c r="E66" s="20">
        <f t="shared" ref="E66:M66" si="17">E65-E64</f>
        <v>3.2833333333333337</v>
      </c>
      <c r="F66" s="20">
        <f t="shared" si="17"/>
        <v>-1.1538461538461539E-2</v>
      </c>
      <c r="G66" s="20">
        <f t="shared" si="17"/>
        <v>-3.9629629629629667E-3</v>
      </c>
      <c r="H66" s="20">
        <f t="shared" si="17"/>
        <v>1.2428571428571428E-2</v>
      </c>
      <c r="I66" s="20">
        <f t="shared" si="17"/>
        <v>5.6666666666666671E-3</v>
      </c>
      <c r="J66" s="20">
        <f t="shared" si="17"/>
        <v>-5.0000000000000044E-4</v>
      </c>
      <c r="K66" s="20">
        <f t="shared" si="17"/>
        <v>-5.1764705882352963E-3</v>
      </c>
      <c r="L66" s="20">
        <f t="shared" si="17"/>
        <v>-2.2222222222222227E-3</v>
      </c>
      <c r="M66" s="20">
        <f t="shared" si="17"/>
        <v>-2.9729729729729704E-3</v>
      </c>
      <c r="N66" s="20"/>
    </row>
    <row r="67" spans="1:14" x14ac:dyDescent="0.25">
      <c r="A67" s="7"/>
      <c r="D67" s="7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224</v>
      </c>
      <c r="D68" s="20">
        <v>0.49099999999999999</v>
      </c>
      <c r="E68" s="20">
        <v>0.48699999999999999</v>
      </c>
      <c r="F68" s="20">
        <v>0.52</v>
      </c>
      <c r="G68" s="20">
        <v>0.53600000000000003</v>
      </c>
      <c r="H68" s="20">
        <v>0.53600000000000003</v>
      </c>
      <c r="I68" s="20">
        <v>0.54900000000000004</v>
      </c>
      <c r="J68" s="20">
        <v>0.56100000000000005</v>
      </c>
      <c r="K68" s="20">
        <v>0.57199999999999995</v>
      </c>
      <c r="L68" s="20">
        <v>0.57199999999999995</v>
      </c>
      <c r="M68" s="20">
        <v>0.57199999999999995</v>
      </c>
      <c r="N68" s="20">
        <v>0.57199999999999995</v>
      </c>
    </row>
    <row r="69" spans="1:14" x14ac:dyDescent="0.25">
      <c r="A69" s="7" t="s">
        <v>823</v>
      </c>
      <c r="C69" t="e">
        <f t="shared" ref="C69:M69" si="18">C20/C19</f>
        <v>#DIV/0!</v>
      </c>
      <c r="D69" s="20">
        <f t="shared" si="18"/>
        <v>0.5</v>
      </c>
      <c r="E69" s="20">
        <f t="shared" si="18"/>
        <v>0.47826086956521741</v>
      </c>
      <c r="F69" s="20">
        <f t="shared" si="18"/>
        <v>0.51851851851851849</v>
      </c>
      <c r="G69" s="20">
        <f t="shared" si="18"/>
        <v>0.5357142857142857</v>
      </c>
      <c r="H69" s="20">
        <f t="shared" si="18"/>
        <v>0.55172413793103448</v>
      </c>
      <c r="I69" s="20">
        <f t="shared" si="18"/>
        <v>0.56666666666666665</v>
      </c>
      <c r="J69" s="20">
        <f t="shared" si="18"/>
        <v>0.54838709677419351</v>
      </c>
      <c r="K69" s="20">
        <f t="shared" si="18"/>
        <v>0.5625</v>
      </c>
      <c r="L69" s="20">
        <f t="shared" si="18"/>
        <v>0.58064516129032262</v>
      </c>
      <c r="M69" s="20">
        <f t="shared" si="18"/>
        <v>0.56666666666666665</v>
      </c>
      <c r="N69" s="20"/>
    </row>
    <row r="70" spans="1:14" x14ac:dyDescent="0.25">
      <c r="A70" s="7" t="s">
        <v>834</v>
      </c>
      <c r="C70" t="e">
        <f t="shared" ref="C70:M70" si="19">C69-C68</f>
        <v>#DIV/0!</v>
      </c>
      <c r="D70" s="20">
        <f t="shared" si="19"/>
        <v>9.000000000000008E-3</v>
      </c>
      <c r="E70" s="20">
        <f t="shared" si="19"/>
        <v>-8.7391304347825827E-3</v>
      </c>
      <c r="F70" s="20">
        <f t="shared" si="19"/>
        <v>-1.481481481481528E-3</v>
      </c>
      <c r="G70" s="20">
        <f t="shared" si="19"/>
        <v>-2.8571428571433355E-4</v>
      </c>
      <c r="H70" s="20">
        <f t="shared" si="19"/>
        <v>1.5724137931034443E-2</v>
      </c>
      <c r="I70" s="20">
        <f t="shared" si="19"/>
        <v>1.7666666666666608E-2</v>
      </c>
      <c r="J70" s="20">
        <f t="shared" si="19"/>
        <v>-1.2612903225806549E-2</v>
      </c>
      <c r="K70" s="20">
        <f t="shared" si="19"/>
        <v>-9.4999999999999529E-3</v>
      </c>
      <c r="L70" s="20">
        <f t="shared" si="19"/>
        <v>8.6451612903226671E-3</v>
      </c>
      <c r="M70" s="20">
        <f t="shared" si="19"/>
        <v>-5.3333333333333011E-3</v>
      </c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7" t="s">
        <v>107</v>
      </c>
      <c r="D72" s="20">
        <v>3.5999999999999997E-2</v>
      </c>
      <c r="E72" s="20">
        <v>3.4000000000000002E-2</v>
      </c>
      <c r="F72" s="20">
        <v>3.5000000000000003E-2</v>
      </c>
      <c r="G72" s="20">
        <v>0.05</v>
      </c>
      <c r="H72" s="20">
        <v>5.5E-2</v>
      </c>
      <c r="I72" s="20">
        <v>5.2999999999999999E-2</v>
      </c>
      <c r="J72" s="20">
        <v>5.0999999999999997E-2</v>
      </c>
      <c r="K72" s="20">
        <v>4.9000000000000002E-2</v>
      </c>
      <c r="L72" s="20">
        <v>4.9000000000000002E-2</v>
      </c>
      <c r="M72" s="20">
        <v>4.9000000000000002E-2</v>
      </c>
      <c r="N72" s="20">
        <v>4.9000000000000002E-2</v>
      </c>
    </row>
    <row r="73" spans="1:14" x14ac:dyDescent="0.25">
      <c r="A73" s="7" t="s">
        <v>225</v>
      </c>
      <c r="D73" s="20">
        <v>0.45500000000000002</v>
      </c>
      <c r="E73" s="20">
        <v>0.45300000000000001</v>
      </c>
      <c r="F73" s="20">
        <v>0.48499999999999999</v>
      </c>
      <c r="G73" s="20">
        <v>0.48599999999999999</v>
      </c>
      <c r="H73" s="20">
        <v>0.48</v>
      </c>
      <c r="I73" s="20">
        <v>0.496</v>
      </c>
      <c r="J73" s="20">
        <v>0.51</v>
      </c>
      <c r="K73" s="20">
        <v>0.52300000000000002</v>
      </c>
      <c r="L73" s="20">
        <v>0.52300000000000002</v>
      </c>
      <c r="M73" s="20">
        <v>0.52300000000000002</v>
      </c>
      <c r="N73" s="20">
        <v>0.52300000000000002</v>
      </c>
    </row>
    <row r="74" spans="1:14" x14ac:dyDescent="0.25">
      <c r="A74" s="7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1:14" x14ac:dyDescent="0.25">
      <c r="A75" s="7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1:14" x14ac:dyDescent="0.25">
      <c r="A76" s="7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1:14" x14ac:dyDescent="0.25">
      <c r="A77" s="7" t="s">
        <v>240</v>
      </c>
      <c r="D77" s="20">
        <v>3.5999999999999997E-2</v>
      </c>
      <c r="E77" s="20">
        <v>3.5999999999999997E-2</v>
      </c>
      <c r="F77" s="20">
        <v>3.5999999999999997E-2</v>
      </c>
      <c r="G77" s="20">
        <v>3.5999999999999997E-2</v>
      </c>
      <c r="H77" s="20">
        <v>3.5999999999999997E-2</v>
      </c>
      <c r="I77" s="20">
        <v>3.5999999999999997E-2</v>
      </c>
      <c r="J77" s="20">
        <v>3.5999999999999997E-2</v>
      </c>
      <c r="K77" s="20">
        <v>3.5999999999999997E-2</v>
      </c>
      <c r="L77" s="20">
        <v>3.5999999999999997E-2</v>
      </c>
      <c r="M77" s="20">
        <v>3.5999999999999997E-2</v>
      </c>
      <c r="N77" s="20">
        <v>3.5999999999999997E-2</v>
      </c>
    </row>
    <row r="78" spans="1:14" x14ac:dyDescent="0.25">
      <c r="A78" s="7" t="s">
        <v>824</v>
      </c>
      <c r="C78" t="e">
        <f t="shared" ref="C78:M78" si="20">-C45/C19</f>
        <v>#DIV/0!</v>
      </c>
      <c r="D78" s="20">
        <f t="shared" si="20"/>
        <v>0</v>
      </c>
      <c r="E78" s="20">
        <f t="shared" si="20"/>
        <v>4.3478260869565216E-2</v>
      </c>
      <c r="F78" s="20">
        <f t="shared" si="20"/>
        <v>3.7037037037037035E-2</v>
      </c>
      <c r="G78" s="20">
        <f t="shared" si="20"/>
        <v>3.5714285714285712E-2</v>
      </c>
      <c r="H78" s="20">
        <f t="shared" si="20"/>
        <v>3.4482758620689655E-2</v>
      </c>
      <c r="I78" s="20">
        <f t="shared" si="20"/>
        <v>3.3333333333333333E-2</v>
      </c>
      <c r="J78" s="20">
        <f t="shared" si="20"/>
        <v>3.2258064516129031E-2</v>
      </c>
      <c r="K78" s="20">
        <f t="shared" si="20"/>
        <v>3.125E-2</v>
      </c>
      <c r="L78" s="20">
        <f t="shared" si="20"/>
        <v>3.2258064516129031E-2</v>
      </c>
      <c r="M78" s="20">
        <f t="shared" si="20"/>
        <v>3.3333333333333333E-2</v>
      </c>
      <c r="N78" s="20"/>
    </row>
    <row r="79" spans="1:14" x14ac:dyDescent="0.25">
      <c r="A79" s="7" t="s">
        <v>835</v>
      </c>
      <c r="C79" t="e">
        <f t="shared" ref="C79:M79" si="21">C78-C77</f>
        <v>#DIV/0!</v>
      </c>
      <c r="D79" s="20">
        <f t="shared" si="21"/>
        <v>-3.5999999999999997E-2</v>
      </c>
      <c r="E79" s="20">
        <f t="shared" si="21"/>
        <v>7.4782608695652189E-3</v>
      </c>
      <c r="F79" s="20">
        <f t="shared" si="21"/>
        <v>1.0370370370370377E-3</v>
      </c>
      <c r="G79" s="20">
        <f t="shared" si="21"/>
        <v>-2.8571428571428498E-4</v>
      </c>
      <c r="H79" s="20">
        <f t="shared" si="21"/>
        <v>-1.5172413793103426E-3</v>
      </c>
      <c r="I79" s="20">
        <f t="shared" si="21"/>
        <v>-2.6666666666666644E-3</v>
      </c>
      <c r="J79" s="20">
        <f t="shared" si="21"/>
        <v>-3.7419354838709659E-3</v>
      </c>
      <c r="K79" s="20">
        <f t="shared" si="21"/>
        <v>-4.7499999999999973E-3</v>
      </c>
      <c r="L79" s="20">
        <f t="shared" si="21"/>
        <v>-3.7419354838709659E-3</v>
      </c>
      <c r="M79" s="20">
        <f t="shared" si="21"/>
        <v>-2.6666666666666644E-3</v>
      </c>
      <c r="N79" s="20"/>
    </row>
    <row r="80" spans="1:14" x14ac:dyDescent="0.25">
      <c r="A80" s="7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1:14" x14ac:dyDescent="0.25">
      <c r="A81" s="16" t="s">
        <v>127</v>
      </c>
    </row>
    <row r="82" spans="1:14" x14ac:dyDescent="0.25">
      <c r="A82" s="7" t="s">
        <v>227</v>
      </c>
    </row>
    <row r="83" spans="1:14" x14ac:dyDescent="0.25">
      <c r="A83" s="16" t="s">
        <v>61</v>
      </c>
    </row>
    <row r="84" spans="1:14" x14ac:dyDescent="0.25">
      <c r="A84" s="9" t="s">
        <v>62</v>
      </c>
      <c r="N84" s="32" t="s">
        <v>63</v>
      </c>
    </row>
    <row r="85" spans="1:14" x14ac:dyDescent="0.25">
      <c r="G85" s="5" t="s">
        <v>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263</v>
      </c>
    </row>
    <row r="3" spans="1:13" x14ac:dyDescent="0.25">
      <c r="A3" s="6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40</v>
      </c>
      <c r="D8" s="10">
        <v>41</v>
      </c>
      <c r="E8" s="10">
        <v>43</v>
      </c>
      <c r="F8" s="10">
        <v>44</v>
      </c>
      <c r="G8" s="10">
        <v>45</v>
      </c>
      <c r="H8" s="10">
        <v>47</v>
      </c>
      <c r="I8" s="10">
        <v>48</v>
      </c>
      <c r="J8" s="10">
        <v>50</v>
      </c>
      <c r="K8" s="10">
        <v>51</v>
      </c>
      <c r="L8" s="10">
        <v>53</v>
      </c>
      <c r="M8" s="10">
        <v>54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40</v>
      </c>
      <c r="D10" s="10">
        <v>41</v>
      </c>
      <c r="E10" s="10">
        <v>43</v>
      </c>
      <c r="F10" s="10">
        <v>44</v>
      </c>
      <c r="G10" s="10">
        <v>45</v>
      </c>
      <c r="H10" s="10">
        <v>47</v>
      </c>
      <c r="I10" s="10">
        <v>48</v>
      </c>
      <c r="J10" s="10">
        <v>50</v>
      </c>
      <c r="K10" s="10">
        <v>51</v>
      </c>
      <c r="L10" s="10">
        <v>53</v>
      </c>
      <c r="M10" s="10">
        <v>54</v>
      </c>
    </row>
    <row r="11" spans="1:13" x14ac:dyDescent="0.25">
      <c r="A11" s="7" t="s">
        <v>814</v>
      </c>
      <c r="C11" s="10">
        <f t="shared" ref="C11:M11" si="0">SUM(C8,C9)</f>
        <v>40</v>
      </c>
      <c r="D11" s="10">
        <f t="shared" si="0"/>
        <v>41</v>
      </c>
      <c r="E11" s="10">
        <f t="shared" si="0"/>
        <v>43</v>
      </c>
      <c r="F11" s="10">
        <f t="shared" si="0"/>
        <v>44</v>
      </c>
      <c r="G11" s="10">
        <f t="shared" si="0"/>
        <v>45</v>
      </c>
      <c r="H11" s="10">
        <f t="shared" si="0"/>
        <v>47</v>
      </c>
      <c r="I11" s="10">
        <f t="shared" si="0"/>
        <v>48</v>
      </c>
      <c r="J11" s="10">
        <f t="shared" si="0"/>
        <v>50</v>
      </c>
      <c r="K11" s="10">
        <f t="shared" si="0"/>
        <v>51</v>
      </c>
      <c r="L11" s="10">
        <f t="shared" si="0"/>
        <v>53</v>
      </c>
      <c r="M11" s="10">
        <f t="shared" si="0"/>
        <v>54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27</v>
      </c>
      <c r="D15" s="10">
        <v>25</v>
      </c>
      <c r="E15" s="10">
        <v>23</v>
      </c>
      <c r="F15" s="10">
        <v>20</v>
      </c>
      <c r="G15" s="10">
        <v>18</v>
      </c>
      <c r="H15" s="10">
        <v>16</v>
      </c>
      <c r="I15" s="10">
        <v>14</v>
      </c>
      <c r="J15" s="10">
        <v>11</v>
      </c>
      <c r="K15" s="10">
        <v>9</v>
      </c>
      <c r="L15" s="10">
        <v>8</v>
      </c>
      <c r="M15" s="10">
        <v>6</v>
      </c>
    </row>
    <row r="16" spans="1:13" x14ac:dyDescent="0.25">
      <c r="A16" s="7" t="s">
        <v>815</v>
      </c>
      <c r="C16" s="10">
        <f t="shared" ref="C16:M16" si="2">SUM(C10,C14)</f>
        <v>40.662999999999997</v>
      </c>
      <c r="D16" s="10">
        <f t="shared" si="2"/>
        <v>41.597999999999999</v>
      </c>
      <c r="E16" s="10">
        <f t="shared" si="2"/>
        <v>43.530999999999999</v>
      </c>
      <c r="F16" s="10">
        <f t="shared" si="2"/>
        <v>44.463999999999999</v>
      </c>
      <c r="G16" s="10">
        <f t="shared" si="2"/>
        <v>45.399000000000001</v>
      </c>
      <c r="H16" s="10">
        <f t="shared" si="2"/>
        <v>47.338000000000001</v>
      </c>
      <c r="I16" s="10">
        <f t="shared" si="2"/>
        <v>48.281999999999996</v>
      </c>
      <c r="J16" s="10">
        <f t="shared" si="2"/>
        <v>50.231000000000002</v>
      </c>
      <c r="K16" s="10">
        <f t="shared" si="2"/>
        <v>51.185000000000002</v>
      </c>
      <c r="L16" s="10">
        <f t="shared" si="2"/>
        <v>53.146000000000001</v>
      </c>
      <c r="M16" s="10">
        <f t="shared" si="2"/>
        <v>54.113</v>
      </c>
    </row>
    <row r="17" spans="1:13" x14ac:dyDescent="0.25">
      <c r="A17" s="7" t="s">
        <v>826</v>
      </c>
      <c r="C17" s="10">
        <f t="shared" ref="C17:M17" si="3">C16-C15</f>
        <v>13.662999999999997</v>
      </c>
      <c r="D17" s="10">
        <f t="shared" si="3"/>
        <v>16.597999999999999</v>
      </c>
      <c r="E17" s="10">
        <f t="shared" si="3"/>
        <v>20.530999999999999</v>
      </c>
      <c r="F17" s="10">
        <f t="shared" si="3"/>
        <v>24.463999999999999</v>
      </c>
      <c r="G17" s="10">
        <f t="shared" si="3"/>
        <v>27.399000000000001</v>
      </c>
      <c r="H17" s="10">
        <f t="shared" si="3"/>
        <v>31.338000000000001</v>
      </c>
      <c r="I17" s="10">
        <f t="shared" si="3"/>
        <v>34.281999999999996</v>
      </c>
      <c r="J17" s="10">
        <f t="shared" si="3"/>
        <v>39.231000000000002</v>
      </c>
      <c r="K17" s="10">
        <f t="shared" si="3"/>
        <v>42.185000000000002</v>
      </c>
      <c r="L17" s="10">
        <f t="shared" si="3"/>
        <v>45.146000000000001</v>
      </c>
      <c r="M17" s="10">
        <f t="shared" si="3"/>
        <v>48.113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27</v>
      </c>
      <c r="D19" s="13">
        <v>25</v>
      </c>
      <c r="E19" s="13">
        <v>23</v>
      </c>
      <c r="F19" s="13">
        <v>20</v>
      </c>
      <c r="G19" s="13">
        <v>18</v>
      </c>
      <c r="H19" s="13">
        <v>16</v>
      </c>
      <c r="I19" s="13">
        <v>14</v>
      </c>
      <c r="J19" s="13">
        <v>11</v>
      </c>
      <c r="K19" s="13">
        <v>9</v>
      </c>
      <c r="L19" s="13">
        <v>8</v>
      </c>
      <c r="M19" s="13">
        <v>6</v>
      </c>
    </row>
    <row r="20" spans="1:13" x14ac:dyDescent="0.25">
      <c r="A20" s="6" t="s">
        <v>106</v>
      </c>
      <c r="C20" s="13">
        <v>15</v>
      </c>
      <c r="D20" s="13">
        <v>14</v>
      </c>
      <c r="E20" s="13">
        <v>13</v>
      </c>
      <c r="F20" s="13">
        <v>12</v>
      </c>
      <c r="G20" s="13">
        <v>10</v>
      </c>
      <c r="H20" s="13">
        <v>9</v>
      </c>
      <c r="I20" s="13">
        <v>8</v>
      </c>
      <c r="J20" s="13">
        <v>7</v>
      </c>
      <c r="K20" s="13">
        <v>5</v>
      </c>
      <c r="L20" s="13">
        <v>4</v>
      </c>
      <c r="M20" s="13">
        <v>4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-1</v>
      </c>
      <c r="F21" s="19">
        <v>-1</v>
      </c>
      <c r="G21" s="19">
        <v>-1</v>
      </c>
      <c r="H21" s="19">
        <v>-1</v>
      </c>
      <c r="I21" s="19">
        <v>-1</v>
      </c>
      <c r="J21" s="19">
        <v>-1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14</v>
      </c>
      <c r="D25" s="13">
        <v>13</v>
      </c>
      <c r="E25" s="13">
        <v>12</v>
      </c>
      <c r="F25" s="13">
        <v>11</v>
      </c>
      <c r="G25" s="13">
        <v>9</v>
      </c>
      <c r="H25" s="13">
        <v>8</v>
      </c>
      <c r="I25" s="13">
        <v>7</v>
      </c>
      <c r="J25" s="13">
        <v>6</v>
      </c>
      <c r="K25" s="13">
        <v>5</v>
      </c>
      <c r="L25" s="13">
        <v>4</v>
      </c>
      <c r="M25" s="13">
        <v>3</v>
      </c>
    </row>
    <row r="26" spans="1:13" x14ac:dyDescent="0.25">
      <c r="A26" s="6" t="s">
        <v>816</v>
      </c>
      <c r="C26" s="13">
        <f t="shared" ref="C26:M26" si="4">SUM(C20,C21)</f>
        <v>14</v>
      </c>
      <c r="D26" s="13">
        <f t="shared" si="4"/>
        <v>13</v>
      </c>
      <c r="E26" s="13">
        <f t="shared" si="4"/>
        <v>12</v>
      </c>
      <c r="F26" s="13">
        <f t="shared" si="4"/>
        <v>11</v>
      </c>
      <c r="G26" s="13">
        <f t="shared" si="4"/>
        <v>9</v>
      </c>
      <c r="H26" s="13">
        <f t="shared" si="4"/>
        <v>8</v>
      </c>
      <c r="I26" s="13">
        <f t="shared" si="4"/>
        <v>7</v>
      </c>
      <c r="J26" s="13">
        <f t="shared" si="4"/>
        <v>6</v>
      </c>
      <c r="K26" s="13">
        <f t="shared" si="4"/>
        <v>5</v>
      </c>
      <c r="L26" s="13">
        <f t="shared" si="4"/>
        <v>4</v>
      </c>
      <c r="M26" s="13">
        <f t="shared" si="4"/>
        <v>4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 t="s">
        <v>820</v>
      </c>
      <c r="B30" s="20"/>
      <c r="C30" s="19">
        <f>C19*B29</f>
        <v>0.40499999999999997</v>
      </c>
      <c r="D30" s="19">
        <f>D19*B29</f>
        <v>0.375</v>
      </c>
      <c r="E30" s="19">
        <f>E19*B29</f>
        <v>0.34499999999999997</v>
      </c>
      <c r="F30" s="19">
        <f>F19*B29</f>
        <v>0.3</v>
      </c>
      <c r="G30" s="19">
        <f>G19*B29</f>
        <v>0.27</v>
      </c>
      <c r="H30" s="19">
        <f>H19*B29</f>
        <v>0.24</v>
      </c>
      <c r="I30" s="19">
        <f>I19*B29</f>
        <v>0.21</v>
      </c>
      <c r="J30" s="19">
        <f>J19*B29</f>
        <v>0.16499999999999998</v>
      </c>
      <c r="K30" s="19">
        <f>K19*B29</f>
        <v>0.13500000000000001</v>
      </c>
      <c r="L30" s="19">
        <f>L19*B29</f>
        <v>0.12</v>
      </c>
      <c r="M30" s="19">
        <f>M19*B29</f>
        <v>0.09</v>
      </c>
    </row>
    <row r="31" spans="1:13" x14ac:dyDescent="0.25">
      <c r="A31" s="7" t="s">
        <v>831</v>
      </c>
      <c r="B31" s="20"/>
      <c r="C31" s="19">
        <f t="shared" ref="C31:M31" si="6">C30-C29</f>
        <v>0.40499999999999997</v>
      </c>
      <c r="D31" s="19">
        <f t="shared" si="6"/>
        <v>0.375</v>
      </c>
      <c r="E31" s="19">
        <f t="shared" si="6"/>
        <v>0.34499999999999997</v>
      </c>
      <c r="F31" s="19">
        <f t="shared" si="6"/>
        <v>0.3</v>
      </c>
      <c r="G31" s="19">
        <f t="shared" si="6"/>
        <v>0.27</v>
      </c>
      <c r="H31" s="19">
        <f t="shared" si="6"/>
        <v>0.24</v>
      </c>
      <c r="I31" s="19">
        <f t="shared" si="6"/>
        <v>0.21</v>
      </c>
      <c r="J31" s="19">
        <f t="shared" si="6"/>
        <v>0.16499999999999998</v>
      </c>
      <c r="K31" s="19">
        <f t="shared" si="6"/>
        <v>0.13500000000000001</v>
      </c>
      <c r="L31" s="19">
        <f t="shared" si="6"/>
        <v>0.12</v>
      </c>
      <c r="M31" s="19">
        <f t="shared" si="6"/>
        <v>0.09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14</v>
      </c>
      <c r="D33" s="13">
        <v>13</v>
      </c>
      <c r="E33" s="13">
        <v>12</v>
      </c>
      <c r="F33" s="13">
        <v>10</v>
      </c>
      <c r="G33" s="13">
        <v>9</v>
      </c>
      <c r="H33" s="13">
        <v>8</v>
      </c>
      <c r="I33" s="13">
        <v>7</v>
      </c>
      <c r="J33" s="13">
        <v>6</v>
      </c>
      <c r="K33" s="13">
        <v>5</v>
      </c>
      <c r="L33" s="13">
        <v>4</v>
      </c>
      <c r="M33" s="13">
        <v>3</v>
      </c>
    </row>
    <row r="34" spans="1:13" x14ac:dyDescent="0.25">
      <c r="A34" s="6" t="s">
        <v>817</v>
      </c>
      <c r="C34" s="13">
        <f t="shared" ref="C34:M34" si="7">SUM(C25,C29)</f>
        <v>14</v>
      </c>
      <c r="D34" s="13">
        <f t="shared" si="7"/>
        <v>13</v>
      </c>
      <c r="E34" s="13">
        <f t="shared" si="7"/>
        <v>12</v>
      </c>
      <c r="F34" s="13">
        <f t="shared" si="7"/>
        <v>11</v>
      </c>
      <c r="G34" s="13">
        <f t="shared" si="7"/>
        <v>9</v>
      </c>
      <c r="H34" s="13">
        <f t="shared" si="7"/>
        <v>8</v>
      </c>
      <c r="I34" s="13">
        <f t="shared" si="7"/>
        <v>7</v>
      </c>
      <c r="J34" s="13">
        <f t="shared" si="7"/>
        <v>6</v>
      </c>
      <c r="K34" s="13">
        <f t="shared" si="7"/>
        <v>5</v>
      </c>
      <c r="L34" s="13">
        <f t="shared" si="7"/>
        <v>4</v>
      </c>
      <c r="M34" s="13">
        <f t="shared" si="7"/>
        <v>3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0</v>
      </c>
      <c r="F35" s="13">
        <f t="shared" si="8"/>
        <v>1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-3</v>
      </c>
      <c r="D37" s="19">
        <v>-3</v>
      </c>
      <c r="E37" s="19">
        <v>-3</v>
      </c>
      <c r="F37" s="19">
        <v>-2</v>
      </c>
      <c r="G37" s="19">
        <v>-2</v>
      </c>
      <c r="H37" s="19">
        <v>-2</v>
      </c>
      <c r="I37" s="19">
        <v>-2</v>
      </c>
      <c r="J37" s="19">
        <v>-1</v>
      </c>
      <c r="K37" s="19">
        <v>-1</v>
      </c>
      <c r="L37" s="19">
        <v>-1</v>
      </c>
      <c r="M37" s="19">
        <v>-1</v>
      </c>
    </row>
    <row r="38" spans="1:13" x14ac:dyDescent="0.25">
      <c r="A38" s="7" t="s">
        <v>821</v>
      </c>
      <c r="B38" s="20"/>
      <c r="C38" s="19">
        <f>C33*B37</f>
        <v>3.052</v>
      </c>
      <c r="D38" s="19">
        <f>D33*B37</f>
        <v>2.8340000000000001</v>
      </c>
      <c r="E38" s="19">
        <f>E33*B37</f>
        <v>2.6160000000000001</v>
      </c>
      <c r="F38" s="19">
        <f>F33*B37</f>
        <v>2.1800000000000002</v>
      </c>
      <c r="G38" s="19">
        <f>G33*B37</f>
        <v>1.962</v>
      </c>
      <c r="H38" s="19">
        <f>H33*B37</f>
        <v>1.744</v>
      </c>
      <c r="I38" s="19">
        <f>I33*B37</f>
        <v>1.526</v>
      </c>
      <c r="J38" s="19">
        <f>J33*B37</f>
        <v>1.3080000000000001</v>
      </c>
      <c r="K38" s="19">
        <f>K33*B37</f>
        <v>1.0900000000000001</v>
      </c>
      <c r="L38" s="19">
        <f>L33*B37</f>
        <v>0.872</v>
      </c>
      <c r="M38" s="19">
        <f>M33*B37</f>
        <v>0.65400000000000003</v>
      </c>
    </row>
    <row r="39" spans="1:13" x14ac:dyDescent="0.25">
      <c r="A39" s="7" t="s">
        <v>832</v>
      </c>
      <c r="B39" s="20"/>
      <c r="C39" s="19">
        <f t="shared" ref="C39:M39" si="9">C38-C37</f>
        <v>6.0519999999999996</v>
      </c>
      <c r="D39" s="19">
        <f t="shared" si="9"/>
        <v>5.8339999999999996</v>
      </c>
      <c r="E39" s="19">
        <f t="shared" si="9"/>
        <v>5.6159999999999997</v>
      </c>
      <c r="F39" s="19">
        <f t="shared" si="9"/>
        <v>4.18</v>
      </c>
      <c r="G39" s="19">
        <f t="shared" si="9"/>
        <v>3.9619999999999997</v>
      </c>
      <c r="H39" s="19">
        <f t="shared" si="9"/>
        <v>3.7439999999999998</v>
      </c>
      <c r="I39" s="19">
        <f t="shared" si="9"/>
        <v>3.5259999999999998</v>
      </c>
      <c r="J39" s="19">
        <f t="shared" si="9"/>
        <v>2.3079999999999998</v>
      </c>
      <c r="K39" s="19">
        <f t="shared" si="9"/>
        <v>2.09</v>
      </c>
      <c r="L39" s="19">
        <f t="shared" si="9"/>
        <v>1.8719999999999999</v>
      </c>
      <c r="M39" s="19">
        <f t="shared" si="9"/>
        <v>1.6539999999999999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11</v>
      </c>
      <c r="D41" s="13">
        <v>10</v>
      </c>
      <c r="E41" s="13">
        <v>9</v>
      </c>
      <c r="F41" s="13">
        <v>8</v>
      </c>
      <c r="G41" s="13">
        <v>7</v>
      </c>
      <c r="H41" s="13">
        <v>6</v>
      </c>
      <c r="I41" s="13">
        <v>5</v>
      </c>
      <c r="J41" s="13">
        <v>5</v>
      </c>
      <c r="K41" s="13">
        <v>4</v>
      </c>
      <c r="L41" s="13">
        <v>3</v>
      </c>
      <c r="M41" s="13">
        <v>2</v>
      </c>
    </row>
    <row r="42" spans="1:13" x14ac:dyDescent="0.25">
      <c r="A42" s="6" t="s">
        <v>819</v>
      </c>
      <c r="C42" s="13">
        <f t="shared" ref="C42:M42" si="10">C33-C37</f>
        <v>17</v>
      </c>
      <c r="D42" s="13">
        <f t="shared" si="10"/>
        <v>16</v>
      </c>
      <c r="E42" s="13">
        <f t="shared" si="10"/>
        <v>15</v>
      </c>
      <c r="F42" s="13">
        <f t="shared" si="10"/>
        <v>12</v>
      </c>
      <c r="G42" s="13">
        <f t="shared" si="10"/>
        <v>11</v>
      </c>
      <c r="H42" s="13">
        <f t="shared" si="10"/>
        <v>10</v>
      </c>
      <c r="I42" s="13">
        <f t="shared" si="10"/>
        <v>9</v>
      </c>
      <c r="J42" s="13">
        <f t="shared" si="10"/>
        <v>7</v>
      </c>
      <c r="K42" s="13">
        <f t="shared" si="10"/>
        <v>6</v>
      </c>
      <c r="L42" s="13">
        <f t="shared" si="10"/>
        <v>5</v>
      </c>
      <c r="M42" s="13">
        <f t="shared" si="10"/>
        <v>4</v>
      </c>
    </row>
    <row r="43" spans="1:13" x14ac:dyDescent="0.25">
      <c r="A43" s="6" t="s">
        <v>830</v>
      </c>
      <c r="C43" s="13">
        <f t="shared" ref="C43:M43" si="11">C42-C41</f>
        <v>6</v>
      </c>
      <c r="D43" s="13">
        <f t="shared" si="11"/>
        <v>6</v>
      </c>
      <c r="E43" s="13">
        <f t="shared" si="11"/>
        <v>6</v>
      </c>
      <c r="F43" s="13">
        <f t="shared" si="11"/>
        <v>4</v>
      </c>
      <c r="G43" s="13">
        <f t="shared" si="11"/>
        <v>4</v>
      </c>
      <c r="H43" s="13">
        <f t="shared" si="11"/>
        <v>4</v>
      </c>
      <c r="I43" s="13">
        <f t="shared" si="11"/>
        <v>4</v>
      </c>
      <c r="J43" s="13">
        <f t="shared" si="11"/>
        <v>2</v>
      </c>
      <c r="K43" s="13">
        <f t="shared" si="11"/>
        <v>2</v>
      </c>
      <c r="L43" s="13">
        <f t="shared" si="11"/>
        <v>2</v>
      </c>
      <c r="M43" s="13">
        <f t="shared" si="11"/>
        <v>2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10</v>
      </c>
      <c r="D46" s="13">
        <v>9</v>
      </c>
      <c r="E46" s="13">
        <v>8</v>
      </c>
      <c r="F46" s="13">
        <v>7</v>
      </c>
      <c r="G46" s="13">
        <v>7</v>
      </c>
      <c r="H46" s="13">
        <v>6</v>
      </c>
      <c r="I46" s="13">
        <v>5</v>
      </c>
      <c r="J46" s="13">
        <v>4</v>
      </c>
      <c r="K46" s="13">
        <v>3</v>
      </c>
      <c r="L46" s="13">
        <v>3</v>
      </c>
      <c r="M46" s="13">
        <v>2</v>
      </c>
    </row>
    <row r="47" spans="1:13" x14ac:dyDescent="0.25">
      <c r="A47" s="6" t="s">
        <v>818</v>
      </c>
      <c r="C47" s="13">
        <f t="shared" ref="C47:M47" si="12">SUM(C41,C45)</f>
        <v>10</v>
      </c>
      <c r="D47" s="13">
        <f t="shared" si="12"/>
        <v>9</v>
      </c>
      <c r="E47" s="13">
        <f t="shared" si="12"/>
        <v>8</v>
      </c>
      <c r="F47" s="13">
        <f t="shared" si="12"/>
        <v>7</v>
      </c>
      <c r="G47" s="13">
        <f t="shared" si="12"/>
        <v>6</v>
      </c>
      <c r="H47" s="13">
        <f t="shared" si="12"/>
        <v>5</v>
      </c>
      <c r="I47" s="13">
        <f t="shared" si="12"/>
        <v>5</v>
      </c>
      <c r="J47" s="13">
        <f t="shared" si="12"/>
        <v>5</v>
      </c>
      <c r="K47" s="13">
        <f t="shared" si="12"/>
        <v>4</v>
      </c>
      <c r="L47" s="13">
        <f t="shared" si="12"/>
        <v>3</v>
      </c>
      <c r="M47" s="13">
        <f t="shared" si="12"/>
        <v>2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-1</v>
      </c>
      <c r="H48" s="13">
        <f t="shared" si="13"/>
        <v>-1</v>
      </c>
      <c r="I48" s="13">
        <f t="shared" si="13"/>
        <v>0</v>
      </c>
      <c r="J48" s="13">
        <f t="shared" si="13"/>
        <v>1</v>
      </c>
      <c r="K48" s="13">
        <f t="shared" si="13"/>
        <v>1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3</v>
      </c>
      <c r="D51" s="13">
        <v>3</v>
      </c>
      <c r="E51" s="13">
        <v>2</v>
      </c>
      <c r="F51" s="13">
        <v>2</v>
      </c>
      <c r="G51" s="13">
        <v>1</v>
      </c>
      <c r="H51" s="13">
        <v>1</v>
      </c>
      <c r="I51" s="13">
        <v>1</v>
      </c>
      <c r="J51" s="13">
        <v>1</v>
      </c>
      <c r="K51" s="13">
        <v>0</v>
      </c>
      <c r="L51" s="13">
        <v>0</v>
      </c>
      <c r="M51" s="13">
        <v>0</v>
      </c>
    </row>
    <row r="52" spans="1:13" x14ac:dyDescent="0.25">
      <c r="A52" s="6" t="s">
        <v>822</v>
      </c>
      <c r="C52" s="13">
        <f t="shared" ref="C52:M52" si="14">C46*C50</f>
        <v>3.2590000000000003</v>
      </c>
      <c r="D52" s="13">
        <f t="shared" si="14"/>
        <v>2.6424000000000003</v>
      </c>
      <c r="E52" s="13">
        <f t="shared" si="14"/>
        <v>2.1160000000000001</v>
      </c>
      <c r="F52" s="13">
        <f t="shared" si="14"/>
        <v>1.6681000000000001</v>
      </c>
      <c r="G52" s="13">
        <f t="shared" si="14"/>
        <v>1.5028999999999999</v>
      </c>
      <c r="H52" s="13">
        <f t="shared" si="14"/>
        <v>1.1603999999999999</v>
      </c>
      <c r="I52" s="13">
        <f t="shared" si="14"/>
        <v>0.871</v>
      </c>
      <c r="J52" s="13">
        <f t="shared" si="14"/>
        <v>0.628</v>
      </c>
      <c r="K52" s="13">
        <f t="shared" si="14"/>
        <v>0.42420000000000002</v>
      </c>
      <c r="L52" s="13">
        <f t="shared" si="14"/>
        <v>0.38220000000000004</v>
      </c>
      <c r="M52" s="13">
        <f t="shared" si="14"/>
        <v>0.2296</v>
      </c>
    </row>
    <row r="53" spans="1:13" x14ac:dyDescent="0.25">
      <c r="A53" s="6" t="s">
        <v>833</v>
      </c>
      <c r="C53" s="13">
        <f t="shared" ref="C53:M53" si="15">C52-C51</f>
        <v>0.25900000000000034</v>
      </c>
      <c r="D53" s="13">
        <f t="shared" si="15"/>
        <v>-0.3575999999999997</v>
      </c>
      <c r="E53" s="13">
        <f t="shared" si="15"/>
        <v>0.1160000000000001</v>
      </c>
      <c r="F53" s="13">
        <f t="shared" si="15"/>
        <v>-0.33189999999999986</v>
      </c>
      <c r="G53" s="13">
        <f t="shared" si="15"/>
        <v>0.5028999999999999</v>
      </c>
      <c r="H53" s="13">
        <f t="shared" si="15"/>
        <v>0.16039999999999988</v>
      </c>
      <c r="I53" s="13">
        <f t="shared" si="15"/>
        <v>-0.129</v>
      </c>
      <c r="J53" s="13">
        <f t="shared" si="15"/>
        <v>-0.372</v>
      </c>
      <c r="K53" s="13">
        <f t="shared" si="15"/>
        <v>0.42420000000000002</v>
      </c>
      <c r="L53" s="13">
        <f t="shared" si="15"/>
        <v>0.38220000000000004</v>
      </c>
      <c r="M53" s="13">
        <f t="shared" si="15"/>
        <v>0.2296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16">(D8-C8)/C8</f>
        <v>2.5000000000000001E-2</v>
      </c>
      <c r="E57" s="20">
        <f t="shared" si="16"/>
        <v>4.878048780487805E-2</v>
      </c>
      <c r="F57" s="20">
        <f t="shared" si="16"/>
        <v>2.3255813953488372E-2</v>
      </c>
      <c r="G57" s="20">
        <f t="shared" si="16"/>
        <v>2.2727272727272728E-2</v>
      </c>
      <c r="H57" s="20">
        <f t="shared" si="16"/>
        <v>4.4444444444444446E-2</v>
      </c>
      <c r="I57" s="20">
        <f t="shared" si="16"/>
        <v>2.1276595744680851E-2</v>
      </c>
      <c r="J57" s="20">
        <f t="shared" si="16"/>
        <v>4.1666666666666664E-2</v>
      </c>
      <c r="K57" s="20">
        <f t="shared" si="16"/>
        <v>0.02</v>
      </c>
      <c r="L57" s="20">
        <f t="shared" si="16"/>
        <v>3.9215686274509803E-2</v>
      </c>
      <c r="M57" s="20">
        <f t="shared" si="16"/>
        <v>1.8867924528301886E-2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-4.9999999999999975E-3</v>
      </c>
      <c r="E58" s="20">
        <f t="shared" si="17"/>
        <v>1.8780487804878052E-2</v>
      </c>
      <c r="F58" s="20">
        <f t="shared" si="17"/>
        <v>-6.7441860465116271E-3</v>
      </c>
      <c r="G58" s="20">
        <f t="shared" si="17"/>
        <v>-7.272727272727271E-3</v>
      </c>
      <c r="H58" s="20">
        <f t="shared" si="17"/>
        <v>1.4444444444444447E-2</v>
      </c>
      <c r="I58" s="20">
        <f t="shared" si="17"/>
        <v>-8.7234042553191483E-3</v>
      </c>
      <c r="J58" s="20">
        <f t="shared" si="17"/>
        <v>1.1666666666666665E-2</v>
      </c>
      <c r="K58" s="20">
        <f t="shared" si="17"/>
        <v>-9.9999999999999985E-3</v>
      </c>
      <c r="L58" s="20">
        <f t="shared" si="17"/>
        <v>9.2156862745098045E-3</v>
      </c>
      <c r="M58" s="20">
        <f t="shared" si="17"/>
        <v>-1.1132075471698113E-2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0.57199999999999995</v>
      </c>
      <c r="D60" s="20">
        <v>0.57199999999999995</v>
      </c>
      <c r="E60" s="20">
        <v>0.57199999999999995</v>
      </c>
      <c r="F60" s="20">
        <v>0.57199999999999995</v>
      </c>
      <c r="G60" s="20">
        <v>0.57199999999999995</v>
      </c>
      <c r="H60" s="20">
        <v>0.57199999999999995</v>
      </c>
      <c r="I60" s="20">
        <v>0.57199999999999995</v>
      </c>
      <c r="J60" s="20">
        <v>0.57199999999999995</v>
      </c>
      <c r="K60" s="20">
        <v>0.57199999999999995</v>
      </c>
      <c r="L60" s="20">
        <v>0.57199999999999995</v>
      </c>
      <c r="M60" s="20">
        <v>0.57199999999999995</v>
      </c>
    </row>
    <row r="61" spans="1:13" x14ac:dyDescent="0.25">
      <c r="A61" s="7" t="s">
        <v>823</v>
      </c>
      <c r="C61" s="20">
        <f t="shared" ref="C61:M61" si="18">C20/C19</f>
        <v>0.55555555555555558</v>
      </c>
      <c r="D61" s="20">
        <f t="shared" si="18"/>
        <v>0.56000000000000005</v>
      </c>
      <c r="E61" s="20">
        <f t="shared" si="18"/>
        <v>0.56521739130434778</v>
      </c>
      <c r="F61" s="20">
        <f t="shared" si="18"/>
        <v>0.6</v>
      </c>
      <c r="G61" s="20">
        <f t="shared" si="18"/>
        <v>0.55555555555555558</v>
      </c>
      <c r="H61" s="20">
        <f t="shared" si="18"/>
        <v>0.5625</v>
      </c>
      <c r="I61" s="20">
        <f t="shared" si="18"/>
        <v>0.5714285714285714</v>
      </c>
      <c r="J61" s="20">
        <f t="shared" si="18"/>
        <v>0.63636363636363635</v>
      </c>
      <c r="K61" s="20">
        <f t="shared" si="18"/>
        <v>0.55555555555555558</v>
      </c>
      <c r="L61" s="20">
        <f t="shared" si="18"/>
        <v>0.5</v>
      </c>
      <c r="M61" s="20">
        <f t="shared" si="18"/>
        <v>0.66666666666666663</v>
      </c>
    </row>
    <row r="62" spans="1:13" x14ac:dyDescent="0.25">
      <c r="A62" s="7" t="s">
        <v>834</v>
      </c>
      <c r="C62" s="20">
        <f t="shared" ref="C62:M62" si="19">C61-C60</f>
        <v>-1.6444444444444373E-2</v>
      </c>
      <c r="D62" s="20">
        <f t="shared" si="19"/>
        <v>-1.19999999999999E-2</v>
      </c>
      <c r="E62" s="20">
        <f t="shared" si="19"/>
        <v>-6.7826086956521703E-3</v>
      </c>
      <c r="F62" s="20">
        <f t="shared" si="19"/>
        <v>2.8000000000000025E-2</v>
      </c>
      <c r="G62" s="20">
        <f t="shared" si="19"/>
        <v>-1.6444444444444373E-2</v>
      </c>
      <c r="H62" s="20">
        <f t="shared" si="19"/>
        <v>-9.4999999999999529E-3</v>
      </c>
      <c r="I62" s="20">
        <f t="shared" si="19"/>
        <v>-5.7142857142855608E-4</v>
      </c>
      <c r="J62" s="20">
        <f t="shared" si="19"/>
        <v>6.4363636363636401E-2</v>
      </c>
      <c r="K62" s="20">
        <f t="shared" si="19"/>
        <v>-1.6444444444444373E-2</v>
      </c>
      <c r="L62" s="20">
        <f t="shared" si="19"/>
        <v>-7.1999999999999953E-2</v>
      </c>
      <c r="M62" s="20">
        <f t="shared" si="19"/>
        <v>9.4666666666666677E-2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0.52300000000000002</v>
      </c>
      <c r="D65" s="20">
        <v>0.52300000000000002</v>
      </c>
      <c r="E65" s="20">
        <v>0.52300000000000002</v>
      </c>
      <c r="F65" s="20">
        <v>0.52300000000000002</v>
      </c>
      <c r="G65" s="20">
        <v>0.52300000000000002</v>
      </c>
      <c r="H65" s="20">
        <v>0.52300000000000002</v>
      </c>
      <c r="I65" s="20">
        <v>0.52300000000000002</v>
      </c>
      <c r="J65" s="20">
        <v>0.52300000000000002</v>
      </c>
      <c r="K65" s="20">
        <v>0.52300000000000002</v>
      </c>
      <c r="L65" s="20">
        <v>0.52300000000000002</v>
      </c>
      <c r="M65" s="20">
        <v>0.52300000000000002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3.5999999999999997E-2</v>
      </c>
      <c r="D69" s="20">
        <v>3.5999999999999997E-2</v>
      </c>
      <c r="E69" s="20">
        <v>3.5999999999999997E-2</v>
      </c>
      <c r="F69" s="20">
        <v>3.5999999999999997E-2</v>
      </c>
      <c r="G69" s="20">
        <v>3.5999999999999997E-2</v>
      </c>
      <c r="H69" s="20">
        <v>3.5999999999999997E-2</v>
      </c>
      <c r="I69" s="20">
        <v>3.5999999999999997E-2</v>
      </c>
      <c r="J69" s="20">
        <v>3.5999999999999997E-2</v>
      </c>
      <c r="K69" s="20">
        <v>3.5999999999999997E-2</v>
      </c>
      <c r="L69" s="20">
        <v>3.5999999999999997E-2</v>
      </c>
      <c r="M69" s="20">
        <v>3.5999999999999997E-2</v>
      </c>
    </row>
    <row r="70" spans="1:13" x14ac:dyDescent="0.25">
      <c r="A70" s="7" t="s">
        <v>824</v>
      </c>
      <c r="C70" s="20">
        <f t="shared" ref="C70:M70" si="20">-C45/C19</f>
        <v>3.7037037037037035E-2</v>
      </c>
      <c r="D70" s="20">
        <f t="shared" si="20"/>
        <v>0.04</v>
      </c>
      <c r="E70" s="20">
        <f t="shared" si="20"/>
        <v>4.3478260869565216E-2</v>
      </c>
      <c r="F70" s="20">
        <f t="shared" si="20"/>
        <v>0.05</v>
      </c>
      <c r="G70" s="20">
        <f t="shared" si="20"/>
        <v>5.5555555555555552E-2</v>
      </c>
      <c r="H70" s="20">
        <f t="shared" si="20"/>
        <v>6.25E-2</v>
      </c>
      <c r="I70" s="20">
        <f t="shared" si="20"/>
        <v>0</v>
      </c>
      <c r="J70" s="20">
        <f t="shared" si="20"/>
        <v>0</v>
      </c>
      <c r="K70" s="20">
        <f t="shared" si="20"/>
        <v>0</v>
      </c>
      <c r="L70" s="20">
        <f t="shared" si="20"/>
        <v>0</v>
      </c>
      <c r="M70" s="20">
        <f t="shared" si="20"/>
        <v>0</v>
      </c>
    </row>
    <row r="71" spans="1:13" x14ac:dyDescent="0.25">
      <c r="A71" s="7" t="s">
        <v>835</v>
      </c>
      <c r="C71" s="20">
        <f t="shared" ref="C71:M71" si="21">C70-C69</f>
        <v>1.0370370370370377E-3</v>
      </c>
      <c r="D71" s="20">
        <f t="shared" si="21"/>
        <v>4.0000000000000036E-3</v>
      </c>
      <c r="E71" s="20">
        <f t="shared" si="21"/>
        <v>7.4782608695652189E-3</v>
      </c>
      <c r="F71" s="20">
        <f t="shared" si="21"/>
        <v>1.4000000000000005E-2</v>
      </c>
      <c r="G71" s="20">
        <f t="shared" si="21"/>
        <v>1.9555555555555555E-2</v>
      </c>
      <c r="H71" s="20">
        <f t="shared" si="21"/>
        <v>2.6500000000000003E-2</v>
      </c>
      <c r="I71" s="20">
        <f t="shared" si="21"/>
        <v>-3.5999999999999997E-2</v>
      </c>
      <c r="J71" s="20">
        <f t="shared" si="21"/>
        <v>-3.5999999999999997E-2</v>
      </c>
      <c r="K71" s="20">
        <f t="shared" si="21"/>
        <v>-3.5999999999999997E-2</v>
      </c>
      <c r="L71" s="20">
        <f t="shared" si="21"/>
        <v>-3.5999999999999997E-2</v>
      </c>
      <c r="M71" s="20">
        <f t="shared" si="21"/>
        <v>-3.5999999999999997E-2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5" t="s">
        <v>1</v>
      </c>
      <c r="M2" s="7" t="s">
        <v>264</v>
      </c>
    </row>
    <row r="3" spans="1:13" x14ac:dyDescent="0.25">
      <c r="A3" s="5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56</v>
      </c>
      <c r="D8" s="10">
        <v>57</v>
      </c>
      <c r="E8" s="10">
        <v>59</v>
      </c>
      <c r="F8" s="10">
        <v>61</v>
      </c>
      <c r="G8" s="10">
        <v>63</v>
      </c>
      <c r="H8" s="10">
        <v>65</v>
      </c>
      <c r="I8" s="10">
        <v>67</v>
      </c>
      <c r="J8" s="10">
        <v>69</v>
      </c>
      <c r="K8" s="10">
        <v>71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56</v>
      </c>
      <c r="D10" s="10">
        <v>57</v>
      </c>
      <c r="E10" s="10">
        <v>59</v>
      </c>
      <c r="F10" s="10">
        <v>61</v>
      </c>
      <c r="G10" s="10">
        <v>63</v>
      </c>
      <c r="H10" s="10">
        <v>65</v>
      </c>
      <c r="I10" s="10">
        <v>67</v>
      </c>
      <c r="J10" s="10">
        <v>69</v>
      </c>
      <c r="K10" s="10">
        <v>71</v>
      </c>
    </row>
    <row r="11" spans="1:13" x14ac:dyDescent="0.25">
      <c r="A11" s="7" t="s">
        <v>814</v>
      </c>
      <c r="C11" s="10">
        <f t="shared" ref="C11:M11" si="0">SUM(C8,C9)</f>
        <v>56</v>
      </c>
      <c r="D11" s="10">
        <f t="shared" si="0"/>
        <v>57</v>
      </c>
      <c r="E11" s="10">
        <f t="shared" si="0"/>
        <v>59</v>
      </c>
      <c r="F11" s="10">
        <f t="shared" si="0"/>
        <v>61</v>
      </c>
      <c r="G11" s="10">
        <f t="shared" si="0"/>
        <v>63</v>
      </c>
      <c r="H11" s="10">
        <f t="shared" si="0"/>
        <v>65</v>
      </c>
      <c r="I11" s="10">
        <f t="shared" si="0"/>
        <v>67</v>
      </c>
      <c r="J11" s="10">
        <f t="shared" si="0"/>
        <v>69</v>
      </c>
      <c r="K11" s="10">
        <f t="shared" si="0"/>
        <v>71</v>
      </c>
      <c r="L11">
        <f t="shared" si="0"/>
        <v>0</v>
      </c>
      <c r="M11">
        <f t="shared" si="0"/>
        <v>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>
        <f t="shared" si="1"/>
        <v>0</v>
      </c>
      <c r="M12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5</v>
      </c>
      <c r="D15" s="10">
        <v>4</v>
      </c>
      <c r="E15" s="10">
        <v>3</v>
      </c>
      <c r="F15" s="10">
        <v>2</v>
      </c>
      <c r="G15" s="10">
        <v>1</v>
      </c>
      <c r="H15" s="10">
        <v>1</v>
      </c>
      <c r="I15" s="10">
        <v>1</v>
      </c>
      <c r="J15" s="10">
        <v>0</v>
      </c>
      <c r="K15" s="10">
        <v>0</v>
      </c>
    </row>
    <row r="16" spans="1:13" x14ac:dyDescent="0.25">
      <c r="A16" s="7" t="s">
        <v>815</v>
      </c>
      <c r="C16" s="10">
        <f t="shared" ref="C16:M16" si="2">SUM(C10,C14)</f>
        <v>56.085999999999999</v>
      </c>
      <c r="D16" s="10">
        <f t="shared" si="2"/>
        <v>57.064</v>
      </c>
      <c r="E16" s="10">
        <f t="shared" si="2"/>
        <v>59.046999999999997</v>
      </c>
      <c r="F16" s="10">
        <f t="shared" si="2"/>
        <v>61.033000000000001</v>
      </c>
      <c r="G16" s="10">
        <f t="shared" si="2"/>
        <v>63.023000000000003</v>
      </c>
      <c r="H16" s="10">
        <f t="shared" si="2"/>
        <v>65.016000000000005</v>
      </c>
      <c r="I16" s="10">
        <f t="shared" si="2"/>
        <v>67.010999999999996</v>
      </c>
      <c r="J16" s="10">
        <f t="shared" si="2"/>
        <v>69.007000000000005</v>
      </c>
      <c r="K16" s="10">
        <f t="shared" si="2"/>
        <v>71.004999999999995</v>
      </c>
      <c r="L16">
        <f t="shared" si="2"/>
        <v>0</v>
      </c>
      <c r="M16">
        <f t="shared" si="2"/>
        <v>0</v>
      </c>
    </row>
    <row r="17" spans="1:13" x14ac:dyDescent="0.25">
      <c r="A17" s="7" t="s">
        <v>826</v>
      </c>
      <c r="C17" s="10">
        <f t="shared" ref="C17:M17" si="3">C16-C15</f>
        <v>51.085999999999999</v>
      </c>
      <c r="D17" s="10">
        <f t="shared" si="3"/>
        <v>53.064</v>
      </c>
      <c r="E17" s="10">
        <f t="shared" si="3"/>
        <v>56.046999999999997</v>
      </c>
      <c r="F17" s="10">
        <f t="shared" si="3"/>
        <v>59.033000000000001</v>
      </c>
      <c r="G17" s="10">
        <f t="shared" si="3"/>
        <v>62.023000000000003</v>
      </c>
      <c r="H17" s="10">
        <f t="shared" si="3"/>
        <v>64.016000000000005</v>
      </c>
      <c r="I17" s="10">
        <f t="shared" si="3"/>
        <v>66.010999999999996</v>
      </c>
      <c r="J17" s="10">
        <f t="shared" si="3"/>
        <v>69.007000000000005</v>
      </c>
      <c r="K17" s="10">
        <f t="shared" si="3"/>
        <v>71.004999999999995</v>
      </c>
      <c r="L17">
        <f t="shared" si="3"/>
        <v>0</v>
      </c>
      <c r="M17">
        <f t="shared" si="3"/>
        <v>0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5</v>
      </c>
      <c r="D19" s="13">
        <v>4</v>
      </c>
      <c r="E19" s="13">
        <v>3</v>
      </c>
      <c r="F19" s="13">
        <v>2</v>
      </c>
      <c r="G19" s="13">
        <v>1</v>
      </c>
      <c r="H19" s="13">
        <v>1</v>
      </c>
      <c r="I19" s="13">
        <v>1</v>
      </c>
      <c r="J19" s="13">
        <v>0</v>
      </c>
      <c r="K19" s="13">
        <v>0</v>
      </c>
    </row>
    <row r="20" spans="1:13" x14ac:dyDescent="0.25">
      <c r="A20" s="6" t="s">
        <v>106</v>
      </c>
      <c r="C20" s="13">
        <v>3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3</v>
      </c>
      <c r="D25" s="13">
        <v>2</v>
      </c>
      <c r="E25" s="13">
        <v>1</v>
      </c>
      <c r="F25" s="13">
        <v>1</v>
      </c>
      <c r="G25" s="13">
        <v>1</v>
      </c>
      <c r="H25" s="13">
        <v>1</v>
      </c>
      <c r="I25" s="13">
        <v>0</v>
      </c>
      <c r="J25" s="13">
        <v>0</v>
      </c>
      <c r="K25" s="13">
        <v>0</v>
      </c>
    </row>
    <row r="26" spans="1:13" x14ac:dyDescent="0.25">
      <c r="A26" s="6" t="s">
        <v>816</v>
      </c>
      <c r="C26" s="13">
        <f t="shared" ref="C26:M26" si="4">SUM(C20,C21)</f>
        <v>3</v>
      </c>
      <c r="D26" s="13">
        <f t="shared" si="4"/>
        <v>2</v>
      </c>
      <c r="E26" s="13">
        <f t="shared" si="4"/>
        <v>2</v>
      </c>
      <c r="F26" s="13">
        <f t="shared" si="4"/>
        <v>1</v>
      </c>
      <c r="G26" s="13">
        <f t="shared" si="4"/>
        <v>1</v>
      </c>
      <c r="H26" s="13">
        <f t="shared" si="4"/>
        <v>1</v>
      </c>
      <c r="I26" s="13">
        <f t="shared" si="4"/>
        <v>0</v>
      </c>
      <c r="J26" s="13">
        <f t="shared" si="4"/>
        <v>0</v>
      </c>
      <c r="K26" s="13">
        <f t="shared" si="4"/>
        <v>0</v>
      </c>
      <c r="L26">
        <f t="shared" si="4"/>
        <v>0</v>
      </c>
      <c r="M26">
        <f t="shared" si="4"/>
        <v>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>
        <f t="shared" ca="1" si="5"/>
        <v>0</v>
      </c>
      <c r="M27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 t="s">
        <v>820</v>
      </c>
      <c r="B30" s="20"/>
      <c r="C30" s="19">
        <f>C19*B29</f>
        <v>7.4999999999999997E-2</v>
      </c>
      <c r="D30" s="19">
        <f>D19*B29</f>
        <v>0.06</v>
      </c>
      <c r="E30" s="19">
        <f>E19*B29</f>
        <v>4.4999999999999998E-2</v>
      </c>
      <c r="F30" s="19">
        <f>F19*B29</f>
        <v>0.03</v>
      </c>
      <c r="G30" s="19">
        <f>G19*B29</f>
        <v>1.4999999999999999E-2</v>
      </c>
      <c r="H30" s="19">
        <f>H19*B29</f>
        <v>1.4999999999999999E-2</v>
      </c>
      <c r="I30" s="19">
        <f>I19*B29</f>
        <v>1.4999999999999999E-2</v>
      </c>
      <c r="J30" s="19">
        <f>J19*B29</f>
        <v>0</v>
      </c>
      <c r="K30" s="19">
        <f>K19*B29</f>
        <v>0</v>
      </c>
      <c r="L30">
        <f>L19*B29</f>
        <v>0</v>
      </c>
      <c r="M30">
        <f>M19*B29</f>
        <v>0</v>
      </c>
    </row>
    <row r="31" spans="1:13" x14ac:dyDescent="0.25">
      <c r="A31" s="7" t="s">
        <v>831</v>
      </c>
      <c r="B31" s="20"/>
      <c r="C31" s="19">
        <f t="shared" ref="C31:M31" si="6">C30-C29</f>
        <v>7.4999999999999997E-2</v>
      </c>
      <c r="D31" s="19">
        <f t="shared" si="6"/>
        <v>0.06</v>
      </c>
      <c r="E31" s="19">
        <f t="shared" si="6"/>
        <v>4.4999999999999998E-2</v>
      </c>
      <c r="F31" s="19">
        <f t="shared" si="6"/>
        <v>0.03</v>
      </c>
      <c r="G31" s="19">
        <f t="shared" si="6"/>
        <v>1.4999999999999999E-2</v>
      </c>
      <c r="H31" s="19">
        <f t="shared" si="6"/>
        <v>1.4999999999999999E-2</v>
      </c>
      <c r="I31" s="19">
        <f t="shared" si="6"/>
        <v>1.4999999999999999E-2</v>
      </c>
      <c r="J31" s="19">
        <f t="shared" si="6"/>
        <v>0</v>
      </c>
      <c r="K31" s="19">
        <f t="shared" si="6"/>
        <v>0</v>
      </c>
      <c r="L31">
        <f t="shared" si="6"/>
        <v>0</v>
      </c>
      <c r="M31">
        <f t="shared" si="6"/>
        <v>0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2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0</v>
      </c>
      <c r="J33" s="13">
        <v>0</v>
      </c>
      <c r="K33" s="13">
        <v>0</v>
      </c>
    </row>
    <row r="34" spans="1:13" x14ac:dyDescent="0.25">
      <c r="A34" s="6" t="s">
        <v>817</v>
      </c>
      <c r="C34" s="13">
        <f t="shared" ref="C34:M34" si="7">SUM(C25,C29)</f>
        <v>3</v>
      </c>
      <c r="D34" s="13">
        <f t="shared" si="7"/>
        <v>2</v>
      </c>
      <c r="E34" s="13">
        <f t="shared" si="7"/>
        <v>1</v>
      </c>
      <c r="F34" s="13">
        <f t="shared" si="7"/>
        <v>1</v>
      </c>
      <c r="G34" s="13">
        <f t="shared" si="7"/>
        <v>1</v>
      </c>
      <c r="H34" s="13">
        <f t="shared" si="7"/>
        <v>1</v>
      </c>
      <c r="I34" s="13">
        <f t="shared" si="7"/>
        <v>0</v>
      </c>
      <c r="J34" s="13">
        <f t="shared" si="7"/>
        <v>0</v>
      </c>
      <c r="K34" s="13">
        <f t="shared" si="7"/>
        <v>0</v>
      </c>
      <c r="L34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>
        <f t="shared" si="8"/>
        <v>0</v>
      </c>
      <c r="M35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 t="s">
        <v>821</v>
      </c>
      <c r="B38" s="20"/>
      <c r="C38" s="19">
        <f>C33*B37</f>
        <v>0.436</v>
      </c>
      <c r="D38" s="19">
        <f>D33*B37</f>
        <v>0.436</v>
      </c>
      <c r="E38" s="19">
        <f>E33*B37</f>
        <v>0.218</v>
      </c>
      <c r="F38" s="19">
        <f>F33*B37</f>
        <v>0.218</v>
      </c>
      <c r="G38" s="19">
        <f>G33*B37</f>
        <v>0.218</v>
      </c>
      <c r="H38" s="19">
        <f>H33*B37</f>
        <v>0.218</v>
      </c>
      <c r="I38" s="19">
        <f>I33*B37</f>
        <v>0</v>
      </c>
      <c r="J38" s="19">
        <f>J33*B37</f>
        <v>0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1.4359999999999999</v>
      </c>
      <c r="D39" s="19">
        <f t="shared" si="9"/>
        <v>0.436</v>
      </c>
      <c r="E39" s="19">
        <f t="shared" si="9"/>
        <v>0.218</v>
      </c>
      <c r="F39" s="19">
        <f t="shared" si="9"/>
        <v>0.218</v>
      </c>
      <c r="G39" s="19">
        <f t="shared" si="9"/>
        <v>0.218</v>
      </c>
      <c r="H39" s="19">
        <f t="shared" si="9"/>
        <v>0.218</v>
      </c>
      <c r="I39" s="19">
        <f t="shared" si="9"/>
        <v>0</v>
      </c>
      <c r="J39" s="19">
        <f t="shared" si="9"/>
        <v>0</v>
      </c>
      <c r="K39" s="19">
        <f t="shared" si="9"/>
        <v>0</v>
      </c>
      <c r="L39">
        <f t="shared" si="9"/>
        <v>0</v>
      </c>
      <c r="M3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2</v>
      </c>
      <c r="D41" s="13">
        <v>1</v>
      </c>
      <c r="E41" s="13">
        <v>1</v>
      </c>
      <c r="F41" s="13">
        <v>1</v>
      </c>
      <c r="G41" s="13">
        <v>1</v>
      </c>
      <c r="H41" s="13">
        <v>0</v>
      </c>
      <c r="I41" s="13">
        <v>0</v>
      </c>
      <c r="J41" s="13">
        <v>0</v>
      </c>
      <c r="K41" s="13">
        <v>0</v>
      </c>
    </row>
    <row r="42" spans="1:13" x14ac:dyDescent="0.25">
      <c r="A42" s="6" t="s">
        <v>819</v>
      </c>
      <c r="C42" s="13">
        <f t="shared" ref="C42:M42" si="10">C33-C37</f>
        <v>3</v>
      </c>
      <c r="D42" s="13">
        <f t="shared" si="10"/>
        <v>2</v>
      </c>
      <c r="E42" s="13">
        <f t="shared" si="10"/>
        <v>1</v>
      </c>
      <c r="F42" s="13">
        <f t="shared" si="10"/>
        <v>1</v>
      </c>
      <c r="G42" s="13">
        <f t="shared" si="10"/>
        <v>1</v>
      </c>
      <c r="H42" s="13">
        <f t="shared" si="10"/>
        <v>1</v>
      </c>
      <c r="I42" s="13">
        <f t="shared" si="10"/>
        <v>0</v>
      </c>
      <c r="J42" s="13">
        <f t="shared" si="10"/>
        <v>0</v>
      </c>
      <c r="K42" s="13">
        <f t="shared" si="10"/>
        <v>0</v>
      </c>
      <c r="L42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13">
        <f t="shared" ref="C43:M43" si="11">C42-C41</f>
        <v>1</v>
      </c>
      <c r="D43" s="13">
        <f t="shared" si="11"/>
        <v>1</v>
      </c>
      <c r="E43" s="13">
        <f t="shared" si="11"/>
        <v>0</v>
      </c>
      <c r="F43" s="13">
        <f t="shared" si="11"/>
        <v>0</v>
      </c>
      <c r="G43" s="13">
        <f t="shared" si="11"/>
        <v>0</v>
      </c>
      <c r="H43" s="13">
        <f t="shared" si="11"/>
        <v>1</v>
      </c>
      <c r="I43" s="13">
        <f t="shared" si="11"/>
        <v>0</v>
      </c>
      <c r="J43" s="13">
        <f t="shared" si="11"/>
        <v>0</v>
      </c>
      <c r="K43" s="13">
        <f t="shared" si="11"/>
        <v>0</v>
      </c>
      <c r="L43">
        <f t="shared" si="11"/>
        <v>0</v>
      </c>
      <c r="M4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2</v>
      </c>
      <c r="D46" s="13">
        <v>1</v>
      </c>
      <c r="E46" s="13">
        <v>1</v>
      </c>
      <c r="F46" s="13">
        <v>1</v>
      </c>
      <c r="G46" s="13">
        <v>1</v>
      </c>
      <c r="H46" s="13">
        <v>0</v>
      </c>
      <c r="I46" s="13">
        <v>0</v>
      </c>
      <c r="J46" s="13">
        <v>0</v>
      </c>
      <c r="K46" s="13">
        <v>0</v>
      </c>
    </row>
    <row r="47" spans="1:13" x14ac:dyDescent="0.25">
      <c r="A47" s="6" t="s">
        <v>818</v>
      </c>
      <c r="C47" s="13">
        <f t="shared" ref="C47:M47" si="12">SUM(C41,C45)</f>
        <v>2</v>
      </c>
      <c r="D47" s="13">
        <f t="shared" si="12"/>
        <v>1</v>
      </c>
      <c r="E47" s="13">
        <f t="shared" si="12"/>
        <v>1</v>
      </c>
      <c r="F47" s="13">
        <f t="shared" si="12"/>
        <v>1</v>
      </c>
      <c r="G47" s="13">
        <f t="shared" si="12"/>
        <v>1</v>
      </c>
      <c r="H47" s="13">
        <f t="shared" si="12"/>
        <v>0</v>
      </c>
      <c r="I47" s="13">
        <f t="shared" si="12"/>
        <v>0</v>
      </c>
      <c r="J47" s="13">
        <f t="shared" si="12"/>
        <v>0</v>
      </c>
      <c r="K47" s="13">
        <f t="shared" si="12"/>
        <v>0</v>
      </c>
      <c r="L47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>
        <f t="shared" si="13"/>
        <v>0</v>
      </c>
      <c r="M48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 t="s">
        <v>822</v>
      </c>
      <c r="C52" s="13">
        <f t="shared" ref="C52:M52" si="14">C46*C50</f>
        <v>0.20680000000000001</v>
      </c>
      <c r="D52" s="13">
        <f t="shared" si="14"/>
        <v>9.3100000000000002E-2</v>
      </c>
      <c r="E52" s="13">
        <f t="shared" si="14"/>
        <v>8.3900000000000002E-2</v>
      </c>
      <c r="F52" s="13">
        <f t="shared" si="14"/>
        <v>7.5600000000000001E-2</v>
      </c>
      <c r="G52" s="13">
        <f t="shared" si="14"/>
        <v>6.8099999999999994E-2</v>
      </c>
      <c r="H52" s="13">
        <f t="shared" si="14"/>
        <v>0</v>
      </c>
      <c r="I52" s="13">
        <f t="shared" si="14"/>
        <v>0</v>
      </c>
      <c r="J52" s="13">
        <f t="shared" si="14"/>
        <v>0</v>
      </c>
      <c r="K52" s="13">
        <f t="shared" si="14"/>
        <v>0</v>
      </c>
      <c r="L52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0.20680000000000001</v>
      </c>
      <c r="D53" s="13">
        <f t="shared" si="15"/>
        <v>9.3100000000000002E-2</v>
      </c>
      <c r="E53" s="13">
        <f t="shared" si="15"/>
        <v>8.3900000000000002E-2</v>
      </c>
      <c r="F53" s="13">
        <f t="shared" si="15"/>
        <v>7.5600000000000001E-2</v>
      </c>
      <c r="G53" s="13">
        <f t="shared" si="15"/>
        <v>6.8099999999999994E-2</v>
      </c>
      <c r="H53" s="13">
        <f t="shared" si="15"/>
        <v>0</v>
      </c>
      <c r="I53" s="13">
        <f t="shared" si="15"/>
        <v>0</v>
      </c>
      <c r="J53" s="13">
        <f t="shared" si="15"/>
        <v>0</v>
      </c>
      <c r="K53" s="13">
        <f t="shared" si="15"/>
        <v>0</v>
      </c>
      <c r="L53">
        <f t="shared" si="15"/>
        <v>0</v>
      </c>
      <c r="M5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>
        <f t="shared" ref="D57:M57" si="16">(D8-C8)/C8</f>
        <v>1.7857142857142856E-2</v>
      </c>
      <c r="E57" s="20">
        <f t="shared" si="16"/>
        <v>3.5087719298245612E-2</v>
      </c>
      <c r="F57" s="20">
        <f t="shared" si="16"/>
        <v>3.3898305084745763E-2</v>
      </c>
      <c r="G57" s="20">
        <f t="shared" si="16"/>
        <v>3.2786885245901641E-2</v>
      </c>
      <c r="H57" s="20">
        <f t="shared" si="16"/>
        <v>3.1746031746031744E-2</v>
      </c>
      <c r="I57" s="20">
        <f t="shared" si="16"/>
        <v>3.0769230769230771E-2</v>
      </c>
      <c r="J57" s="20">
        <f t="shared" si="16"/>
        <v>2.9850746268656716E-2</v>
      </c>
      <c r="K57" s="20">
        <f t="shared" si="16"/>
        <v>2.8985507246376812E-2</v>
      </c>
      <c r="L57">
        <f t="shared" si="16"/>
        <v>-1</v>
      </c>
      <c r="M57" t="e">
        <f t="shared" si="16"/>
        <v>#DIV/0!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-1.2142857142857143E-2</v>
      </c>
      <c r="E58" s="20">
        <f t="shared" si="17"/>
        <v>5.0877192982456132E-3</v>
      </c>
      <c r="F58" s="20">
        <f t="shared" si="17"/>
        <v>3.8983050847457637E-3</v>
      </c>
      <c r="G58" s="20">
        <f t="shared" si="17"/>
        <v>2.7868852459016422E-3</v>
      </c>
      <c r="H58" s="20">
        <f t="shared" si="17"/>
        <v>1.7460317460317454E-3</v>
      </c>
      <c r="I58" s="20">
        <f t="shared" si="17"/>
        <v>7.6923076923077205E-4</v>
      </c>
      <c r="J58" s="20">
        <f t="shared" si="17"/>
        <v>-1.4925373134328304E-4</v>
      </c>
      <c r="K58" s="20">
        <f t="shared" si="17"/>
        <v>-1.0144927536231869E-3</v>
      </c>
      <c r="L58">
        <f t="shared" si="17"/>
        <v>-1</v>
      </c>
      <c r="M58" t="e">
        <f t="shared" si="17"/>
        <v>#DIV/0!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0.57199999999999995</v>
      </c>
      <c r="D60" s="20">
        <v>0.57199999999999995</v>
      </c>
      <c r="E60" s="20">
        <v>0.57199999999999995</v>
      </c>
      <c r="F60" s="20">
        <v>0.57199999999999995</v>
      </c>
      <c r="G60" s="20">
        <v>0.57199999999999995</v>
      </c>
      <c r="H60" s="20">
        <v>0.57199999999999995</v>
      </c>
      <c r="I60" s="20">
        <v>0.57199999999999995</v>
      </c>
      <c r="J60" s="20">
        <v>0.57199999999999995</v>
      </c>
      <c r="K60" s="20">
        <v>0.57199999999999995</v>
      </c>
    </row>
    <row r="61" spans="1:13" x14ac:dyDescent="0.25">
      <c r="A61" s="7" t="s">
        <v>823</v>
      </c>
      <c r="C61" s="20">
        <f t="shared" ref="C61:M61" si="18">C20/C19</f>
        <v>0.6</v>
      </c>
      <c r="D61" s="20">
        <f t="shared" si="18"/>
        <v>0.5</v>
      </c>
      <c r="E61" s="20">
        <f t="shared" si="18"/>
        <v>0.66666666666666663</v>
      </c>
      <c r="F61" s="20">
        <f t="shared" si="18"/>
        <v>0.5</v>
      </c>
      <c r="G61" s="20">
        <f t="shared" si="18"/>
        <v>1</v>
      </c>
      <c r="H61" s="20">
        <f t="shared" si="18"/>
        <v>1</v>
      </c>
      <c r="I61" s="20">
        <f t="shared" si="18"/>
        <v>0</v>
      </c>
      <c r="J61" s="20" t="e">
        <f t="shared" si="18"/>
        <v>#DIV/0!</v>
      </c>
      <c r="K61" s="20" t="e">
        <f t="shared" si="18"/>
        <v>#DIV/0!</v>
      </c>
      <c r="L61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s="20">
        <f t="shared" ref="C62:M62" si="19">C61-C60</f>
        <v>2.8000000000000025E-2</v>
      </c>
      <c r="D62" s="20">
        <f t="shared" si="19"/>
        <v>-7.1999999999999953E-2</v>
      </c>
      <c r="E62" s="20">
        <f t="shared" si="19"/>
        <v>9.4666666666666677E-2</v>
      </c>
      <c r="F62" s="20">
        <f t="shared" si="19"/>
        <v>-7.1999999999999953E-2</v>
      </c>
      <c r="G62" s="20">
        <f t="shared" si="19"/>
        <v>0.42800000000000005</v>
      </c>
      <c r="H62" s="20">
        <f t="shared" si="19"/>
        <v>0.42800000000000005</v>
      </c>
      <c r="I62" s="20">
        <f t="shared" si="19"/>
        <v>-0.57199999999999995</v>
      </c>
      <c r="J62" s="20" t="e">
        <f t="shared" si="19"/>
        <v>#DIV/0!</v>
      </c>
      <c r="K62" s="20" t="e">
        <f t="shared" si="19"/>
        <v>#DIV/0!</v>
      </c>
      <c r="L62" t="e">
        <f t="shared" si="19"/>
        <v>#DIV/0!</v>
      </c>
      <c r="M62" t="e">
        <f t="shared" si="19"/>
        <v>#DIV/0!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0.52300000000000002</v>
      </c>
      <c r="D65" s="20">
        <v>0.52300000000000002</v>
      </c>
      <c r="E65" s="20">
        <v>0.52300000000000002</v>
      </c>
      <c r="F65" s="20">
        <v>0.52300000000000002</v>
      </c>
      <c r="G65" s="20">
        <v>0.52300000000000002</v>
      </c>
      <c r="H65" s="20">
        <v>0.52300000000000002</v>
      </c>
      <c r="I65" s="20">
        <v>0.52300000000000002</v>
      </c>
      <c r="J65" s="20">
        <v>0.52300000000000002</v>
      </c>
      <c r="K65" s="20">
        <v>0.52300000000000002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3.5999999999999997E-2</v>
      </c>
      <c r="D69" s="20">
        <v>3.5999999999999997E-2</v>
      </c>
      <c r="E69" s="20">
        <v>3.5999999999999997E-2</v>
      </c>
      <c r="F69" s="20">
        <v>3.5999999999999997E-2</v>
      </c>
      <c r="G69" s="20">
        <v>3.5999999999999997E-2</v>
      </c>
      <c r="H69" s="20">
        <v>3.5999999999999997E-2</v>
      </c>
      <c r="I69" s="20">
        <v>3.5999999999999997E-2</v>
      </c>
      <c r="J69" s="20">
        <v>3.5999999999999997E-2</v>
      </c>
      <c r="K69" s="20">
        <v>3.5999999999999997E-2</v>
      </c>
    </row>
    <row r="70" spans="1:13" x14ac:dyDescent="0.25">
      <c r="A70" s="7" t="s">
        <v>824</v>
      </c>
      <c r="C70" s="20">
        <f t="shared" ref="C70:M70" si="20">-C45/C19</f>
        <v>0</v>
      </c>
      <c r="D70" s="20">
        <f t="shared" si="20"/>
        <v>0</v>
      </c>
      <c r="E70" s="20">
        <f t="shared" si="20"/>
        <v>0</v>
      </c>
      <c r="F70" s="20">
        <f t="shared" si="20"/>
        <v>0</v>
      </c>
      <c r="G70" s="20">
        <f t="shared" si="20"/>
        <v>0</v>
      </c>
      <c r="H70" s="20">
        <f t="shared" si="20"/>
        <v>0</v>
      </c>
      <c r="I70" s="20">
        <f t="shared" si="20"/>
        <v>0</v>
      </c>
      <c r="J70" s="20" t="e">
        <f t="shared" si="20"/>
        <v>#DIV/0!</v>
      </c>
      <c r="K70" s="20" t="e">
        <f t="shared" si="20"/>
        <v>#DIV/0!</v>
      </c>
      <c r="L7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s="20">
        <f t="shared" ref="C71:M71" si="21">C70-C69</f>
        <v>-3.5999999999999997E-2</v>
      </c>
      <c r="D71" s="20">
        <f t="shared" si="21"/>
        <v>-3.5999999999999997E-2</v>
      </c>
      <c r="E71" s="20">
        <f t="shared" si="21"/>
        <v>-3.5999999999999997E-2</v>
      </c>
      <c r="F71" s="20">
        <f t="shared" si="21"/>
        <v>-3.5999999999999997E-2</v>
      </c>
      <c r="G71" s="20">
        <f t="shared" si="21"/>
        <v>-3.5999999999999997E-2</v>
      </c>
      <c r="H71" s="20">
        <f t="shared" si="21"/>
        <v>-3.5999999999999997E-2</v>
      </c>
      <c r="I71" s="20">
        <f t="shared" si="21"/>
        <v>-3.5999999999999997E-2</v>
      </c>
      <c r="J71" s="20" t="e">
        <f t="shared" si="21"/>
        <v>#DIV/0!</v>
      </c>
      <c r="K71" s="20" t="e">
        <f t="shared" si="21"/>
        <v>#DIV/0!</v>
      </c>
      <c r="L71" t="e">
        <f t="shared" si="21"/>
        <v>#DIV/0!</v>
      </c>
      <c r="M71" t="e">
        <f t="shared" si="21"/>
        <v>#DIV/0!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M8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265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28</v>
      </c>
      <c r="D8" s="10">
        <v>116</v>
      </c>
      <c r="E8" s="10">
        <v>119</v>
      </c>
      <c r="F8" s="10">
        <v>122</v>
      </c>
      <c r="G8" s="10">
        <v>123</v>
      </c>
      <c r="H8" s="10">
        <v>128</v>
      </c>
      <c r="I8" s="10">
        <v>132</v>
      </c>
      <c r="J8" s="10">
        <v>137</v>
      </c>
      <c r="K8" s="10">
        <v>141</v>
      </c>
      <c r="L8" s="10">
        <v>145</v>
      </c>
      <c r="M8" s="10">
        <v>149</v>
      </c>
    </row>
    <row r="9" spans="1:13" x14ac:dyDescent="0.25">
      <c r="A9" s="7" t="s">
        <v>204</v>
      </c>
      <c r="C9" s="19">
        <v>-20</v>
      </c>
      <c r="D9" s="19">
        <v>-13</v>
      </c>
      <c r="E9" s="19">
        <v>0</v>
      </c>
    </row>
    <row r="10" spans="1:13" x14ac:dyDescent="0.25">
      <c r="A10" s="7" t="s">
        <v>253</v>
      </c>
      <c r="C10" s="10">
        <v>8</v>
      </c>
      <c r="D10" s="10">
        <v>103</v>
      </c>
      <c r="E10" s="10">
        <v>119</v>
      </c>
      <c r="F10" s="10">
        <v>122</v>
      </c>
      <c r="G10" s="10">
        <v>123</v>
      </c>
      <c r="H10" s="10">
        <v>128</v>
      </c>
      <c r="I10" s="10">
        <v>132</v>
      </c>
      <c r="J10" s="10">
        <v>137</v>
      </c>
      <c r="K10" s="10">
        <v>141</v>
      </c>
      <c r="L10" s="10">
        <v>145</v>
      </c>
      <c r="M10" s="10">
        <v>149</v>
      </c>
    </row>
    <row r="11" spans="1:13" x14ac:dyDescent="0.25">
      <c r="A11" s="7" t="s">
        <v>814</v>
      </c>
      <c r="C11" s="10">
        <f t="shared" ref="C11:M11" si="0">SUM(C8,C9)</f>
        <v>8</v>
      </c>
      <c r="D11" s="10">
        <f t="shared" si="0"/>
        <v>103</v>
      </c>
      <c r="E11" s="10">
        <f t="shared" si="0"/>
        <v>119</v>
      </c>
      <c r="F11" s="10">
        <f t="shared" si="0"/>
        <v>122</v>
      </c>
      <c r="G11" s="10">
        <f t="shared" si="0"/>
        <v>123</v>
      </c>
      <c r="H11" s="10">
        <f t="shared" si="0"/>
        <v>128</v>
      </c>
      <c r="I11" s="10">
        <f t="shared" si="0"/>
        <v>132</v>
      </c>
      <c r="J11" s="10">
        <f t="shared" si="0"/>
        <v>137</v>
      </c>
      <c r="K11" s="10">
        <f t="shared" si="0"/>
        <v>141</v>
      </c>
      <c r="L11" s="10">
        <f t="shared" si="0"/>
        <v>145</v>
      </c>
      <c r="M11" s="10">
        <f t="shared" si="0"/>
        <v>149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1</v>
      </c>
      <c r="D14" s="20">
        <v>1</v>
      </c>
      <c r="E14" s="20">
        <v>1</v>
      </c>
      <c r="F14" s="20">
        <v>0.999</v>
      </c>
      <c r="G14" s="20">
        <v>0.997</v>
      </c>
      <c r="H14" s="20">
        <v>0.99299999999999999</v>
      </c>
      <c r="I14" s="20">
        <v>0.98799999999999999</v>
      </c>
      <c r="J14" s="20">
        <v>0.98</v>
      </c>
      <c r="K14" s="20">
        <v>0.97</v>
      </c>
      <c r="L14" s="20">
        <v>0.95599999999999996</v>
      </c>
      <c r="M14" s="20">
        <v>0.93899999999999995</v>
      </c>
    </row>
    <row r="15" spans="1:13" x14ac:dyDescent="0.25">
      <c r="A15" s="7" t="s">
        <v>208</v>
      </c>
      <c r="C15" s="10">
        <v>8</v>
      </c>
      <c r="D15" s="10">
        <v>103</v>
      </c>
      <c r="E15" s="10">
        <v>119</v>
      </c>
      <c r="F15" s="10">
        <v>121</v>
      </c>
      <c r="G15" s="10">
        <v>123</v>
      </c>
      <c r="H15" s="10">
        <v>127</v>
      </c>
      <c r="I15" s="10">
        <v>131</v>
      </c>
      <c r="J15" s="10">
        <v>134</v>
      </c>
      <c r="K15" s="10">
        <v>137</v>
      </c>
      <c r="L15" s="10">
        <v>139</v>
      </c>
      <c r="M15" s="10">
        <v>140</v>
      </c>
    </row>
    <row r="16" spans="1:13" x14ac:dyDescent="0.25">
      <c r="A16" s="7" t="s">
        <v>815</v>
      </c>
      <c r="C16" s="10">
        <f t="shared" ref="C16:M16" si="2">SUM(C10,C14)</f>
        <v>9</v>
      </c>
      <c r="D16" s="10">
        <f t="shared" si="2"/>
        <v>104</v>
      </c>
      <c r="E16" s="10">
        <f t="shared" si="2"/>
        <v>120</v>
      </c>
      <c r="F16" s="10">
        <f t="shared" si="2"/>
        <v>122.999</v>
      </c>
      <c r="G16" s="10">
        <f t="shared" si="2"/>
        <v>123.997</v>
      </c>
      <c r="H16" s="10">
        <f t="shared" si="2"/>
        <v>128.99299999999999</v>
      </c>
      <c r="I16" s="10">
        <f t="shared" si="2"/>
        <v>132.988</v>
      </c>
      <c r="J16" s="10">
        <f t="shared" si="2"/>
        <v>137.97999999999999</v>
      </c>
      <c r="K16" s="10">
        <f t="shared" si="2"/>
        <v>141.97</v>
      </c>
      <c r="L16" s="10">
        <f t="shared" si="2"/>
        <v>145.95599999999999</v>
      </c>
      <c r="M16" s="10">
        <f t="shared" si="2"/>
        <v>149.93899999999999</v>
      </c>
    </row>
    <row r="17" spans="1:13" x14ac:dyDescent="0.25">
      <c r="A17" s="7" t="s">
        <v>826</v>
      </c>
      <c r="C17" s="10">
        <f t="shared" ref="C17:M17" si="3">C16-C15</f>
        <v>1</v>
      </c>
      <c r="D17" s="10">
        <f t="shared" si="3"/>
        <v>1</v>
      </c>
      <c r="E17" s="10">
        <f t="shared" si="3"/>
        <v>1</v>
      </c>
      <c r="F17" s="10">
        <f t="shared" si="3"/>
        <v>1.9989999999999952</v>
      </c>
      <c r="G17" s="10">
        <f t="shared" si="3"/>
        <v>0.99699999999999989</v>
      </c>
      <c r="H17" s="10">
        <f t="shared" si="3"/>
        <v>1.992999999999995</v>
      </c>
      <c r="I17" s="10">
        <f t="shared" si="3"/>
        <v>1.9879999999999995</v>
      </c>
      <c r="J17" s="10">
        <f t="shared" si="3"/>
        <v>3.9799999999999898</v>
      </c>
      <c r="K17" s="10">
        <f t="shared" si="3"/>
        <v>4.9699999999999989</v>
      </c>
      <c r="L17" s="10">
        <f t="shared" si="3"/>
        <v>6.9559999999999889</v>
      </c>
      <c r="M17" s="10">
        <f t="shared" si="3"/>
        <v>9.938999999999993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8</v>
      </c>
      <c r="D19" s="13">
        <v>103</v>
      </c>
      <c r="E19" s="13">
        <v>119</v>
      </c>
      <c r="F19" s="13">
        <v>121</v>
      </c>
      <c r="G19" s="13">
        <v>123</v>
      </c>
      <c r="H19" s="13">
        <v>127</v>
      </c>
      <c r="I19" s="13">
        <v>131</v>
      </c>
      <c r="J19" s="13">
        <v>134</v>
      </c>
      <c r="K19" s="13">
        <v>137</v>
      </c>
      <c r="L19" s="13">
        <v>139</v>
      </c>
      <c r="M19" s="13">
        <v>140</v>
      </c>
    </row>
    <row r="20" spans="1:13" x14ac:dyDescent="0.25">
      <c r="A20" s="6" t="s">
        <v>106</v>
      </c>
      <c r="C20" s="13">
        <v>2</v>
      </c>
      <c r="D20" s="13">
        <v>33</v>
      </c>
      <c r="E20" s="13">
        <v>41</v>
      </c>
      <c r="F20" s="13">
        <v>43</v>
      </c>
      <c r="G20" s="13">
        <v>43</v>
      </c>
      <c r="H20" s="13">
        <v>46</v>
      </c>
      <c r="I20" s="13">
        <v>49</v>
      </c>
      <c r="J20" s="13">
        <v>51</v>
      </c>
      <c r="K20" s="13">
        <v>52</v>
      </c>
      <c r="L20" s="13">
        <v>53</v>
      </c>
      <c r="M20" s="13">
        <v>53</v>
      </c>
    </row>
    <row r="21" spans="1:13" x14ac:dyDescent="0.25">
      <c r="A21" s="7" t="s">
        <v>107</v>
      </c>
      <c r="C21" s="19">
        <v>0</v>
      </c>
      <c r="D21" s="19">
        <v>-3</v>
      </c>
      <c r="E21" s="19">
        <v>-4</v>
      </c>
      <c r="F21" s="19">
        <v>-6</v>
      </c>
      <c r="G21" s="19">
        <v>-7</v>
      </c>
      <c r="H21" s="19">
        <v>-7</v>
      </c>
      <c r="I21" s="19">
        <v>-7</v>
      </c>
      <c r="J21" s="19">
        <v>-7</v>
      </c>
      <c r="K21" s="19">
        <v>-7</v>
      </c>
      <c r="L21" s="19">
        <v>-7</v>
      </c>
      <c r="M21" s="19">
        <v>-7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2</v>
      </c>
      <c r="D25" s="13">
        <v>29</v>
      </c>
      <c r="E25" s="13">
        <v>37</v>
      </c>
      <c r="F25" s="13">
        <v>37</v>
      </c>
      <c r="G25" s="13">
        <v>36</v>
      </c>
      <c r="H25" s="13">
        <v>39</v>
      </c>
      <c r="I25" s="13">
        <v>42</v>
      </c>
      <c r="J25" s="13">
        <v>44</v>
      </c>
      <c r="K25" s="13">
        <v>45</v>
      </c>
      <c r="L25" s="13">
        <v>46</v>
      </c>
      <c r="M25" s="13">
        <v>47</v>
      </c>
    </row>
    <row r="26" spans="1:13" x14ac:dyDescent="0.25">
      <c r="A26" s="6" t="s">
        <v>816</v>
      </c>
      <c r="C26" s="13">
        <f t="shared" ref="C26:M26" si="4">SUM(C20,C21)</f>
        <v>2</v>
      </c>
      <c r="D26" s="13">
        <f t="shared" si="4"/>
        <v>30</v>
      </c>
      <c r="E26" s="13">
        <f t="shared" si="4"/>
        <v>37</v>
      </c>
      <c r="F26" s="13">
        <f t="shared" si="4"/>
        <v>37</v>
      </c>
      <c r="G26" s="13">
        <f t="shared" si="4"/>
        <v>36</v>
      </c>
      <c r="H26" s="13">
        <f t="shared" si="4"/>
        <v>39</v>
      </c>
      <c r="I26" s="13">
        <f t="shared" si="4"/>
        <v>42</v>
      </c>
      <c r="J26" s="13">
        <f t="shared" si="4"/>
        <v>44</v>
      </c>
      <c r="K26" s="13">
        <f t="shared" si="4"/>
        <v>45</v>
      </c>
      <c r="L26" s="13">
        <f t="shared" si="4"/>
        <v>46</v>
      </c>
      <c r="M26" s="13">
        <f t="shared" si="4"/>
        <v>46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 t="s">
        <v>820</v>
      </c>
      <c r="B30" s="20"/>
      <c r="C30" s="19">
        <f>C19*B29</f>
        <v>0.12</v>
      </c>
      <c r="D30" s="19">
        <f>D19*B29</f>
        <v>1.5449999999999999</v>
      </c>
      <c r="E30" s="19">
        <f>E19*B29</f>
        <v>1.7849999999999999</v>
      </c>
      <c r="F30" s="19">
        <f>F19*B29</f>
        <v>1.8149999999999999</v>
      </c>
      <c r="G30" s="19">
        <f>G19*B29</f>
        <v>1.845</v>
      </c>
      <c r="H30" s="19">
        <f>H19*B29</f>
        <v>1.905</v>
      </c>
      <c r="I30" s="19">
        <f>I19*B29</f>
        <v>1.9649999999999999</v>
      </c>
      <c r="J30" s="19">
        <f>J19*B29</f>
        <v>2.0099999999999998</v>
      </c>
      <c r="K30" s="19">
        <f>K19*B29</f>
        <v>2.0549999999999997</v>
      </c>
      <c r="L30" s="19">
        <f>L19*B29</f>
        <v>2.085</v>
      </c>
      <c r="M30" s="19">
        <f>M19*B29</f>
        <v>2.1</v>
      </c>
    </row>
    <row r="31" spans="1:13" x14ac:dyDescent="0.25">
      <c r="A31" s="7" t="s">
        <v>831</v>
      </c>
      <c r="B31" s="20"/>
      <c r="C31" s="19">
        <f t="shared" ref="C31:M31" si="6">C30-C29</f>
        <v>0.12</v>
      </c>
      <c r="D31" s="19">
        <f t="shared" si="6"/>
        <v>3.5449999999999999</v>
      </c>
      <c r="E31" s="19">
        <f t="shared" si="6"/>
        <v>3.7850000000000001</v>
      </c>
      <c r="F31" s="19">
        <f t="shared" si="6"/>
        <v>3.8149999999999999</v>
      </c>
      <c r="G31" s="19">
        <f t="shared" si="6"/>
        <v>3.8449999999999998</v>
      </c>
      <c r="H31" s="19">
        <f t="shared" si="6"/>
        <v>3.9050000000000002</v>
      </c>
      <c r="I31" s="19">
        <f t="shared" si="6"/>
        <v>3.9649999999999999</v>
      </c>
      <c r="J31" s="19">
        <f t="shared" si="6"/>
        <v>4.01</v>
      </c>
      <c r="K31" s="19">
        <f t="shared" si="6"/>
        <v>4.0549999999999997</v>
      </c>
      <c r="L31" s="19">
        <f t="shared" si="6"/>
        <v>4.085</v>
      </c>
      <c r="M31" s="19">
        <f t="shared" si="6"/>
        <v>4.0999999999999996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</v>
      </c>
      <c r="D33" s="13">
        <v>28</v>
      </c>
      <c r="E33" s="13">
        <v>35</v>
      </c>
      <c r="F33" s="13">
        <v>35</v>
      </c>
      <c r="G33" s="13">
        <v>35</v>
      </c>
      <c r="H33" s="13">
        <v>37</v>
      </c>
      <c r="I33" s="13">
        <v>40</v>
      </c>
      <c r="J33" s="13">
        <v>42</v>
      </c>
      <c r="K33" s="13">
        <v>43</v>
      </c>
      <c r="L33" s="13">
        <v>44</v>
      </c>
      <c r="M33" s="13">
        <v>44</v>
      </c>
    </row>
    <row r="34" spans="1:13" x14ac:dyDescent="0.25">
      <c r="A34" s="6" t="s">
        <v>817</v>
      </c>
      <c r="C34" s="13">
        <f t="shared" ref="C34:M34" si="7">SUM(C25,C29)</f>
        <v>2</v>
      </c>
      <c r="D34" s="13">
        <f t="shared" si="7"/>
        <v>27</v>
      </c>
      <c r="E34" s="13">
        <f t="shared" si="7"/>
        <v>35</v>
      </c>
      <c r="F34" s="13">
        <f t="shared" si="7"/>
        <v>35</v>
      </c>
      <c r="G34" s="13">
        <f t="shared" si="7"/>
        <v>34</v>
      </c>
      <c r="H34" s="13">
        <f t="shared" si="7"/>
        <v>37</v>
      </c>
      <c r="I34" s="13">
        <f t="shared" si="7"/>
        <v>40</v>
      </c>
      <c r="J34" s="13">
        <f t="shared" si="7"/>
        <v>42</v>
      </c>
      <c r="K34" s="13">
        <f t="shared" si="7"/>
        <v>43</v>
      </c>
      <c r="L34" s="13">
        <f t="shared" si="7"/>
        <v>44</v>
      </c>
      <c r="M34" s="13">
        <f t="shared" si="7"/>
        <v>45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-1</v>
      </c>
      <c r="E35" s="13">
        <f t="shared" si="8"/>
        <v>0</v>
      </c>
      <c r="F35" s="13">
        <f t="shared" si="8"/>
        <v>0</v>
      </c>
      <c r="G35" s="13">
        <f t="shared" si="8"/>
        <v>-1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 s="13">
        <f t="shared" si="8"/>
        <v>1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-6</v>
      </c>
      <c r="E37" s="19">
        <v>-8</v>
      </c>
      <c r="F37" s="19">
        <v>-8</v>
      </c>
      <c r="G37" s="19">
        <v>-8</v>
      </c>
      <c r="H37" s="19">
        <v>-8</v>
      </c>
      <c r="I37" s="19">
        <v>-9</v>
      </c>
      <c r="J37" s="19">
        <v>-9</v>
      </c>
      <c r="K37" s="19">
        <v>-9</v>
      </c>
      <c r="L37" s="19">
        <v>-10</v>
      </c>
      <c r="M37" s="19">
        <v>-10</v>
      </c>
    </row>
    <row r="38" spans="1:13" x14ac:dyDescent="0.25">
      <c r="A38" s="7" t="s">
        <v>821</v>
      </c>
      <c r="B38" s="20"/>
      <c r="C38" s="31">
        <f>C33*B37</f>
        <v>0.436</v>
      </c>
      <c r="D38" s="19">
        <f>D33*B37</f>
        <v>6.1040000000000001</v>
      </c>
      <c r="E38" s="19">
        <f>E33*B37</f>
        <v>7.63</v>
      </c>
      <c r="F38" s="19">
        <f>F33*B37</f>
        <v>7.63</v>
      </c>
      <c r="G38" s="19">
        <f>G33*B37</f>
        <v>7.63</v>
      </c>
      <c r="H38" s="19">
        <f>H33*B37</f>
        <v>8.0660000000000007</v>
      </c>
      <c r="I38" s="19">
        <f>I33*B37</f>
        <v>8.7200000000000006</v>
      </c>
      <c r="J38" s="19">
        <f>J33*B37</f>
        <v>9.1560000000000006</v>
      </c>
      <c r="K38" s="19">
        <f>K33*B37</f>
        <v>9.3740000000000006</v>
      </c>
      <c r="L38" s="19">
        <f>L33*B37</f>
        <v>9.5920000000000005</v>
      </c>
      <c r="M38" s="19">
        <f>M33*B37</f>
        <v>9.5920000000000005</v>
      </c>
    </row>
    <row r="39" spans="1:13" x14ac:dyDescent="0.25">
      <c r="A39" s="7" t="s">
        <v>832</v>
      </c>
      <c r="B39" s="20"/>
      <c r="C39" s="31">
        <f t="shared" ref="C39:M39" si="9">C38-C37</f>
        <v>0.436</v>
      </c>
      <c r="D39" s="19">
        <f t="shared" si="9"/>
        <v>12.103999999999999</v>
      </c>
      <c r="E39" s="19">
        <f t="shared" si="9"/>
        <v>15.629999999999999</v>
      </c>
      <c r="F39" s="19">
        <f t="shared" si="9"/>
        <v>15.629999999999999</v>
      </c>
      <c r="G39" s="19">
        <f t="shared" si="9"/>
        <v>15.629999999999999</v>
      </c>
      <c r="H39" s="19">
        <f t="shared" si="9"/>
        <v>16.066000000000003</v>
      </c>
      <c r="I39" s="19">
        <f t="shared" si="9"/>
        <v>17.72</v>
      </c>
      <c r="J39" s="19">
        <f t="shared" si="9"/>
        <v>18.155999999999999</v>
      </c>
      <c r="K39" s="19">
        <f t="shared" si="9"/>
        <v>18.374000000000002</v>
      </c>
      <c r="L39" s="19">
        <f t="shared" si="9"/>
        <v>19.591999999999999</v>
      </c>
      <c r="M39" s="19">
        <f t="shared" si="9"/>
        <v>19.591999999999999</v>
      </c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2</v>
      </c>
      <c r="D41" s="13">
        <v>22</v>
      </c>
      <c r="E41" s="13">
        <v>27</v>
      </c>
      <c r="F41" s="13">
        <v>27</v>
      </c>
      <c r="G41" s="13">
        <v>27</v>
      </c>
      <c r="H41" s="13">
        <v>29</v>
      </c>
      <c r="I41" s="13">
        <v>31</v>
      </c>
      <c r="J41" s="13">
        <v>33</v>
      </c>
      <c r="K41" s="13">
        <v>34</v>
      </c>
      <c r="L41" s="13">
        <v>34</v>
      </c>
      <c r="M41" s="13">
        <v>35</v>
      </c>
    </row>
    <row r="42" spans="1:13" x14ac:dyDescent="0.25">
      <c r="A42" s="6" t="s">
        <v>819</v>
      </c>
      <c r="C42" s="13">
        <f t="shared" ref="C42:M42" si="10">C33-C37</f>
        <v>2</v>
      </c>
      <c r="D42" s="13">
        <f t="shared" si="10"/>
        <v>34</v>
      </c>
      <c r="E42" s="13">
        <f t="shared" si="10"/>
        <v>43</v>
      </c>
      <c r="F42" s="13">
        <f t="shared" si="10"/>
        <v>43</v>
      </c>
      <c r="G42" s="13">
        <f t="shared" si="10"/>
        <v>43</v>
      </c>
      <c r="H42" s="13">
        <f t="shared" si="10"/>
        <v>45</v>
      </c>
      <c r="I42" s="13">
        <f t="shared" si="10"/>
        <v>49</v>
      </c>
      <c r="J42" s="13">
        <f t="shared" si="10"/>
        <v>51</v>
      </c>
      <c r="K42" s="13">
        <f t="shared" si="10"/>
        <v>52</v>
      </c>
      <c r="L42" s="13">
        <f t="shared" si="10"/>
        <v>54</v>
      </c>
      <c r="M42" s="13">
        <f t="shared" si="10"/>
        <v>54</v>
      </c>
    </row>
    <row r="43" spans="1:13" x14ac:dyDescent="0.25">
      <c r="A43" s="6" t="s">
        <v>830</v>
      </c>
      <c r="C43" s="13">
        <f t="shared" ref="C43:M43" si="11">C42-C41</f>
        <v>0</v>
      </c>
      <c r="D43" s="13">
        <f t="shared" si="11"/>
        <v>12</v>
      </c>
      <c r="E43" s="13">
        <f t="shared" si="11"/>
        <v>16</v>
      </c>
      <c r="F43" s="13">
        <f t="shared" si="11"/>
        <v>16</v>
      </c>
      <c r="G43" s="13">
        <f t="shared" si="11"/>
        <v>16</v>
      </c>
      <c r="H43" s="13">
        <f t="shared" si="11"/>
        <v>16</v>
      </c>
      <c r="I43" s="13">
        <f t="shared" si="11"/>
        <v>18</v>
      </c>
      <c r="J43" s="13">
        <f t="shared" si="11"/>
        <v>18</v>
      </c>
      <c r="K43" s="13">
        <f t="shared" si="11"/>
        <v>18</v>
      </c>
      <c r="L43" s="13">
        <f t="shared" si="11"/>
        <v>20</v>
      </c>
      <c r="M43" s="13">
        <f t="shared" si="11"/>
        <v>19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-5</v>
      </c>
      <c r="E45" s="19">
        <v>-5</v>
      </c>
      <c r="F45" s="19">
        <v>-6</v>
      </c>
      <c r="G45" s="19">
        <v>-6</v>
      </c>
      <c r="H45" s="19">
        <v>-6</v>
      </c>
      <c r="I45" s="19">
        <v>-6</v>
      </c>
      <c r="J45" s="19">
        <v>-6</v>
      </c>
      <c r="K45" s="19">
        <v>-6</v>
      </c>
      <c r="L45" s="19">
        <v>-6</v>
      </c>
      <c r="M45" s="19">
        <v>-6</v>
      </c>
    </row>
    <row r="46" spans="1:13" x14ac:dyDescent="0.25">
      <c r="A46" s="6" t="s">
        <v>215</v>
      </c>
      <c r="C46" s="13">
        <v>1</v>
      </c>
      <c r="D46" s="13">
        <v>17</v>
      </c>
      <c r="E46" s="13">
        <v>22</v>
      </c>
      <c r="F46" s="13">
        <v>22</v>
      </c>
      <c r="G46" s="13">
        <v>21</v>
      </c>
      <c r="H46" s="13">
        <v>23</v>
      </c>
      <c r="I46" s="13">
        <v>25</v>
      </c>
      <c r="J46" s="13">
        <v>27</v>
      </c>
      <c r="K46" s="13">
        <v>28</v>
      </c>
      <c r="L46" s="13">
        <v>28</v>
      </c>
      <c r="M46" s="13">
        <v>28</v>
      </c>
    </row>
    <row r="47" spans="1:13" x14ac:dyDescent="0.25">
      <c r="A47" s="6" t="s">
        <v>818</v>
      </c>
      <c r="C47" s="13">
        <f t="shared" ref="C47:M47" si="12">SUM(C41,C45)</f>
        <v>2</v>
      </c>
      <c r="D47" s="13">
        <f t="shared" si="12"/>
        <v>17</v>
      </c>
      <c r="E47" s="13">
        <f t="shared" si="12"/>
        <v>22</v>
      </c>
      <c r="F47" s="13">
        <f t="shared" si="12"/>
        <v>21</v>
      </c>
      <c r="G47" s="13">
        <f t="shared" si="12"/>
        <v>21</v>
      </c>
      <c r="H47" s="13">
        <f t="shared" si="12"/>
        <v>23</v>
      </c>
      <c r="I47" s="13">
        <f t="shared" si="12"/>
        <v>25</v>
      </c>
      <c r="J47" s="13">
        <f t="shared" si="12"/>
        <v>27</v>
      </c>
      <c r="K47" s="13">
        <f t="shared" si="12"/>
        <v>28</v>
      </c>
      <c r="L47" s="13">
        <f t="shared" si="12"/>
        <v>28</v>
      </c>
      <c r="M47" s="13">
        <f t="shared" si="12"/>
        <v>29</v>
      </c>
    </row>
    <row r="48" spans="1:13" x14ac:dyDescent="0.25">
      <c r="A48" s="6" t="s">
        <v>829</v>
      </c>
      <c r="C48" s="13">
        <f t="shared" ref="C48:M48" si="13">C47-C46</f>
        <v>1</v>
      </c>
      <c r="D48" s="13">
        <f t="shared" si="13"/>
        <v>0</v>
      </c>
      <c r="E48" s="13">
        <f t="shared" si="13"/>
        <v>0</v>
      </c>
      <c r="F48" s="13">
        <f t="shared" si="13"/>
        <v>-1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 s="13">
        <f t="shared" si="13"/>
        <v>0</v>
      </c>
      <c r="M48" s="13">
        <f t="shared" si="13"/>
        <v>1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1</v>
      </c>
      <c r="D51" s="13">
        <v>16</v>
      </c>
      <c r="E51" s="13">
        <v>18</v>
      </c>
      <c r="F51" s="13">
        <v>16</v>
      </c>
      <c r="G51" s="13">
        <v>14</v>
      </c>
      <c r="H51" s="13">
        <v>14</v>
      </c>
      <c r="I51" s="13">
        <v>14</v>
      </c>
      <c r="J51" s="13">
        <v>13</v>
      </c>
      <c r="K51" s="13">
        <v>12</v>
      </c>
      <c r="L51" s="13">
        <v>11</v>
      </c>
      <c r="M51" s="13">
        <v>10</v>
      </c>
    </row>
    <row r="52" spans="1:13" x14ac:dyDescent="0.25">
      <c r="A52" s="6" t="s">
        <v>822</v>
      </c>
      <c r="C52" s="13">
        <f t="shared" ref="C52:M52" si="14">C46*C50</f>
        <v>0.98740000000000006</v>
      </c>
      <c r="D52" s="13">
        <f t="shared" si="14"/>
        <v>15.7301</v>
      </c>
      <c r="E52" s="13">
        <f t="shared" si="14"/>
        <v>18.339200000000002</v>
      </c>
      <c r="F52" s="13">
        <f t="shared" si="14"/>
        <v>16.521999999999998</v>
      </c>
      <c r="G52" s="13">
        <f t="shared" si="14"/>
        <v>14.208599999999999</v>
      </c>
      <c r="H52" s="13">
        <f t="shared" si="14"/>
        <v>14.018500000000001</v>
      </c>
      <c r="I52" s="13">
        <f t="shared" si="14"/>
        <v>13.727500000000001</v>
      </c>
      <c r="J52" s="13">
        <f t="shared" si="14"/>
        <v>13.3569</v>
      </c>
      <c r="K52" s="13">
        <f t="shared" si="14"/>
        <v>12.4796</v>
      </c>
      <c r="L52" s="13">
        <f t="shared" si="14"/>
        <v>11.242000000000001</v>
      </c>
      <c r="M52" s="13">
        <f t="shared" si="14"/>
        <v>10.127600000000001</v>
      </c>
    </row>
    <row r="53" spans="1:13" x14ac:dyDescent="0.25">
      <c r="A53" s="6" t="s">
        <v>833</v>
      </c>
      <c r="C53" s="13">
        <f t="shared" ref="C53:M53" si="15">C52-C51</f>
        <v>-1.2599999999999945E-2</v>
      </c>
      <c r="D53" s="13">
        <f t="shared" si="15"/>
        <v>-0.26989999999999981</v>
      </c>
      <c r="E53" s="13">
        <f t="shared" si="15"/>
        <v>0.33920000000000172</v>
      </c>
      <c r="F53" s="13">
        <f t="shared" si="15"/>
        <v>0.52199999999999847</v>
      </c>
      <c r="G53" s="13">
        <f t="shared" si="15"/>
        <v>0.20859999999999879</v>
      </c>
      <c r="H53" s="13">
        <f t="shared" si="15"/>
        <v>1.8500000000001293E-2</v>
      </c>
      <c r="I53" s="13">
        <f t="shared" si="15"/>
        <v>-0.27249999999999908</v>
      </c>
      <c r="J53" s="13">
        <f t="shared" si="15"/>
        <v>0.35689999999999955</v>
      </c>
      <c r="K53" s="13">
        <f t="shared" si="15"/>
        <v>0.47959999999999958</v>
      </c>
      <c r="L53" s="13">
        <f t="shared" si="15"/>
        <v>0.24200000000000088</v>
      </c>
      <c r="M53" s="13">
        <f t="shared" si="15"/>
        <v>0.12760000000000105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212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212</v>
      </c>
      <c r="F57" s="10">
        <v>230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18</v>
      </c>
      <c r="F58" s="27">
        <v>20</v>
      </c>
      <c r="G58" s="23">
        <v>225.3</v>
      </c>
      <c r="H58" s="23">
        <v>232.6</v>
      </c>
      <c r="I58" s="23">
        <v>240.6</v>
      </c>
      <c r="J58" s="23">
        <v>249.4</v>
      </c>
    </row>
    <row r="59" spans="1:13" x14ac:dyDescent="0.25">
      <c r="A59" s="6" t="s">
        <v>219</v>
      </c>
      <c r="C59" s="13">
        <v>230</v>
      </c>
      <c r="F59" s="27">
        <v>25</v>
      </c>
      <c r="G59" s="23">
        <v>225.3</v>
      </c>
      <c r="H59" s="23">
        <v>232.6</v>
      </c>
      <c r="I59" s="23">
        <v>240.6</v>
      </c>
      <c r="J59" s="23">
        <v>249.4</v>
      </c>
    </row>
    <row r="60" spans="1:13" x14ac:dyDescent="0.25">
      <c r="E60" s="7" t="s">
        <v>220</v>
      </c>
      <c r="F60" s="27">
        <v>30</v>
      </c>
      <c r="G60" s="23">
        <v>225.3</v>
      </c>
      <c r="H60" s="23">
        <v>232.6</v>
      </c>
      <c r="I60" s="23">
        <v>240.6</v>
      </c>
      <c r="J60" s="23">
        <v>249.4</v>
      </c>
    </row>
    <row r="61" spans="1:13" x14ac:dyDescent="0.25">
      <c r="F61" s="27">
        <v>35</v>
      </c>
      <c r="G61" s="23">
        <v>225.3</v>
      </c>
      <c r="H61" s="23">
        <v>232.6</v>
      </c>
      <c r="I61" s="23">
        <v>240.6</v>
      </c>
      <c r="J61" s="23">
        <v>249.4</v>
      </c>
    </row>
    <row r="62" spans="1:13" x14ac:dyDescent="0.25">
      <c r="F62" s="27">
        <v>40</v>
      </c>
      <c r="G62" s="23">
        <v>225.3</v>
      </c>
      <c r="H62" s="23">
        <v>232.6</v>
      </c>
      <c r="I62" s="23">
        <v>240.6</v>
      </c>
      <c r="J62" s="23">
        <v>249.4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1.2E-2</v>
      </c>
      <c r="E64" s="20">
        <v>2.9000000000000001E-2</v>
      </c>
      <c r="F64" s="20">
        <v>2.1000000000000001E-2</v>
      </c>
      <c r="G64" s="20">
        <v>1.4999999999999999E-2</v>
      </c>
      <c r="H64" s="20">
        <v>3.5999999999999997E-2</v>
      </c>
      <c r="I64" s="20">
        <v>3.5000000000000003E-2</v>
      </c>
      <c r="J64" s="20">
        <v>3.3000000000000002E-2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>
        <f t="shared" ref="D65:M65" si="16">(D8-C8)/C8</f>
        <v>3.1428571428571428</v>
      </c>
      <c r="E65" s="20">
        <f t="shared" si="16"/>
        <v>2.5862068965517241E-2</v>
      </c>
      <c r="F65" s="20">
        <f t="shared" si="16"/>
        <v>2.5210084033613446E-2</v>
      </c>
      <c r="G65" s="20">
        <f t="shared" si="16"/>
        <v>8.1967213114754103E-3</v>
      </c>
      <c r="H65" s="20">
        <f t="shared" si="16"/>
        <v>4.065040650406504E-2</v>
      </c>
      <c r="I65" s="20">
        <f t="shared" si="16"/>
        <v>3.125E-2</v>
      </c>
      <c r="J65" s="20">
        <f t="shared" si="16"/>
        <v>3.787878787878788E-2</v>
      </c>
      <c r="K65" s="20">
        <f t="shared" si="16"/>
        <v>2.9197080291970802E-2</v>
      </c>
      <c r="L65" s="20">
        <f t="shared" si="16"/>
        <v>2.8368794326241134E-2</v>
      </c>
      <c r="M65" s="20">
        <f t="shared" si="16"/>
        <v>2.7586206896551724E-2</v>
      </c>
    </row>
    <row r="66" spans="1:13" x14ac:dyDescent="0.25">
      <c r="A66" s="7"/>
      <c r="C66" s="7" t="s">
        <v>836</v>
      </c>
      <c r="D66" s="20">
        <f t="shared" ref="D66:M66" si="17">D65-D64</f>
        <v>3.1308571428571428</v>
      </c>
      <c r="E66" s="20">
        <f t="shared" si="17"/>
        <v>-3.1379310344827605E-3</v>
      </c>
      <c r="F66" s="20">
        <f t="shared" si="17"/>
        <v>4.2100840336134447E-3</v>
      </c>
      <c r="G66" s="20">
        <f t="shared" si="17"/>
        <v>-6.8032786885245892E-3</v>
      </c>
      <c r="H66" s="20">
        <f t="shared" si="17"/>
        <v>4.6504065040650425E-3</v>
      </c>
      <c r="I66" s="20">
        <f t="shared" si="17"/>
        <v>-3.7500000000000033E-3</v>
      </c>
      <c r="J66" s="20">
        <f t="shared" si="17"/>
        <v>4.8787878787878783E-3</v>
      </c>
      <c r="K66" s="20">
        <f t="shared" si="17"/>
        <v>-8.0291970802919693E-4</v>
      </c>
      <c r="L66" s="20">
        <f t="shared" si="17"/>
        <v>-1.6312056737588648E-3</v>
      </c>
      <c r="M66" s="20">
        <f t="shared" si="17"/>
        <v>-2.4137931034482751E-3</v>
      </c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0.32300000000000001</v>
      </c>
      <c r="D68" s="20">
        <v>0.31900000000000001</v>
      </c>
      <c r="E68" s="20">
        <v>0.34200000000000003</v>
      </c>
      <c r="F68" s="20">
        <v>0.35199999999999998</v>
      </c>
      <c r="G68" s="20">
        <v>0.35099999999999998</v>
      </c>
      <c r="H68" s="20">
        <v>0.36199999999999999</v>
      </c>
      <c r="I68" s="20">
        <v>0.371</v>
      </c>
      <c r="J68" s="20">
        <v>0.38100000000000001</v>
      </c>
      <c r="K68" s="20">
        <v>0.38100000000000001</v>
      </c>
      <c r="L68" s="20">
        <v>0.38100000000000001</v>
      </c>
      <c r="M68" s="20">
        <v>0.38100000000000001</v>
      </c>
    </row>
    <row r="69" spans="1:13" x14ac:dyDescent="0.25">
      <c r="A69" s="7" t="s">
        <v>823</v>
      </c>
      <c r="C69" s="20">
        <f t="shared" ref="C69:M69" si="18">C20/C19</f>
        <v>0.25</v>
      </c>
      <c r="D69" s="20">
        <f t="shared" si="18"/>
        <v>0.32038834951456313</v>
      </c>
      <c r="E69" s="20">
        <f t="shared" si="18"/>
        <v>0.34453781512605042</v>
      </c>
      <c r="F69" s="20">
        <f t="shared" si="18"/>
        <v>0.35537190082644626</v>
      </c>
      <c r="G69" s="20">
        <f t="shared" si="18"/>
        <v>0.34959349593495936</v>
      </c>
      <c r="H69" s="20">
        <f t="shared" si="18"/>
        <v>0.36220472440944884</v>
      </c>
      <c r="I69" s="20">
        <f t="shared" si="18"/>
        <v>0.37404580152671757</v>
      </c>
      <c r="J69" s="20">
        <f t="shared" si="18"/>
        <v>0.38059701492537312</v>
      </c>
      <c r="K69" s="20">
        <f t="shared" si="18"/>
        <v>0.37956204379562042</v>
      </c>
      <c r="L69" s="20">
        <f t="shared" si="18"/>
        <v>0.38129496402877699</v>
      </c>
      <c r="M69" s="20">
        <f t="shared" si="18"/>
        <v>0.37857142857142856</v>
      </c>
    </row>
    <row r="70" spans="1:13" x14ac:dyDescent="0.25">
      <c r="A70" s="7" t="s">
        <v>834</v>
      </c>
      <c r="C70" s="20">
        <f t="shared" ref="C70:M70" si="19">C69-C68</f>
        <v>-7.3000000000000009E-2</v>
      </c>
      <c r="D70" s="20">
        <f t="shared" si="19"/>
        <v>1.3883495145631253E-3</v>
      </c>
      <c r="E70" s="20">
        <f t="shared" si="19"/>
        <v>2.5378151260503912E-3</v>
      </c>
      <c r="F70" s="20">
        <f t="shared" si="19"/>
        <v>3.3719008264462835E-3</v>
      </c>
      <c r="G70" s="20">
        <f t="shared" si="19"/>
        <v>-1.4065040650406146E-3</v>
      </c>
      <c r="H70" s="20">
        <f t="shared" si="19"/>
        <v>2.0472440944885317E-4</v>
      </c>
      <c r="I70" s="20">
        <f t="shared" si="19"/>
        <v>3.0458015267175731E-3</v>
      </c>
      <c r="J70" s="20">
        <f t="shared" si="19"/>
        <v>-4.029850746268826E-4</v>
      </c>
      <c r="K70" s="20">
        <f t="shared" si="19"/>
        <v>-1.4379562043795868E-3</v>
      </c>
      <c r="L70" s="20">
        <f t="shared" si="19"/>
        <v>2.9496402877698946E-4</v>
      </c>
      <c r="M70" s="20">
        <f t="shared" si="19"/>
        <v>-2.4285714285714466E-3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0.28699999999999998</v>
      </c>
      <c r="D73" s="20">
        <v>0.28599999999999998</v>
      </c>
      <c r="E73" s="20">
        <v>0.307</v>
      </c>
      <c r="F73" s="20">
        <v>0.30199999999999999</v>
      </c>
      <c r="G73" s="20">
        <v>0.29599999999999999</v>
      </c>
      <c r="H73" s="20">
        <v>0.309</v>
      </c>
      <c r="I73" s="20">
        <v>0.32100000000000001</v>
      </c>
      <c r="J73" s="20">
        <v>0.33200000000000002</v>
      </c>
      <c r="K73" s="20">
        <v>0.33200000000000002</v>
      </c>
      <c r="L73" s="20">
        <v>0.33200000000000002</v>
      </c>
      <c r="M73" s="20">
        <v>0.33200000000000002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4.5999999999999999E-2</v>
      </c>
      <c r="D77" s="20">
        <v>4.5999999999999999E-2</v>
      </c>
      <c r="E77" s="20">
        <v>4.5999999999999999E-2</v>
      </c>
      <c r="F77" s="20">
        <v>4.5999999999999999E-2</v>
      </c>
      <c r="G77" s="20">
        <v>4.5999999999999999E-2</v>
      </c>
      <c r="H77" s="20">
        <v>4.5999999999999999E-2</v>
      </c>
      <c r="I77" s="20">
        <v>4.5999999999999999E-2</v>
      </c>
      <c r="J77" s="20">
        <v>4.5999999999999999E-2</v>
      </c>
      <c r="K77" s="20">
        <v>4.5999999999999999E-2</v>
      </c>
      <c r="L77" s="20">
        <v>4.5999999999999999E-2</v>
      </c>
      <c r="M77" s="20">
        <v>4.5999999999999999E-2</v>
      </c>
    </row>
    <row r="78" spans="1:13" x14ac:dyDescent="0.25">
      <c r="A78" s="7" t="s">
        <v>824</v>
      </c>
      <c r="C78" s="20">
        <f t="shared" ref="C78:M78" si="20">-C45/C19</f>
        <v>0</v>
      </c>
      <c r="D78" s="20">
        <f t="shared" si="20"/>
        <v>4.8543689320388349E-2</v>
      </c>
      <c r="E78" s="20">
        <f t="shared" si="20"/>
        <v>4.2016806722689079E-2</v>
      </c>
      <c r="F78" s="20">
        <f t="shared" si="20"/>
        <v>4.9586776859504134E-2</v>
      </c>
      <c r="G78" s="20">
        <f t="shared" si="20"/>
        <v>4.878048780487805E-2</v>
      </c>
      <c r="H78" s="20">
        <f t="shared" si="20"/>
        <v>4.7244094488188976E-2</v>
      </c>
      <c r="I78" s="20">
        <f t="shared" si="20"/>
        <v>4.5801526717557252E-2</v>
      </c>
      <c r="J78" s="20">
        <f t="shared" si="20"/>
        <v>4.4776119402985072E-2</v>
      </c>
      <c r="K78" s="20">
        <f t="shared" si="20"/>
        <v>4.3795620437956206E-2</v>
      </c>
      <c r="L78" s="20">
        <f t="shared" si="20"/>
        <v>4.3165467625899283E-2</v>
      </c>
      <c r="M78" s="20">
        <f t="shared" si="20"/>
        <v>4.2857142857142858E-2</v>
      </c>
    </row>
    <row r="79" spans="1:13" x14ac:dyDescent="0.25">
      <c r="A79" s="7" t="s">
        <v>835</v>
      </c>
      <c r="C79" s="20">
        <f t="shared" ref="C79:M79" si="21">C78-C77</f>
        <v>-4.5999999999999999E-2</v>
      </c>
      <c r="D79" s="20">
        <f t="shared" si="21"/>
        <v>2.5436893203883496E-3</v>
      </c>
      <c r="E79" s="20">
        <f t="shared" si="21"/>
        <v>-3.9831932773109202E-3</v>
      </c>
      <c r="F79" s="20">
        <f t="shared" si="21"/>
        <v>3.5867768595041344E-3</v>
      </c>
      <c r="G79" s="20">
        <f t="shared" si="21"/>
        <v>2.7804878048780513E-3</v>
      </c>
      <c r="H79" s="20">
        <f t="shared" si="21"/>
        <v>1.2440944881889765E-3</v>
      </c>
      <c r="I79" s="20">
        <f t="shared" si="21"/>
        <v>-1.9847328244274737E-4</v>
      </c>
      <c r="J79" s="20">
        <f t="shared" si="21"/>
        <v>-1.2238805970149272E-3</v>
      </c>
      <c r="K79" s="20">
        <f t="shared" si="21"/>
        <v>-2.2043795620437928E-3</v>
      </c>
      <c r="L79" s="20">
        <f t="shared" si="21"/>
        <v>-2.8345323741007164E-3</v>
      </c>
      <c r="M79" s="20">
        <f t="shared" si="21"/>
        <v>-3.1428571428571417E-3</v>
      </c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267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154</v>
      </c>
      <c r="D8" s="10">
        <v>158</v>
      </c>
      <c r="E8" s="10">
        <v>163</v>
      </c>
      <c r="F8" s="10">
        <v>168</v>
      </c>
      <c r="G8" s="10">
        <v>173</v>
      </c>
      <c r="H8" s="10">
        <v>178</v>
      </c>
      <c r="I8" s="10">
        <v>184</v>
      </c>
      <c r="J8" s="10">
        <v>189</v>
      </c>
      <c r="K8" s="10">
        <v>195</v>
      </c>
      <c r="L8" s="10">
        <v>201</v>
      </c>
      <c r="M8" s="10">
        <v>207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154</v>
      </c>
      <c r="D10" s="10">
        <v>158</v>
      </c>
      <c r="E10" s="10">
        <v>163</v>
      </c>
      <c r="F10" s="10">
        <v>168</v>
      </c>
      <c r="G10" s="10">
        <v>173</v>
      </c>
      <c r="H10" s="10">
        <v>178</v>
      </c>
      <c r="I10" s="10">
        <v>184</v>
      </c>
      <c r="J10" s="10">
        <v>189</v>
      </c>
      <c r="K10" s="10">
        <v>195</v>
      </c>
      <c r="L10" s="10">
        <v>201</v>
      </c>
      <c r="M10" s="10">
        <v>207</v>
      </c>
    </row>
    <row r="11" spans="1:13" x14ac:dyDescent="0.25">
      <c r="A11" s="7" t="s">
        <v>814</v>
      </c>
      <c r="C11" s="10">
        <f t="shared" ref="C11:M11" si="0">SUM(C8,C9)</f>
        <v>154</v>
      </c>
      <c r="D11" s="10">
        <f t="shared" si="0"/>
        <v>158</v>
      </c>
      <c r="E11" s="10">
        <f t="shared" si="0"/>
        <v>163</v>
      </c>
      <c r="F11" s="10">
        <f t="shared" si="0"/>
        <v>168</v>
      </c>
      <c r="G11" s="10">
        <f t="shared" si="0"/>
        <v>173</v>
      </c>
      <c r="H11" s="10">
        <f t="shared" si="0"/>
        <v>178</v>
      </c>
      <c r="I11" s="10">
        <f t="shared" si="0"/>
        <v>184</v>
      </c>
      <c r="J11" s="10">
        <f t="shared" si="0"/>
        <v>189</v>
      </c>
      <c r="K11" s="10">
        <f t="shared" si="0"/>
        <v>195</v>
      </c>
      <c r="L11" s="10">
        <f t="shared" si="0"/>
        <v>201</v>
      </c>
      <c r="M11" s="10">
        <f t="shared" si="0"/>
        <v>207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0.91900000000000004</v>
      </c>
      <c r="D14" s="20">
        <v>0.89500000000000002</v>
      </c>
      <c r="E14" s="20">
        <v>0.86799999999999999</v>
      </c>
      <c r="F14" s="20">
        <v>0.83699999999999997</v>
      </c>
      <c r="G14" s="20">
        <v>0.80200000000000005</v>
      </c>
      <c r="H14" s="20">
        <v>0.76300000000000001</v>
      </c>
      <c r="I14" s="20">
        <v>0.72199999999999998</v>
      </c>
      <c r="J14" s="20">
        <v>0.67800000000000005</v>
      </c>
      <c r="K14" s="20">
        <v>0.63200000000000001</v>
      </c>
      <c r="L14" s="20">
        <v>0.58499999999999996</v>
      </c>
      <c r="M14" s="20">
        <v>0.53600000000000003</v>
      </c>
    </row>
    <row r="15" spans="1:13" x14ac:dyDescent="0.25">
      <c r="A15" s="7" t="s">
        <v>208</v>
      </c>
      <c r="C15" s="10">
        <v>141</v>
      </c>
      <c r="D15" s="10">
        <v>142</v>
      </c>
      <c r="E15" s="10">
        <v>142</v>
      </c>
      <c r="F15" s="10">
        <v>141</v>
      </c>
      <c r="G15" s="10">
        <v>139</v>
      </c>
      <c r="H15" s="10">
        <v>136</v>
      </c>
      <c r="I15" s="10">
        <v>133</v>
      </c>
      <c r="J15" s="10">
        <v>128</v>
      </c>
      <c r="K15" s="10">
        <v>123</v>
      </c>
      <c r="L15" s="10">
        <v>117</v>
      </c>
      <c r="M15" s="10">
        <v>111</v>
      </c>
    </row>
    <row r="16" spans="1:13" x14ac:dyDescent="0.25">
      <c r="A16" s="7" t="s">
        <v>815</v>
      </c>
      <c r="C16" s="10">
        <f t="shared" ref="C16:M16" si="2">SUM(C10,C14)</f>
        <v>154.91900000000001</v>
      </c>
      <c r="D16" s="10">
        <f t="shared" si="2"/>
        <v>158.89500000000001</v>
      </c>
      <c r="E16" s="10">
        <f t="shared" si="2"/>
        <v>163.86799999999999</v>
      </c>
      <c r="F16" s="10">
        <f t="shared" si="2"/>
        <v>168.83699999999999</v>
      </c>
      <c r="G16" s="10">
        <f t="shared" si="2"/>
        <v>173.80199999999999</v>
      </c>
      <c r="H16" s="10">
        <f t="shared" si="2"/>
        <v>178.76300000000001</v>
      </c>
      <c r="I16" s="10">
        <f t="shared" si="2"/>
        <v>184.72200000000001</v>
      </c>
      <c r="J16" s="10">
        <f t="shared" si="2"/>
        <v>189.678</v>
      </c>
      <c r="K16" s="10">
        <f t="shared" si="2"/>
        <v>195.63200000000001</v>
      </c>
      <c r="L16" s="10">
        <f t="shared" si="2"/>
        <v>201.58500000000001</v>
      </c>
      <c r="M16" s="10">
        <f t="shared" si="2"/>
        <v>207.536</v>
      </c>
    </row>
    <row r="17" spans="1:13" x14ac:dyDescent="0.25">
      <c r="A17" s="7" t="s">
        <v>826</v>
      </c>
      <c r="C17" s="10">
        <f t="shared" ref="C17:M17" si="3">C16-C15</f>
        <v>13.919000000000011</v>
      </c>
      <c r="D17" s="10">
        <f t="shared" si="3"/>
        <v>16.89500000000001</v>
      </c>
      <c r="E17" s="10">
        <f t="shared" si="3"/>
        <v>21.867999999999995</v>
      </c>
      <c r="F17" s="10">
        <f t="shared" si="3"/>
        <v>27.836999999999989</v>
      </c>
      <c r="G17" s="10">
        <f t="shared" si="3"/>
        <v>34.801999999999992</v>
      </c>
      <c r="H17" s="10">
        <f t="shared" si="3"/>
        <v>42.763000000000005</v>
      </c>
      <c r="I17" s="10">
        <f t="shared" si="3"/>
        <v>51.722000000000008</v>
      </c>
      <c r="J17" s="10">
        <f t="shared" si="3"/>
        <v>61.677999999999997</v>
      </c>
      <c r="K17" s="10">
        <f t="shared" si="3"/>
        <v>72.632000000000005</v>
      </c>
      <c r="L17" s="10">
        <f t="shared" si="3"/>
        <v>84.585000000000008</v>
      </c>
      <c r="M17" s="10">
        <f t="shared" si="3"/>
        <v>96.536000000000001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141</v>
      </c>
      <c r="D19" s="13">
        <v>142</v>
      </c>
      <c r="E19" s="13">
        <v>142</v>
      </c>
      <c r="F19" s="13">
        <v>141</v>
      </c>
      <c r="G19" s="13">
        <v>139</v>
      </c>
      <c r="H19" s="13">
        <v>136</v>
      </c>
      <c r="I19" s="13">
        <v>133</v>
      </c>
      <c r="J19" s="13">
        <v>128</v>
      </c>
      <c r="K19" s="13">
        <v>123</v>
      </c>
      <c r="L19" s="13">
        <v>117</v>
      </c>
      <c r="M19" s="13">
        <v>111</v>
      </c>
    </row>
    <row r="20" spans="1:13" x14ac:dyDescent="0.25">
      <c r="A20" s="6" t="s">
        <v>106</v>
      </c>
      <c r="C20" s="13">
        <v>54</v>
      </c>
      <c r="D20" s="13">
        <v>54</v>
      </c>
      <c r="E20" s="13">
        <v>54</v>
      </c>
      <c r="F20" s="13">
        <v>54</v>
      </c>
      <c r="G20" s="13">
        <v>53</v>
      </c>
      <c r="H20" s="13">
        <v>52</v>
      </c>
      <c r="I20" s="13">
        <v>50</v>
      </c>
      <c r="J20" s="13">
        <v>49</v>
      </c>
      <c r="K20" s="13">
        <v>47</v>
      </c>
      <c r="L20" s="13">
        <v>45</v>
      </c>
      <c r="M20" s="13">
        <v>42</v>
      </c>
    </row>
    <row r="21" spans="1:13" x14ac:dyDescent="0.25">
      <c r="A21" s="7" t="s">
        <v>107</v>
      </c>
      <c r="C21" s="19">
        <v>-7</v>
      </c>
      <c r="D21" s="19">
        <v>-7</v>
      </c>
      <c r="E21" s="19">
        <v>-7</v>
      </c>
      <c r="F21" s="19">
        <v>-7</v>
      </c>
      <c r="G21" s="19">
        <v>-7</v>
      </c>
      <c r="H21" s="19">
        <v>-7</v>
      </c>
      <c r="I21" s="19">
        <v>-6</v>
      </c>
      <c r="J21" s="19">
        <v>-6</v>
      </c>
      <c r="K21" s="19">
        <v>-6</v>
      </c>
      <c r="L21" s="19">
        <v>-6</v>
      </c>
      <c r="M21" s="19">
        <v>-5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47</v>
      </c>
      <c r="D25" s="13">
        <v>47</v>
      </c>
      <c r="E25" s="13">
        <v>47</v>
      </c>
      <c r="F25" s="13">
        <v>47</v>
      </c>
      <c r="G25" s="13">
        <v>46</v>
      </c>
      <c r="H25" s="13">
        <v>45</v>
      </c>
      <c r="I25" s="13">
        <v>44</v>
      </c>
      <c r="J25" s="13">
        <v>43</v>
      </c>
      <c r="K25" s="13">
        <v>41</v>
      </c>
      <c r="L25" s="13">
        <v>39</v>
      </c>
      <c r="M25" s="13">
        <v>37</v>
      </c>
    </row>
    <row r="26" spans="1:13" x14ac:dyDescent="0.25">
      <c r="A26" s="6" t="s">
        <v>816</v>
      </c>
      <c r="C26" s="13">
        <f t="shared" ref="C26:M26" si="4">SUM(C20,C21)</f>
        <v>47</v>
      </c>
      <c r="D26" s="13">
        <f t="shared" si="4"/>
        <v>47</v>
      </c>
      <c r="E26" s="13">
        <f t="shared" si="4"/>
        <v>47</v>
      </c>
      <c r="F26" s="13">
        <f t="shared" si="4"/>
        <v>47</v>
      </c>
      <c r="G26" s="13">
        <f t="shared" si="4"/>
        <v>46</v>
      </c>
      <c r="H26" s="13">
        <f t="shared" si="4"/>
        <v>45</v>
      </c>
      <c r="I26" s="13">
        <f t="shared" si="4"/>
        <v>44</v>
      </c>
      <c r="J26" s="13">
        <f t="shared" si="4"/>
        <v>43</v>
      </c>
      <c r="K26" s="13">
        <f t="shared" si="4"/>
        <v>41</v>
      </c>
      <c r="L26" s="13">
        <f t="shared" si="4"/>
        <v>39</v>
      </c>
      <c r="M26" s="13">
        <f t="shared" si="4"/>
        <v>37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 t="s">
        <v>820</v>
      </c>
      <c r="B30" s="20"/>
      <c r="C30" s="19">
        <f>C19*B29</f>
        <v>2.1149999999999998</v>
      </c>
      <c r="D30" s="19">
        <f>D19*B29</f>
        <v>2.13</v>
      </c>
      <c r="E30" s="19">
        <f>E19*B29</f>
        <v>2.13</v>
      </c>
      <c r="F30" s="19">
        <f>F19*B29</f>
        <v>2.1149999999999998</v>
      </c>
      <c r="G30" s="19">
        <f>G19*B29</f>
        <v>2.085</v>
      </c>
      <c r="H30" s="19">
        <f>H19*B29</f>
        <v>2.04</v>
      </c>
      <c r="I30" s="19">
        <f>I19*B29</f>
        <v>1.9949999999999999</v>
      </c>
      <c r="J30" s="19">
        <f>J19*B29</f>
        <v>1.92</v>
      </c>
      <c r="K30" s="19">
        <f>K19*B29</f>
        <v>1.845</v>
      </c>
      <c r="L30" s="19">
        <f>L19*B29</f>
        <v>1.7549999999999999</v>
      </c>
      <c r="M30" s="19">
        <f>M19*B29</f>
        <v>1.665</v>
      </c>
    </row>
    <row r="31" spans="1:13" x14ac:dyDescent="0.25">
      <c r="A31" s="7" t="s">
        <v>831</v>
      </c>
      <c r="B31" s="20"/>
      <c r="C31" s="19">
        <f t="shared" ref="C31:M31" si="6">C30-C29</f>
        <v>4.1150000000000002</v>
      </c>
      <c r="D31" s="19">
        <f t="shared" si="6"/>
        <v>4.13</v>
      </c>
      <c r="E31" s="19">
        <f t="shared" si="6"/>
        <v>4.13</v>
      </c>
      <c r="F31" s="19">
        <f t="shared" si="6"/>
        <v>4.1150000000000002</v>
      </c>
      <c r="G31" s="19">
        <f t="shared" si="6"/>
        <v>4.085</v>
      </c>
      <c r="H31" s="19">
        <f t="shared" si="6"/>
        <v>4.04</v>
      </c>
      <c r="I31" s="19">
        <f t="shared" si="6"/>
        <v>3.9950000000000001</v>
      </c>
      <c r="J31" s="19">
        <f t="shared" si="6"/>
        <v>3.92</v>
      </c>
      <c r="K31" s="19">
        <f t="shared" si="6"/>
        <v>3.8449999999999998</v>
      </c>
      <c r="L31" s="19">
        <f t="shared" si="6"/>
        <v>3.7549999999999999</v>
      </c>
      <c r="M31" s="19">
        <f t="shared" si="6"/>
        <v>3.665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45</v>
      </c>
      <c r="D33" s="13">
        <v>45</v>
      </c>
      <c r="E33" s="13">
        <v>45</v>
      </c>
      <c r="F33" s="13">
        <v>45</v>
      </c>
      <c r="G33" s="13">
        <v>44</v>
      </c>
      <c r="H33" s="13">
        <v>43</v>
      </c>
      <c r="I33" s="13">
        <v>42</v>
      </c>
      <c r="J33" s="13">
        <v>41</v>
      </c>
      <c r="K33" s="13">
        <v>39</v>
      </c>
      <c r="L33" s="13">
        <v>37</v>
      </c>
      <c r="M33" s="13">
        <v>35</v>
      </c>
    </row>
    <row r="34" spans="1:13" x14ac:dyDescent="0.25">
      <c r="A34" s="6" t="s">
        <v>817</v>
      </c>
      <c r="C34" s="13">
        <f t="shared" ref="C34:M34" si="7">SUM(C25,C29)</f>
        <v>45</v>
      </c>
      <c r="D34" s="13">
        <f t="shared" si="7"/>
        <v>45</v>
      </c>
      <c r="E34" s="13">
        <f t="shared" si="7"/>
        <v>45</v>
      </c>
      <c r="F34" s="13">
        <f t="shared" si="7"/>
        <v>45</v>
      </c>
      <c r="G34" s="13">
        <f t="shared" si="7"/>
        <v>44</v>
      </c>
      <c r="H34" s="13">
        <f t="shared" si="7"/>
        <v>43</v>
      </c>
      <c r="I34" s="13">
        <f t="shared" si="7"/>
        <v>42</v>
      </c>
      <c r="J34" s="13">
        <f t="shared" si="7"/>
        <v>41</v>
      </c>
      <c r="K34" s="13">
        <f t="shared" si="7"/>
        <v>39</v>
      </c>
      <c r="L34" s="13">
        <f t="shared" si="7"/>
        <v>37</v>
      </c>
      <c r="M34" s="13">
        <f t="shared" si="7"/>
        <v>35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-10</v>
      </c>
      <c r="D37" s="19">
        <v>-10</v>
      </c>
      <c r="E37" s="19">
        <v>-10</v>
      </c>
      <c r="F37" s="19">
        <v>-10</v>
      </c>
      <c r="G37" s="19">
        <v>-10</v>
      </c>
      <c r="H37" s="19">
        <v>-9</v>
      </c>
      <c r="I37" s="19">
        <v>-9</v>
      </c>
      <c r="J37" s="19">
        <v>-9</v>
      </c>
      <c r="K37" s="19">
        <v>-9</v>
      </c>
      <c r="L37" s="19">
        <v>-8</v>
      </c>
      <c r="M37" s="19">
        <v>-8</v>
      </c>
    </row>
    <row r="38" spans="1:13" x14ac:dyDescent="0.25">
      <c r="A38" s="7" t="s">
        <v>821</v>
      </c>
      <c r="B38" s="20"/>
      <c r="C38" s="19">
        <f>C33*B37</f>
        <v>9.81</v>
      </c>
      <c r="D38" s="19">
        <f>D33*B37</f>
        <v>9.81</v>
      </c>
      <c r="E38" s="19">
        <f>E33*B37</f>
        <v>9.81</v>
      </c>
      <c r="F38" s="19">
        <f>F33*B37</f>
        <v>9.81</v>
      </c>
      <c r="G38" s="19">
        <f>G33*B37</f>
        <v>9.5920000000000005</v>
      </c>
      <c r="H38" s="19">
        <f>H33*B37</f>
        <v>9.3740000000000006</v>
      </c>
      <c r="I38" s="19">
        <f>I33*B37</f>
        <v>9.1560000000000006</v>
      </c>
      <c r="J38" s="19">
        <f>J33*B37</f>
        <v>8.9380000000000006</v>
      </c>
      <c r="K38" s="19">
        <f>K33*B37</f>
        <v>8.5020000000000007</v>
      </c>
      <c r="L38" s="19">
        <f>L33*B37</f>
        <v>8.0660000000000007</v>
      </c>
      <c r="M38" s="19">
        <f>M33*B37</f>
        <v>7.63</v>
      </c>
    </row>
    <row r="39" spans="1:13" x14ac:dyDescent="0.25">
      <c r="A39" s="7" t="s">
        <v>832</v>
      </c>
      <c r="B39" s="20"/>
      <c r="C39" s="19">
        <f t="shared" ref="C39:M39" si="9">C38-C37</f>
        <v>19.810000000000002</v>
      </c>
      <c r="D39" s="19">
        <f t="shared" si="9"/>
        <v>19.810000000000002</v>
      </c>
      <c r="E39" s="19">
        <f t="shared" si="9"/>
        <v>19.810000000000002</v>
      </c>
      <c r="F39" s="19">
        <f t="shared" si="9"/>
        <v>19.810000000000002</v>
      </c>
      <c r="G39" s="19">
        <f t="shared" si="9"/>
        <v>19.591999999999999</v>
      </c>
      <c r="H39" s="19">
        <f t="shared" si="9"/>
        <v>18.374000000000002</v>
      </c>
      <c r="I39" s="19">
        <f t="shared" si="9"/>
        <v>18.155999999999999</v>
      </c>
      <c r="J39" s="19">
        <f t="shared" si="9"/>
        <v>17.938000000000002</v>
      </c>
      <c r="K39" s="19">
        <f t="shared" si="9"/>
        <v>17.502000000000002</v>
      </c>
      <c r="L39" s="19">
        <f t="shared" si="9"/>
        <v>16.066000000000003</v>
      </c>
      <c r="M39" s="19">
        <f t="shared" si="9"/>
        <v>15.629999999999999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35</v>
      </c>
      <c r="D41" s="13">
        <v>35</v>
      </c>
      <c r="E41" s="13">
        <v>35</v>
      </c>
      <c r="F41" s="13">
        <v>35</v>
      </c>
      <c r="G41" s="13">
        <v>34</v>
      </c>
      <c r="H41" s="13">
        <v>34</v>
      </c>
      <c r="I41" s="13">
        <v>33</v>
      </c>
      <c r="J41" s="13">
        <v>32</v>
      </c>
      <c r="K41" s="13">
        <v>31</v>
      </c>
      <c r="L41" s="13">
        <v>29</v>
      </c>
      <c r="M41" s="13">
        <v>27</v>
      </c>
    </row>
    <row r="42" spans="1:13" x14ac:dyDescent="0.25">
      <c r="A42" s="6" t="s">
        <v>819</v>
      </c>
      <c r="C42" s="13">
        <f t="shared" ref="C42:M42" si="10">C33-C37</f>
        <v>55</v>
      </c>
      <c r="D42" s="13">
        <f t="shared" si="10"/>
        <v>55</v>
      </c>
      <c r="E42" s="13">
        <f t="shared" si="10"/>
        <v>55</v>
      </c>
      <c r="F42" s="13">
        <f t="shared" si="10"/>
        <v>55</v>
      </c>
      <c r="G42" s="13">
        <f t="shared" si="10"/>
        <v>54</v>
      </c>
      <c r="H42" s="13">
        <f t="shared" si="10"/>
        <v>52</v>
      </c>
      <c r="I42" s="13">
        <f t="shared" si="10"/>
        <v>51</v>
      </c>
      <c r="J42" s="13">
        <f t="shared" si="10"/>
        <v>50</v>
      </c>
      <c r="K42" s="13">
        <f t="shared" si="10"/>
        <v>48</v>
      </c>
      <c r="L42" s="13">
        <f t="shared" si="10"/>
        <v>45</v>
      </c>
      <c r="M42" s="13">
        <f t="shared" si="10"/>
        <v>43</v>
      </c>
    </row>
    <row r="43" spans="1:13" x14ac:dyDescent="0.25">
      <c r="A43" s="6" t="s">
        <v>830</v>
      </c>
      <c r="C43" s="13">
        <f t="shared" ref="C43:M43" si="11">C42-C41</f>
        <v>20</v>
      </c>
      <c r="D43" s="13">
        <f t="shared" si="11"/>
        <v>20</v>
      </c>
      <c r="E43" s="13">
        <f t="shared" si="11"/>
        <v>20</v>
      </c>
      <c r="F43" s="13">
        <f t="shared" si="11"/>
        <v>20</v>
      </c>
      <c r="G43" s="13">
        <f t="shared" si="11"/>
        <v>20</v>
      </c>
      <c r="H43" s="13">
        <f t="shared" si="11"/>
        <v>18</v>
      </c>
      <c r="I43" s="13">
        <f t="shared" si="11"/>
        <v>18</v>
      </c>
      <c r="J43" s="13">
        <f t="shared" si="11"/>
        <v>18</v>
      </c>
      <c r="K43" s="13">
        <f t="shared" si="11"/>
        <v>17</v>
      </c>
      <c r="L43" s="13">
        <f t="shared" si="11"/>
        <v>16</v>
      </c>
      <c r="M43" s="13">
        <f t="shared" si="11"/>
        <v>16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-6</v>
      </c>
      <c r="D45" s="19">
        <v>-7</v>
      </c>
      <c r="E45" s="19">
        <v>-6</v>
      </c>
      <c r="F45" s="19">
        <v>-6</v>
      </c>
      <c r="G45" s="19">
        <v>-6</v>
      </c>
      <c r="H45" s="19">
        <v>-6</v>
      </c>
      <c r="I45" s="19">
        <v>-6</v>
      </c>
      <c r="J45" s="19">
        <v>-6</v>
      </c>
      <c r="K45" s="19">
        <v>-6</v>
      </c>
      <c r="L45" s="19">
        <v>-5</v>
      </c>
      <c r="M45" s="19">
        <v>-5</v>
      </c>
    </row>
    <row r="46" spans="1:13" x14ac:dyDescent="0.25">
      <c r="A46" s="6" t="s">
        <v>215</v>
      </c>
      <c r="C46" s="13">
        <v>29</v>
      </c>
      <c r="D46" s="13">
        <v>29</v>
      </c>
      <c r="E46" s="13">
        <v>29</v>
      </c>
      <c r="F46" s="13">
        <v>28</v>
      </c>
      <c r="G46" s="13">
        <v>28</v>
      </c>
      <c r="H46" s="13">
        <v>27</v>
      </c>
      <c r="I46" s="13">
        <v>27</v>
      </c>
      <c r="J46" s="13">
        <v>26</v>
      </c>
      <c r="K46" s="13">
        <v>25</v>
      </c>
      <c r="L46" s="13">
        <v>24</v>
      </c>
      <c r="M46" s="13">
        <v>22</v>
      </c>
    </row>
    <row r="47" spans="1:13" x14ac:dyDescent="0.25">
      <c r="A47" s="6" t="s">
        <v>818</v>
      </c>
      <c r="C47" s="13">
        <f t="shared" ref="C47:M47" si="12">SUM(C41,C45)</f>
        <v>29</v>
      </c>
      <c r="D47" s="13">
        <f t="shared" si="12"/>
        <v>28</v>
      </c>
      <c r="E47" s="13">
        <f t="shared" si="12"/>
        <v>29</v>
      </c>
      <c r="F47" s="13">
        <f t="shared" si="12"/>
        <v>29</v>
      </c>
      <c r="G47" s="13">
        <f t="shared" si="12"/>
        <v>28</v>
      </c>
      <c r="H47" s="13">
        <f t="shared" si="12"/>
        <v>28</v>
      </c>
      <c r="I47" s="13">
        <f t="shared" si="12"/>
        <v>27</v>
      </c>
      <c r="J47" s="13">
        <f t="shared" si="12"/>
        <v>26</v>
      </c>
      <c r="K47" s="13">
        <f t="shared" si="12"/>
        <v>25</v>
      </c>
      <c r="L47" s="13">
        <f t="shared" si="12"/>
        <v>24</v>
      </c>
      <c r="M47" s="13">
        <f t="shared" si="12"/>
        <v>22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-1</v>
      </c>
      <c r="E48" s="13">
        <f t="shared" si="13"/>
        <v>0</v>
      </c>
      <c r="F48" s="13">
        <f t="shared" si="13"/>
        <v>1</v>
      </c>
      <c r="G48" s="13">
        <f t="shared" si="13"/>
        <v>0</v>
      </c>
      <c r="H48" s="13">
        <f t="shared" si="13"/>
        <v>1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9</v>
      </c>
      <c r="D51" s="13">
        <v>8</v>
      </c>
      <c r="E51" s="13">
        <v>8</v>
      </c>
      <c r="F51" s="13">
        <v>7</v>
      </c>
      <c r="G51" s="13">
        <v>6</v>
      </c>
      <c r="H51" s="13">
        <v>5</v>
      </c>
      <c r="I51" s="13">
        <v>5</v>
      </c>
      <c r="J51" s="13">
        <v>4</v>
      </c>
      <c r="K51" s="13">
        <v>4</v>
      </c>
      <c r="L51" s="13">
        <v>3</v>
      </c>
      <c r="M51" s="13">
        <v>3</v>
      </c>
    </row>
    <row r="52" spans="1:13" x14ac:dyDescent="0.25">
      <c r="A52" s="6" t="s">
        <v>822</v>
      </c>
      <c r="C52" s="13">
        <f t="shared" ref="C52:M52" si="14">C46*C50</f>
        <v>9.4511000000000003</v>
      </c>
      <c r="D52" s="13">
        <f t="shared" si="14"/>
        <v>8.5144000000000002</v>
      </c>
      <c r="E52" s="13">
        <f t="shared" si="14"/>
        <v>7.6705000000000005</v>
      </c>
      <c r="F52" s="13">
        <f t="shared" si="14"/>
        <v>6.6724000000000006</v>
      </c>
      <c r="G52" s="13">
        <f t="shared" si="14"/>
        <v>6.0115999999999996</v>
      </c>
      <c r="H52" s="13">
        <f t="shared" si="14"/>
        <v>5.2218</v>
      </c>
      <c r="I52" s="13">
        <f t="shared" si="14"/>
        <v>4.7034000000000002</v>
      </c>
      <c r="J52" s="13">
        <f t="shared" si="14"/>
        <v>4.0819999999999999</v>
      </c>
      <c r="K52" s="13">
        <f t="shared" si="14"/>
        <v>3.5350000000000001</v>
      </c>
      <c r="L52" s="13">
        <f t="shared" si="14"/>
        <v>3.0576000000000003</v>
      </c>
      <c r="M52" s="13">
        <f t="shared" si="14"/>
        <v>2.5255999999999998</v>
      </c>
    </row>
    <row r="53" spans="1:13" x14ac:dyDescent="0.25">
      <c r="A53" s="6" t="s">
        <v>833</v>
      </c>
      <c r="C53" s="13">
        <f t="shared" ref="C53:M53" si="15">C52-C51</f>
        <v>0.45110000000000028</v>
      </c>
      <c r="D53" s="13">
        <f t="shared" si="15"/>
        <v>0.51440000000000019</v>
      </c>
      <c r="E53" s="13">
        <f t="shared" si="15"/>
        <v>-0.32949999999999946</v>
      </c>
      <c r="F53" s="13">
        <f t="shared" si="15"/>
        <v>-0.32759999999999945</v>
      </c>
      <c r="G53" s="13">
        <f t="shared" si="15"/>
        <v>1.1599999999999611E-2</v>
      </c>
      <c r="H53" s="13">
        <f t="shared" si="15"/>
        <v>0.2218</v>
      </c>
      <c r="I53" s="13">
        <f t="shared" si="15"/>
        <v>-0.29659999999999975</v>
      </c>
      <c r="J53" s="13">
        <f t="shared" si="15"/>
        <v>8.1999999999999851E-2</v>
      </c>
      <c r="K53" s="13">
        <f t="shared" si="15"/>
        <v>-0.46499999999999986</v>
      </c>
      <c r="L53" s="13">
        <f t="shared" si="15"/>
        <v>5.7600000000000318E-2</v>
      </c>
      <c r="M53" s="13">
        <f t="shared" si="15"/>
        <v>-0.47440000000000015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16">(D8-C8)/C8</f>
        <v>2.5974025974025976E-2</v>
      </c>
      <c r="E57" s="20">
        <f t="shared" si="16"/>
        <v>3.1645569620253167E-2</v>
      </c>
      <c r="F57" s="20">
        <f t="shared" si="16"/>
        <v>3.0674846625766871E-2</v>
      </c>
      <c r="G57" s="20">
        <f t="shared" si="16"/>
        <v>2.976190476190476E-2</v>
      </c>
      <c r="H57" s="20">
        <f t="shared" si="16"/>
        <v>2.8901734104046242E-2</v>
      </c>
      <c r="I57" s="20">
        <f t="shared" si="16"/>
        <v>3.3707865168539325E-2</v>
      </c>
      <c r="J57" s="20">
        <f t="shared" si="16"/>
        <v>2.717391304347826E-2</v>
      </c>
      <c r="K57" s="20">
        <f t="shared" si="16"/>
        <v>3.1746031746031744E-2</v>
      </c>
      <c r="L57" s="20">
        <f t="shared" si="16"/>
        <v>3.0769230769230771E-2</v>
      </c>
      <c r="M57" s="20">
        <f t="shared" si="16"/>
        <v>2.9850746268656716E-2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-4.0259740259740232E-3</v>
      </c>
      <c r="E58" s="20">
        <f t="shared" si="17"/>
        <v>1.6455696202531678E-3</v>
      </c>
      <c r="F58" s="20">
        <f t="shared" si="17"/>
        <v>6.7484662576687213E-4</v>
      </c>
      <c r="G58" s="20">
        <f t="shared" si="17"/>
        <v>-2.3809523809523864E-4</v>
      </c>
      <c r="H58" s="20">
        <f t="shared" si="17"/>
        <v>-1.0982658959537567E-3</v>
      </c>
      <c r="I58" s="20">
        <f t="shared" si="17"/>
        <v>3.707865168539326E-3</v>
      </c>
      <c r="J58" s="20">
        <f t="shared" si="17"/>
        <v>-2.8260869565217388E-3</v>
      </c>
      <c r="K58" s="20">
        <f t="shared" si="17"/>
        <v>1.7460317460317454E-3</v>
      </c>
      <c r="L58" s="20">
        <f t="shared" si="17"/>
        <v>7.6923076923077205E-4</v>
      </c>
      <c r="M58" s="20">
        <f t="shared" si="17"/>
        <v>-1.4925373134328304E-4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0.38100000000000001</v>
      </c>
      <c r="D60" s="20">
        <v>0.38100000000000001</v>
      </c>
      <c r="E60" s="20">
        <v>0.38100000000000001</v>
      </c>
      <c r="F60" s="20">
        <v>0.38100000000000001</v>
      </c>
      <c r="G60" s="20">
        <v>0.38100000000000001</v>
      </c>
      <c r="H60" s="20">
        <v>0.38100000000000001</v>
      </c>
      <c r="I60" s="20">
        <v>0.38100000000000001</v>
      </c>
      <c r="J60" s="20">
        <v>0.38100000000000001</v>
      </c>
      <c r="K60" s="20">
        <v>0.38100000000000001</v>
      </c>
      <c r="L60" s="20">
        <v>0.38100000000000001</v>
      </c>
      <c r="M60" s="20">
        <v>0.38100000000000001</v>
      </c>
    </row>
    <row r="61" spans="1:13" x14ac:dyDescent="0.25">
      <c r="A61" s="7" t="s">
        <v>823</v>
      </c>
      <c r="C61" s="20">
        <f t="shared" ref="C61:M61" si="18">C20/C19</f>
        <v>0.38297872340425532</v>
      </c>
      <c r="D61" s="20">
        <f t="shared" si="18"/>
        <v>0.38028169014084506</v>
      </c>
      <c r="E61" s="20">
        <f t="shared" si="18"/>
        <v>0.38028169014084506</v>
      </c>
      <c r="F61" s="20">
        <f t="shared" si="18"/>
        <v>0.38297872340425532</v>
      </c>
      <c r="G61" s="20">
        <f t="shared" si="18"/>
        <v>0.38129496402877699</v>
      </c>
      <c r="H61" s="20">
        <f t="shared" si="18"/>
        <v>0.38235294117647056</v>
      </c>
      <c r="I61" s="20">
        <f t="shared" si="18"/>
        <v>0.37593984962406013</v>
      </c>
      <c r="J61" s="20">
        <f t="shared" si="18"/>
        <v>0.3828125</v>
      </c>
      <c r="K61" s="20">
        <f t="shared" si="18"/>
        <v>0.38211382113821141</v>
      </c>
      <c r="L61" s="20">
        <f t="shared" si="18"/>
        <v>0.38461538461538464</v>
      </c>
      <c r="M61" s="20">
        <f t="shared" si="18"/>
        <v>0.3783783783783784</v>
      </c>
    </row>
    <row r="62" spans="1:13" x14ac:dyDescent="0.25">
      <c r="A62" s="7" t="s">
        <v>834</v>
      </c>
      <c r="C62" s="20">
        <f t="shared" ref="C62:M62" si="19">C61-C60</f>
        <v>1.9787234042553115E-3</v>
      </c>
      <c r="D62" s="20">
        <f t="shared" si="19"/>
        <v>-7.1830985915494194E-4</v>
      </c>
      <c r="E62" s="20">
        <f t="shared" si="19"/>
        <v>-7.1830985915494194E-4</v>
      </c>
      <c r="F62" s="20">
        <f t="shared" si="19"/>
        <v>1.9787234042553115E-3</v>
      </c>
      <c r="G62" s="20">
        <f t="shared" si="19"/>
        <v>2.9496402877698946E-4</v>
      </c>
      <c r="H62" s="20">
        <f t="shared" si="19"/>
        <v>1.3529411764705568E-3</v>
      </c>
      <c r="I62" s="20">
        <f t="shared" si="19"/>
        <v>-5.0601503759398758E-3</v>
      </c>
      <c r="J62" s="20">
        <f t="shared" si="19"/>
        <v>1.8124999999999947E-3</v>
      </c>
      <c r="K62" s="20">
        <f t="shared" si="19"/>
        <v>1.1138211382114016E-3</v>
      </c>
      <c r="L62" s="20">
        <f t="shared" si="19"/>
        <v>3.6153846153846314E-3</v>
      </c>
      <c r="M62" s="20">
        <f t="shared" si="19"/>
        <v>-2.6216216216216059E-3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0.33200000000000002</v>
      </c>
      <c r="D65" s="20">
        <v>0.33200000000000002</v>
      </c>
      <c r="E65" s="20">
        <v>0.33200000000000002</v>
      </c>
      <c r="F65" s="20">
        <v>0.33200000000000002</v>
      </c>
      <c r="G65" s="20">
        <v>0.33200000000000002</v>
      </c>
      <c r="H65" s="20">
        <v>0.33200000000000002</v>
      </c>
      <c r="I65" s="20">
        <v>0.33200000000000002</v>
      </c>
      <c r="J65" s="20">
        <v>0.33200000000000002</v>
      </c>
      <c r="K65" s="20">
        <v>0.33200000000000002</v>
      </c>
      <c r="L65" s="20">
        <v>0.33200000000000002</v>
      </c>
      <c r="M65" s="20">
        <v>0.33200000000000002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4.5999999999999999E-2</v>
      </c>
      <c r="D69" s="20">
        <v>4.5999999999999999E-2</v>
      </c>
      <c r="E69" s="20">
        <v>4.5999999999999999E-2</v>
      </c>
      <c r="F69" s="20">
        <v>4.5999999999999999E-2</v>
      </c>
      <c r="G69" s="20">
        <v>4.5999999999999999E-2</v>
      </c>
      <c r="H69" s="20">
        <v>4.5999999999999999E-2</v>
      </c>
      <c r="I69" s="20">
        <v>4.5999999999999999E-2</v>
      </c>
      <c r="J69" s="20">
        <v>4.5999999999999999E-2</v>
      </c>
      <c r="K69" s="20">
        <v>4.5999999999999999E-2</v>
      </c>
      <c r="L69" s="20">
        <v>4.5999999999999999E-2</v>
      </c>
      <c r="M69" s="20">
        <v>4.5999999999999999E-2</v>
      </c>
    </row>
    <row r="70" spans="1:13" x14ac:dyDescent="0.25">
      <c r="A70" s="7" t="s">
        <v>824</v>
      </c>
      <c r="C70" s="20">
        <f t="shared" ref="C70:M70" si="20">-C45/C19</f>
        <v>4.2553191489361701E-2</v>
      </c>
      <c r="D70" s="20">
        <f t="shared" si="20"/>
        <v>4.9295774647887321E-2</v>
      </c>
      <c r="E70" s="20">
        <f t="shared" si="20"/>
        <v>4.2253521126760563E-2</v>
      </c>
      <c r="F70" s="20">
        <f t="shared" si="20"/>
        <v>4.2553191489361701E-2</v>
      </c>
      <c r="G70" s="20">
        <f t="shared" si="20"/>
        <v>4.3165467625899283E-2</v>
      </c>
      <c r="H70" s="20">
        <f t="shared" si="20"/>
        <v>4.4117647058823532E-2</v>
      </c>
      <c r="I70" s="20">
        <f t="shared" si="20"/>
        <v>4.5112781954887216E-2</v>
      </c>
      <c r="J70" s="20">
        <f t="shared" si="20"/>
        <v>4.6875E-2</v>
      </c>
      <c r="K70" s="20">
        <f t="shared" si="20"/>
        <v>4.878048780487805E-2</v>
      </c>
      <c r="L70" s="20">
        <f t="shared" si="20"/>
        <v>4.2735042735042736E-2</v>
      </c>
      <c r="M70" s="20">
        <f t="shared" si="20"/>
        <v>4.5045045045045043E-2</v>
      </c>
    </row>
    <row r="71" spans="1:13" x14ac:dyDescent="0.25">
      <c r="A71" s="7" t="s">
        <v>835</v>
      </c>
      <c r="C71" s="20">
        <f t="shared" ref="C71:M71" si="21">C70-C69</f>
        <v>-3.4468085106382981E-3</v>
      </c>
      <c r="D71" s="20">
        <f t="shared" si="21"/>
        <v>3.2957746478873215E-3</v>
      </c>
      <c r="E71" s="20">
        <f t="shared" si="21"/>
        <v>-3.7464788732394366E-3</v>
      </c>
      <c r="F71" s="20">
        <f t="shared" si="21"/>
        <v>-3.4468085106382981E-3</v>
      </c>
      <c r="G71" s="20">
        <f t="shared" si="21"/>
        <v>-2.8345323741007164E-3</v>
      </c>
      <c r="H71" s="20">
        <f t="shared" si="21"/>
        <v>-1.882352941176467E-3</v>
      </c>
      <c r="I71" s="20">
        <f t="shared" si="21"/>
        <v>-8.8721804511278368E-4</v>
      </c>
      <c r="J71" s="20">
        <f t="shared" si="21"/>
        <v>8.7500000000000078E-4</v>
      </c>
      <c r="K71" s="20">
        <f t="shared" si="21"/>
        <v>2.7804878048780513E-3</v>
      </c>
      <c r="L71" s="20">
        <f t="shared" si="21"/>
        <v>-3.2649572649572633E-3</v>
      </c>
      <c r="M71" s="20">
        <f t="shared" si="21"/>
        <v>-9.549549549549563E-4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E77" s="5" t="s">
        <v>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L2" s="7" t="s">
        <v>268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269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213</v>
      </c>
      <c r="D8" s="10">
        <v>219</v>
      </c>
      <c r="E8" s="10">
        <v>226</v>
      </c>
      <c r="F8" s="10">
        <v>233</v>
      </c>
      <c r="G8" s="10">
        <v>240</v>
      </c>
      <c r="H8" s="10">
        <v>247</v>
      </c>
      <c r="I8" s="10">
        <v>254</v>
      </c>
      <c r="J8" s="10">
        <v>262</v>
      </c>
      <c r="K8" s="10">
        <v>270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213</v>
      </c>
      <c r="D10" s="10">
        <v>219</v>
      </c>
      <c r="E10" s="10">
        <v>226</v>
      </c>
      <c r="F10" s="10">
        <v>233</v>
      </c>
      <c r="G10" s="10">
        <v>240</v>
      </c>
      <c r="H10" s="10">
        <v>247</v>
      </c>
      <c r="I10" s="10">
        <v>254</v>
      </c>
      <c r="J10" s="10">
        <v>262</v>
      </c>
      <c r="K10" s="10">
        <v>270</v>
      </c>
    </row>
    <row r="11" spans="1:13" x14ac:dyDescent="0.25">
      <c r="A11" s="7" t="s">
        <v>814</v>
      </c>
      <c r="C11" s="10">
        <f t="shared" ref="C11:M11" si="0">SUM(C8,C9)</f>
        <v>213</v>
      </c>
      <c r="D11" s="10">
        <f t="shared" si="0"/>
        <v>219</v>
      </c>
      <c r="E11" s="10">
        <f t="shared" si="0"/>
        <v>226</v>
      </c>
      <c r="F11" s="10">
        <f t="shared" si="0"/>
        <v>233</v>
      </c>
      <c r="G11" s="10">
        <f t="shared" si="0"/>
        <v>240</v>
      </c>
      <c r="H11" s="10">
        <f t="shared" si="0"/>
        <v>247</v>
      </c>
      <c r="I11" s="10">
        <f t="shared" si="0"/>
        <v>254</v>
      </c>
      <c r="J11" s="10">
        <f t="shared" si="0"/>
        <v>262</v>
      </c>
      <c r="K11" s="10">
        <f t="shared" si="0"/>
        <v>270</v>
      </c>
      <c r="L11">
        <f t="shared" si="0"/>
        <v>0</v>
      </c>
      <c r="M11">
        <f t="shared" si="0"/>
        <v>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>
        <f t="shared" si="1"/>
        <v>0</v>
      </c>
      <c r="M12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207</v>
      </c>
      <c r="C14" s="20">
        <v>0.48699999999999999</v>
      </c>
      <c r="D14" s="20">
        <v>0.439</v>
      </c>
      <c r="E14" s="20">
        <v>0.39100000000000001</v>
      </c>
      <c r="F14" s="20">
        <v>0.34499999999999997</v>
      </c>
      <c r="G14" s="20">
        <v>0.30199999999999999</v>
      </c>
      <c r="H14" s="20">
        <v>0.26100000000000001</v>
      </c>
      <c r="I14" s="20">
        <v>0.223</v>
      </c>
      <c r="J14" s="20">
        <v>0.188</v>
      </c>
      <c r="K14" s="20">
        <v>0.157</v>
      </c>
    </row>
    <row r="15" spans="1:13" x14ac:dyDescent="0.25">
      <c r="A15" s="7" t="s">
        <v>208</v>
      </c>
      <c r="C15" s="10">
        <v>104</v>
      </c>
      <c r="D15" s="10">
        <v>96</v>
      </c>
      <c r="E15" s="10">
        <v>88</v>
      </c>
      <c r="F15" s="10">
        <v>80</v>
      </c>
      <c r="G15" s="10">
        <v>72</v>
      </c>
      <c r="H15" s="10">
        <v>64</v>
      </c>
      <c r="I15" s="10">
        <v>57</v>
      </c>
      <c r="J15" s="10">
        <v>49</v>
      </c>
      <c r="K15" s="10">
        <v>42</v>
      </c>
    </row>
    <row r="16" spans="1:13" x14ac:dyDescent="0.25">
      <c r="A16" s="7" t="s">
        <v>815</v>
      </c>
      <c r="C16" s="10">
        <f t="shared" ref="C16:M16" si="2">SUM(C10,C14)</f>
        <v>213.48699999999999</v>
      </c>
      <c r="D16" s="10">
        <f t="shared" si="2"/>
        <v>219.43899999999999</v>
      </c>
      <c r="E16" s="10">
        <f t="shared" si="2"/>
        <v>226.39099999999999</v>
      </c>
      <c r="F16" s="10">
        <f t="shared" si="2"/>
        <v>233.345</v>
      </c>
      <c r="G16" s="10">
        <f t="shared" si="2"/>
        <v>240.30199999999999</v>
      </c>
      <c r="H16" s="10">
        <f t="shared" si="2"/>
        <v>247.261</v>
      </c>
      <c r="I16" s="10">
        <f t="shared" si="2"/>
        <v>254.22300000000001</v>
      </c>
      <c r="J16" s="10">
        <f t="shared" si="2"/>
        <v>262.18799999999999</v>
      </c>
      <c r="K16" s="10">
        <f t="shared" si="2"/>
        <v>270.15699999999998</v>
      </c>
      <c r="L16">
        <f t="shared" si="2"/>
        <v>0</v>
      </c>
      <c r="M16">
        <f t="shared" si="2"/>
        <v>0</v>
      </c>
    </row>
    <row r="17" spans="1:13" x14ac:dyDescent="0.25">
      <c r="A17" s="7" t="s">
        <v>826</v>
      </c>
      <c r="C17" s="10">
        <f t="shared" ref="C17:M17" si="3">C16-C15</f>
        <v>109.48699999999999</v>
      </c>
      <c r="D17" s="10">
        <f t="shared" si="3"/>
        <v>123.43899999999999</v>
      </c>
      <c r="E17" s="10">
        <f t="shared" si="3"/>
        <v>138.39099999999999</v>
      </c>
      <c r="F17" s="10">
        <f t="shared" si="3"/>
        <v>153.345</v>
      </c>
      <c r="G17" s="10">
        <f t="shared" si="3"/>
        <v>168.30199999999999</v>
      </c>
      <c r="H17" s="10">
        <f t="shared" si="3"/>
        <v>183.261</v>
      </c>
      <c r="I17" s="10">
        <f t="shared" si="3"/>
        <v>197.22300000000001</v>
      </c>
      <c r="J17" s="10">
        <f t="shared" si="3"/>
        <v>213.18799999999999</v>
      </c>
      <c r="K17" s="10">
        <f t="shared" si="3"/>
        <v>228.15699999999998</v>
      </c>
      <c r="L17">
        <f t="shared" si="3"/>
        <v>0</v>
      </c>
      <c r="M17">
        <f t="shared" si="3"/>
        <v>0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104</v>
      </c>
      <c r="D19" s="13">
        <v>96</v>
      </c>
      <c r="E19" s="13">
        <v>88</v>
      </c>
      <c r="F19" s="13">
        <v>80</v>
      </c>
      <c r="G19" s="13">
        <v>72</v>
      </c>
      <c r="H19" s="13">
        <v>64</v>
      </c>
      <c r="I19" s="13">
        <v>57</v>
      </c>
      <c r="J19" s="13">
        <v>49</v>
      </c>
      <c r="K19" s="13">
        <v>42</v>
      </c>
    </row>
    <row r="20" spans="1:13" x14ac:dyDescent="0.25">
      <c r="A20" s="6" t="s">
        <v>106</v>
      </c>
      <c r="C20" s="13">
        <v>39</v>
      </c>
      <c r="D20" s="13">
        <v>37</v>
      </c>
      <c r="E20" s="13">
        <v>34</v>
      </c>
      <c r="F20" s="13">
        <v>31</v>
      </c>
      <c r="G20" s="13">
        <v>28</v>
      </c>
      <c r="H20" s="13">
        <v>24</v>
      </c>
      <c r="I20" s="13">
        <v>22</v>
      </c>
      <c r="J20" s="13">
        <v>19</v>
      </c>
      <c r="K20" s="13">
        <v>16</v>
      </c>
    </row>
    <row r="21" spans="1:13" x14ac:dyDescent="0.25">
      <c r="A21" s="7" t="s">
        <v>107</v>
      </c>
      <c r="C21" s="19">
        <v>-5</v>
      </c>
      <c r="D21" s="19">
        <v>-5</v>
      </c>
      <c r="E21" s="19">
        <v>-4</v>
      </c>
      <c r="F21" s="19">
        <v>-4</v>
      </c>
      <c r="G21" s="19">
        <v>-4</v>
      </c>
      <c r="H21" s="19">
        <v>-3</v>
      </c>
      <c r="I21" s="19">
        <v>-3</v>
      </c>
      <c r="J21" s="19">
        <v>-2</v>
      </c>
      <c r="K21" s="19">
        <v>-2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34</v>
      </c>
      <c r="D25" s="13">
        <v>32</v>
      </c>
      <c r="E25" s="13">
        <v>29</v>
      </c>
      <c r="F25" s="13">
        <v>27</v>
      </c>
      <c r="G25" s="13">
        <v>24</v>
      </c>
      <c r="H25" s="13">
        <v>21</v>
      </c>
      <c r="I25" s="13">
        <v>19</v>
      </c>
      <c r="J25" s="13">
        <v>16</v>
      </c>
      <c r="K25" s="13">
        <v>14</v>
      </c>
    </row>
    <row r="26" spans="1:13" x14ac:dyDescent="0.25">
      <c r="A26" s="6" t="s">
        <v>816</v>
      </c>
      <c r="C26" s="13">
        <f t="shared" ref="C26:M26" si="4">SUM(C20,C21)</f>
        <v>34</v>
      </c>
      <c r="D26" s="13">
        <f t="shared" si="4"/>
        <v>32</v>
      </c>
      <c r="E26" s="13">
        <f t="shared" si="4"/>
        <v>30</v>
      </c>
      <c r="F26" s="13">
        <f t="shared" si="4"/>
        <v>27</v>
      </c>
      <c r="G26" s="13">
        <f t="shared" si="4"/>
        <v>24</v>
      </c>
      <c r="H26" s="13">
        <f t="shared" si="4"/>
        <v>21</v>
      </c>
      <c r="I26" s="13">
        <f t="shared" si="4"/>
        <v>19</v>
      </c>
      <c r="J26" s="13">
        <f t="shared" si="4"/>
        <v>17</v>
      </c>
      <c r="K26" s="13">
        <f t="shared" si="4"/>
        <v>14</v>
      </c>
      <c r="L26">
        <f t="shared" si="4"/>
        <v>0</v>
      </c>
      <c r="M26">
        <f t="shared" si="4"/>
        <v>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>
        <f t="shared" ca="1" si="5"/>
        <v>0</v>
      </c>
      <c r="M27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-1</v>
      </c>
      <c r="E29" s="19">
        <v>-1</v>
      </c>
      <c r="F29" s="19">
        <v>-1</v>
      </c>
      <c r="G29" s="19">
        <v>-1</v>
      </c>
      <c r="H29" s="19">
        <v>-1</v>
      </c>
      <c r="I29" s="19">
        <v>-1</v>
      </c>
      <c r="J29" s="19">
        <v>-1</v>
      </c>
      <c r="K29" s="19">
        <v>-1</v>
      </c>
    </row>
    <row r="30" spans="1:13" x14ac:dyDescent="0.25">
      <c r="A30" s="7" t="s">
        <v>820</v>
      </c>
      <c r="B30" s="20"/>
      <c r="C30" s="19">
        <f>C19*B29</f>
        <v>1.56</v>
      </c>
      <c r="D30" s="19">
        <f>D19*B29</f>
        <v>1.44</v>
      </c>
      <c r="E30" s="19">
        <f>E19*B29</f>
        <v>1.3199999999999998</v>
      </c>
      <c r="F30" s="19">
        <f>F19*B29</f>
        <v>1.2</v>
      </c>
      <c r="G30" s="19">
        <f>G19*B29</f>
        <v>1.08</v>
      </c>
      <c r="H30" s="19">
        <f>H19*B29</f>
        <v>0.96</v>
      </c>
      <c r="I30" s="19">
        <f>I19*B29</f>
        <v>0.85499999999999998</v>
      </c>
      <c r="J30" s="19">
        <f>J19*B29</f>
        <v>0.73499999999999999</v>
      </c>
      <c r="K30" s="19">
        <f>K19*B29</f>
        <v>0.63</v>
      </c>
      <c r="L30">
        <f>L19*B29</f>
        <v>0</v>
      </c>
      <c r="M30">
        <f>M19*B29</f>
        <v>0</v>
      </c>
    </row>
    <row r="31" spans="1:13" x14ac:dyDescent="0.25">
      <c r="A31" s="7" t="s">
        <v>831</v>
      </c>
      <c r="B31" s="20"/>
      <c r="C31" s="19">
        <f t="shared" ref="C31:M31" si="6">C30-C29</f>
        <v>3.56</v>
      </c>
      <c r="D31" s="19">
        <f t="shared" si="6"/>
        <v>2.44</v>
      </c>
      <c r="E31" s="19">
        <f t="shared" si="6"/>
        <v>2.3199999999999998</v>
      </c>
      <c r="F31" s="19">
        <f t="shared" si="6"/>
        <v>2.2000000000000002</v>
      </c>
      <c r="G31" s="19">
        <f t="shared" si="6"/>
        <v>2.08</v>
      </c>
      <c r="H31" s="19">
        <f t="shared" si="6"/>
        <v>1.96</v>
      </c>
      <c r="I31" s="19">
        <f t="shared" si="6"/>
        <v>1.855</v>
      </c>
      <c r="J31" s="19">
        <f t="shared" si="6"/>
        <v>1.7349999999999999</v>
      </c>
      <c r="K31" s="19">
        <f t="shared" si="6"/>
        <v>1.63</v>
      </c>
      <c r="L31">
        <f t="shared" si="6"/>
        <v>0</v>
      </c>
      <c r="M31">
        <f t="shared" si="6"/>
        <v>0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33</v>
      </c>
      <c r="D33" s="13">
        <v>30</v>
      </c>
      <c r="E33" s="13">
        <v>28</v>
      </c>
      <c r="F33" s="13">
        <v>25</v>
      </c>
      <c r="G33" s="13">
        <v>23</v>
      </c>
      <c r="H33" s="13">
        <v>20</v>
      </c>
      <c r="I33" s="13">
        <v>18</v>
      </c>
      <c r="J33" s="13">
        <v>16</v>
      </c>
      <c r="K33" s="13">
        <v>13</v>
      </c>
    </row>
    <row r="34" spans="1:13" x14ac:dyDescent="0.25">
      <c r="A34" s="6" t="s">
        <v>817</v>
      </c>
      <c r="C34" s="13">
        <f t="shared" ref="C34:M34" si="7">SUM(C25,C29)</f>
        <v>32</v>
      </c>
      <c r="D34" s="13">
        <f t="shared" si="7"/>
        <v>31</v>
      </c>
      <c r="E34" s="13">
        <f t="shared" si="7"/>
        <v>28</v>
      </c>
      <c r="F34" s="13">
        <f t="shared" si="7"/>
        <v>26</v>
      </c>
      <c r="G34" s="13">
        <f t="shared" si="7"/>
        <v>23</v>
      </c>
      <c r="H34" s="13">
        <f t="shared" si="7"/>
        <v>20</v>
      </c>
      <c r="I34" s="13">
        <f t="shared" si="7"/>
        <v>18</v>
      </c>
      <c r="J34" s="13">
        <f t="shared" si="7"/>
        <v>15</v>
      </c>
      <c r="K34" s="13">
        <f t="shared" si="7"/>
        <v>13</v>
      </c>
      <c r="L34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13">
        <f t="shared" ref="C35:M35" si="8">C34-C33</f>
        <v>-1</v>
      </c>
      <c r="D35" s="13">
        <f t="shared" si="8"/>
        <v>1</v>
      </c>
      <c r="E35" s="13">
        <f t="shared" si="8"/>
        <v>0</v>
      </c>
      <c r="F35" s="13">
        <f t="shared" si="8"/>
        <v>1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-1</v>
      </c>
      <c r="K35" s="13">
        <f t="shared" si="8"/>
        <v>0</v>
      </c>
      <c r="L35">
        <f t="shared" si="8"/>
        <v>0</v>
      </c>
      <c r="M35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-7</v>
      </c>
      <c r="D37" s="19">
        <v>-7</v>
      </c>
      <c r="E37" s="19">
        <v>-6</v>
      </c>
      <c r="F37" s="19">
        <v>-6</v>
      </c>
      <c r="G37" s="19">
        <v>-5</v>
      </c>
      <c r="H37" s="19">
        <v>-4</v>
      </c>
      <c r="I37" s="19">
        <v>-4</v>
      </c>
      <c r="J37" s="19">
        <v>-3</v>
      </c>
      <c r="K37" s="19">
        <v>-3</v>
      </c>
    </row>
    <row r="38" spans="1:13" x14ac:dyDescent="0.25">
      <c r="A38" s="7" t="s">
        <v>821</v>
      </c>
      <c r="B38" s="20"/>
      <c r="C38" s="19">
        <f>C33*B37</f>
        <v>7.194</v>
      </c>
      <c r="D38" s="19">
        <f>D33*B37</f>
        <v>6.54</v>
      </c>
      <c r="E38" s="19">
        <f>E33*B37</f>
        <v>6.1040000000000001</v>
      </c>
      <c r="F38" s="19">
        <f>F33*B37</f>
        <v>5.45</v>
      </c>
      <c r="G38" s="19">
        <f>G33*B37</f>
        <v>5.0140000000000002</v>
      </c>
      <c r="H38" s="19">
        <f>H33*B37</f>
        <v>4.3600000000000003</v>
      </c>
      <c r="I38" s="19">
        <f>I33*B37</f>
        <v>3.9239999999999999</v>
      </c>
      <c r="J38" s="19">
        <f>J33*B37</f>
        <v>3.488</v>
      </c>
      <c r="K38" s="19">
        <f>K33*B37</f>
        <v>2.8340000000000001</v>
      </c>
      <c r="L38">
        <f>L33*B37</f>
        <v>0</v>
      </c>
      <c r="M38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14.193999999999999</v>
      </c>
      <c r="D39" s="19">
        <f t="shared" si="9"/>
        <v>13.54</v>
      </c>
      <c r="E39" s="19">
        <f t="shared" si="9"/>
        <v>12.103999999999999</v>
      </c>
      <c r="F39" s="19">
        <f t="shared" si="9"/>
        <v>11.45</v>
      </c>
      <c r="G39" s="19">
        <f t="shared" si="9"/>
        <v>10.013999999999999</v>
      </c>
      <c r="H39" s="19">
        <f t="shared" si="9"/>
        <v>8.36</v>
      </c>
      <c r="I39" s="19">
        <f t="shared" si="9"/>
        <v>7.9239999999999995</v>
      </c>
      <c r="J39" s="19">
        <f t="shared" si="9"/>
        <v>6.4879999999999995</v>
      </c>
      <c r="K39" s="19">
        <f t="shared" si="9"/>
        <v>5.8339999999999996</v>
      </c>
      <c r="L39">
        <f t="shared" si="9"/>
        <v>0</v>
      </c>
      <c r="M3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26</v>
      </c>
      <c r="D41" s="13">
        <v>24</v>
      </c>
      <c r="E41" s="13">
        <v>22</v>
      </c>
      <c r="F41" s="13">
        <v>20</v>
      </c>
      <c r="G41" s="13">
        <v>18</v>
      </c>
      <c r="H41" s="13">
        <v>16</v>
      </c>
      <c r="I41" s="13">
        <v>14</v>
      </c>
      <c r="J41" s="13">
        <v>12</v>
      </c>
      <c r="K41" s="13">
        <v>10</v>
      </c>
    </row>
    <row r="42" spans="1:13" x14ac:dyDescent="0.25">
      <c r="A42" s="6" t="s">
        <v>819</v>
      </c>
      <c r="C42" s="13">
        <f t="shared" ref="C42:M42" si="10">C33-C37</f>
        <v>40</v>
      </c>
      <c r="D42" s="13">
        <f t="shared" si="10"/>
        <v>37</v>
      </c>
      <c r="E42" s="13">
        <f t="shared" si="10"/>
        <v>34</v>
      </c>
      <c r="F42" s="13">
        <f t="shared" si="10"/>
        <v>31</v>
      </c>
      <c r="G42" s="13">
        <f t="shared" si="10"/>
        <v>28</v>
      </c>
      <c r="H42" s="13">
        <f t="shared" si="10"/>
        <v>24</v>
      </c>
      <c r="I42" s="13">
        <f t="shared" si="10"/>
        <v>22</v>
      </c>
      <c r="J42" s="13">
        <f t="shared" si="10"/>
        <v>19</v>
      </c>
      <c r="K42" s="13">
        <f t="shared" si="10"/>
        <v>16</v>
      </c>
      <c r="L42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13">
        <f t="shared" ref="C43:M43" si="11">C42-C41</f>
        <v>14</v>
      </c>
      <c r="D43" s="13">
        <f t="shared" si="11"/>
        <v>13</v>
      </c>
      <c r="E43" s="13">
        <f t="shared" si="11"/>
        <v>12</v>
      </c>
      <c r="F43" s="13">
        <f t="shared" si="11"/>
        <v>11</v>
      </c>
      <c r="G43" s="13">
        <f t="shared" si="11"/>
        <v>10</v>
      </c>
      <c r="H43" s="13">
        <f t="shared" si="11"/>
        <v>8</v>
      </c>
      <c r="I43" s="13">
        <f t="shared" si="11"/>
        <v>8</v>
      </c>
      <c r="J43" s="13">
        <f t="shared" si="11"/>
        <v>7</v>
      </c>
      <c r="K43" s="13">
        <f t="shared" si="11"/>
        <v>6</v>
      </c>
      <c r="L43">
        <f t="shared" si="11"/>
        <v>0</v>
      </c>
      <c r="M4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-5</v>
      </c>
      <c r="D45" s="19">
        <v>-4</v>
      </c>
      <c r="E45" s="19">
        <v>-4</v>
      </c>
      <c r="F45" s="19">
        <v>-4</v>
      </c>
      <c r="G45" s="19">
        <v>-3</v>
      </c>
      <c r="H45" s="19">
        <v>-3</v>
      </c>
      <c r="I45" s="19">
        <v>-3</v>
      </c>
      <c r="J45" s="19">
        <v>-2</v>
      </c>
      <c r="K45" s="19">
        <v>-2</v>
      </c>
    </row>
    <row r="46" spans="1:13" x14ac:dyDescent="0.25">
      <c r="A46" s="6" t="s">
        <v>215</v>
      </c>
      <c r="C46" s="13">
        <v>21</v>
      </c>
      <c r="D46" s="13">
        <v>19</v>
      </c>
      <c r="E46" s="13">
        <v>18</v>
      </c>
      <c r="F46" s="13">
        <v>16</v>
      </c>
      <c r="G46" s="13">
        <v>15</v>
      </c>
      <c r="H46" s="13">
        <v>13</v>
      </c>
      <c r="I46" s="13">
        <v>11</v>
      </c>
      <c r="J46" s="13">
        <v>10</v>
      </c>
      <c r="K46" s="13">
        <v>9</v>
      </c>
    </row>
    <row r="47" spans="1:13" x14ac:dyDescent="0.25">
      <c r="A47" s="6" t="s">
        <v>818</v>
      </c>
      <c r="C47" s="13">
        <f t="shared" ref="C47:M47" si="12">SUM(C41,C45)</f>
        <v>21</v>
      </c>
      <c r="D47" s="13">
        <f t="shared" si="12"/>
        <v>20</v>
      </c>
      <c r="E47" s="13">
        <f t="shared" si="12"/>
        <v>18</v>
      </c>
      <c r="F47" s="13">
        <f t="shared" si="12"/>
        <v>16</v>
      </c>
      <c r="G47" s="13">
        <f t="shared" si="12"/>
        <v>15</v>
      </c>
      <c r="H47" s="13">
        <f t="shared" si="12"/>
        <v>13</v>
      </c>
      <c r="I47" s="13">
        <f t="shared" si="12"/>
        <v>11</v>
      </c>
      <c r="J47" s="13">
        <f t="shared" si="12"/>
        <v>10</v>
      </c>
      <c r="K47" s="13">
        <f t="shared" si="12"/>
        <v>8</v>
      </c>
      <c r="L47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1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-1</v>
      </c>
      <c r="L48">
        <f t="shared" si="13"/>
        <v>0</v>
      </c>
      <c r="M48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2</v>
      </c>
      <c r="D51" s="13">
        <v>2</v>
      </c>
      <c r="E51" s="13">
        <v>1</v>
      </c>
      <c r="F51" s="13">
        <v>1</v>
      </c>
      <c r="G51" s="13">
        <v>1</v>
      </c>
      <c r="H51" s="13">
        <v>1</v>
      </c>
      <c r="I51" s="13">
        <v>1</v>
      </c>
      <c r="J51" s="13">
        <v>0</v>
      </c>
      <c r="K51" s="13">
        <v>0</v>
      </c>
    </row>
    <row r="52" spans="1:13" x14ac:dyDescent="0.25">
      <c r="A52" s="6" t="s">
        <v>822</v>
      </c>
      <c r="C52" s="13">
        <f t="shared" ref="C52:M52" si="14">C46*C50</f>
        <v>2.1714000000000002</v>
      </c>
      <c r="D52" s="13">
        <f t="shared" si="14"/>
        <v>1.7689000000000001</v>
      </c>
      <c r="E52" s="13">
        <f t="shared" si="14"/>
        <v>1.5102</v>
      </c>
      <c r="F52" s="13">
        <f t="shared" si="14"/>
        <v>1.2096</v>
      </c>
      <c r="G52" s="13">
        <f t="shared" si="14"/>
        <v>1.0214999999999999</v>
      </c>
      <c r="H52" s="13">
        <f t="shared" si="14"/>
        <v>0.79820000000000002</v>
      </c>
      <c r="I52" s="13">
        <f t="shared" si="14"/>
        <v>0.60830000000000006</v>
      </c>
      <c r="J52" s="13">
        <f t="shared" si="14"/>
        <v>0.498</v>
      </c>
      <c r="K52" s="13">
        <f t="shared" si="14"/>
        <v>0.40410000000000001</v>
      </c>
      <c r="L52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0.17140000000000022</v>
      </c>
      <c r="D53" s="13">
        <f t="shared" si="15"/>
        <v>-0.23109999999999986</v>
      </c>
      <c r="E53" s="13">
        <f t="shared" si="15"/>
        <v>0.51019999999999999</v>
      </c>
      <c r="F53" s="13">
        <f t="shared" si="15"/>
        <v>0.20960000000000001</v>
      </c>
      <c r="G53" s="13">
        <f t="shared" si="15"/>
        <v>2.1499999999999853E-2</v>
      </c>
      <c r="H53" s="13">
        <f t="shared" si="15"/>
        <v>-0.20179999999999998</v>
      </c>
      <c r="I53" s="13">
        <f t="shared" si="15"/>
        <v>-0.39169999999999994</v>
      </c>
      <c r="J53" s="13">
        <f t="shared" si="15"/>
        <v>0.498</v>
      </c>
      <c r="K53" s="13">
        <f t="shared" si="15"/>
        <v>0.40410000000000001</v>
      </c>
      <c r="L53">
        <f t="shared" si="15"/>
        <v>0</v>
      </c>
      <c r="M5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>
        <f t="shared" ref="D57:M57" si="16">(D8-C8)/C8</f>
        <v>2.8169014084507043E-2</v>
      </c>
      <c r="E57" s="20">
        <f t="shared" si="16"/>
        <v>3.1963470319634701E-2</v>
      </c>
      <c r="F57" s="20">
        <f t="shared" si="16"/>
        <v>3.0973451327433628E-2</v>
      </c>
      <c r="G57" s="20">
        <f t="shared" si="16"/>
        <v>3.0042918454935622E-2</v>
      </c>
      <c r="H57" s="20">
        <f t="shared" si="16"/>
        <v>2.9166666666666667E-2</v>
      </c>
      <c r="I57" s="20">
        <f t="shared" si="16"/>
        <v>2.8340080971659919E-2</v>
      </c>
      <c r="J57" s="20">
        <f t="shared" si="16"/>
        <v>3.1496062992125984E-2</v>
      </c>
      <c r="K57" s="20">
        <f t="shared" si="16"/>
        <v>3.0534351145038167E-2</v>
      </c>
      <c r="L57">
        <f t="shared" si="16"/>
        <v>-1</v>
      </c>
      <c r="M57" t="e">
        <f t="shared" si="16"/>
        <v>#DIV/0!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-1.830985915492956E-3</v>
      </c>
      <c r="E58" s="20">
        <f t="shared" si="17"/>
        <v>1.9634703196347025E-3</v>
      </c>
      <c r="F58" s="20">
        <f t="shared" si="17"/>
        <v>9.73451327433629E-4</v>
      </c>
      <c r="G58" s="20">
        <f t="shared" si="17"/>
        <v>4.2918454935623324E-5</v>
      </c>
      <c r="H58" s="20">
        <f t="shared" si="17"/>
        <v>-8.3333333333333176E-4</v>
      </c>
      <c r="I58" s="20">
        <f t="shared" si="17"/>
        <v>-1.6599190283400796E-3</v>
      </c>
      <c r="J58" s="20">
        <f t="shared" si="17"/>
        <v>1.4960629921259849E-3</v>
      </c>
      <c r="K58" s="20">
        <f t="shared" si="17"/>
        <v>5.3435114503816786E-4</v>
      </c>
      <c r="L58">
        <f t="shared" si="17"/>
        <v>-1</v>
      </c>
      <c r="M58" t="e">
        <f t="shared" si="17"/>
        <v>#DIV/0!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0.38100000000000001</v>
      </c>
      <c r="D60" s="20">
        <v>0.38100000000000001</v>
      </c>
      <c r="E60" s="20">
        <v>0.38100000000000001</v>
      </c>
      <c r="F60" s="20">
        <v>0.38100000000000001</v>
      </c>
      <c r="G60" s="20">
        <v>0.38100000000000001</v>
      </c>
      <c r="H60" s="20">
        <v>0.38100000000000001</v>
      </c>
      <c r="I60" s="20">
        <v>0.38100000000000001</v>
      </c>
      <c r="J60" s="20">
        <v>0.38100000000000001</v>
      </c>
      <c r="K60" s="20">
        <v>0.38100000000000001</v>
      </c>
    </row>
    <row r="61" spans="1:13" x14ac:dyDescent="0.25">
      <c r="A61" s="7" t="s">
        <v>823</v>
      </c>
      <c r="C61" s="20">
        <f t="shared" ref="C61:M61" si="18">C20/C19</f>
        <v>0.375</v>
      </c>
      <c r="D61" s="20">
        <f t="shared" si="18"/>
        <v>0.38541666666666669</v>
      </c>
      <c r="E61" s="20">
        <f t="shared" si="18"/>
        <v>0.38636363636363635</v>
      </c>
      <c r="F61" s="20">
        <f t="shared" si="18"/>
        <v>0.38750000000000001</v>
      </c>
      <c r="G61" s="20">
        <f t="shared" si="18"/>
        <v>0.3888888888888889</v>
      </c>
      <c r="H61" s="20">
        <f t="shared" si="18"/>
        <v>0.375</v>
      </c>
      <c r="I61" s="20">
        <f t="shared" si="18"/>
        <v>0.38596491228070173</v>
      </c>
      <c r="J61" s="20">
        <f t="shared" si="18"/>
        <v>0.38775510204081631</v>
      </c>
      <c r="K61" s="20">
        <f t="shared" si="18"/>
        <v>0.38095238095238093</v>
      </c>
      <c r="L61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s="20">
        <f t="shared" ref="C62:M62" si="19">C61-C60</f>
        <v>-6.0000000000000053E-3</v>
      </c>
      <c r="D62" s="20">
        <f t="shared" si="19"/>
        <v>4.4166666666666798E-3</v>
      </c>
      <c r="E62" s="20">
        <f t="shared" si="19"/>
        <v>5.3636363636363482E-3</v>
      </c>
      <c r="F62" s="20">
        <f t="shared" si="19"/>
        <v>6.5000000000000058E-3</v>
      </c>
      <c r="G62" s="20">
        <f t="shared" si="19"/>
        <v>7.8888888888888897E-3</v>
      </c>
      <c r="H62" s="20">
        <f t="shared" si="19"/>
        <v>-6.0000000000000053E-3</v>
      </c>
      <c r="I62" s="20">
        <f t="shared" si="19"/>
        <v>4.9649122807017276E-3</v>
      </c>
      <c r="J62" s="20">
        <f t="shared" si="19"/>
        <v>6.7551020408163076E-3</v>
      </c>
      <c r="K62" s="20">
        <f t="shared" si="19"/>
        <v>-4.7619047619074095E-5</v>
      </c>
      <c r="L62" t="e">
        <f t="shared" si="19"/>
        <v>#DIV/0!</v>
      </c>
      <c r="M62" t="e">
        <f t="shared" si="19"/>
        <v>#DIV/0!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0.33200000000000002</v>
      </c>
      <c r="D65" s="20">
        <v>0.33200000000000002</v>
      </c>
      <c r="E65" s="20">
        <v>0.33200000000000002</v>
      </c>
      <c r="F65" s="20">
        <v>0.33200000000000002</v>
      </c>
      <c r="G65" s="20">
        <v>0.33200000000000002</v>
      </c>
      <c r="H65" s="20">
        <v>0.33200000000000002</v>
      </c>
      <c r="I65" s="20">
        <v>0.33200000000000002</v>
      </c>
      <c r="J65" s="20">
        <v>0.33200000000000002</v>
      </c>
      <c r="K65" s="20">
        <v>0.33200000000000002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4.5999999999999999E-2</v>
      </c>
      <c r="D69" s="20">
        <v>4.5999999999999999E-2</v>
      </c>
      <c r="E69" s="20">
        <v>4.5999999999999999E-2</v>
      </c>
      <c r="F69" s="20">
        <v>4.5999999999999999E-2</v>
      </c>
      <c r="G69" s="20">
        <v>4.5999999999999999E-2</v>
      </c>
      <c r="H69" s="20">
        <v>4.5999999999999999E-2</v>
      </c>
      <c r="I69" s="20">
        <v>4.5999999999999999E-2</v>
      </c>
      <c r="J69" s="20">
        <v>4.5999999999999999E-2</v>
      </c>
      <c r="K69" s="20">
        <v>4.5999999999999999E-2</v>
      </c>
    </row>
    <row r="70" spans="1:13" x14ac:dyDescent="0.25">
      <c r="A70" s="7" t="s">
        <v>824</v>
      </c>
      <c r="C70" s="20">
        <f t="shared" ref="C70:M70" si="20">-C45/C19</f>
        <v>4.807692307692308E-2</v>
      </c>
      <c r="D70" s="20">
        <f t="shared" si="20"/>
        <v>4.1666666666666664E-2</v>
      </c>
      <c r="E70" s="20">
        <f t="shared" si="20"/>
        <v>4.5454545454545456E-2</v>
      </c>
      <c r="F70" s="20">
        <f t="shared" si="20"/>
        <v>0.05</v>
      </c>
      <c r="G70" s="20">
        <f t="shared" si="20"/>
        <v>4.1666666666666664E-2</v>
      </c>
      <c r="H70" s="20">
        <f t="shared" si="20"/>
        <v>4.6875E-2</v>
      </c>
      <c r="I70" s="20">
        <f t="shared" si="20"/>
        <v>5.2631578947368418E-2</v>
      </c>
      <c r="J70" s="20">
        <f t="shared" si="20"/>
        <v>4.0816326530612242E-2</v>
      </c>
      <c r="K70" s="20">
        <f t="shared" si="20"/>
        <v>4.7619047619047616E-2</v>
      </c>
      <c r="L7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s="20">
        <f t="shared" ref="C71:M71" si="21">C70-C69</f>
        <v>2.0769230769230804E-3</v>
      </c>
      <c r="D71" s="20">
        <f t="shared" si="21"/>
        <v>-4.3333333333333349E-3</v>
      </c>
      <c r="E71" s="20">
        <f t="shared" si="21"/>
        <v>-5.4545454545454342E-4</v>
      </c>
      <c r="F71" s="20">
        <f t="shared" si="21"/>
        <v>4.0000000000000036E-3</v>
      </c>
      <c r="G71" s="20">
        <f t="shared" si="21"/>
        <v>-4.3333333333333349E-3</v>
      </c>
      <c r="H71" s="20">
        <f t="shared" si="21"/>
        <v>8.7500000000000078E-4</v>
      </c>
      <c r="I71" s="20">
        <f t="shared" si="21"/>
        <v>6.6315789473684189E-3</v>
      </c>
      <c r="J71" s="20">
        <f t="shared" si="21"/>
        <v>-5.1836734693877576E-3</v>
      </c>
      <c r="K71" s="20">
        <f t="shared" si="21"/>
        <v>1.6190476190476172E-3</v>
      </c>
      <c r="L71" t="e">
        <f t="shared" si="21"/>
        <v>#DIV/0!</v>
      </c>
      <c r="M71" t="e">
        <f t="shared" si="21"/>
        <v>#DIV/0!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L76" s="32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M8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270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31</v>
      </c>
      <c r="D8" s="10">
        <v>130</v>
      </c>
      <c r="E8" s="10">
        <v>133</v>
      </c>
      <c r="F8" s="10">
        <v>137</v>
      </c>
      <c r="G8" s="10">
        <v>140</v>
      </c>
      <c r="H8" s="10">
        <v>144</v>
      </c>
      <c r="I8" s="10">
        <v>148</v>
      </c>
      <c r="J8" s="10">
        <v>152</v>
      </c>
      <c r="K8" s="10">
        <v>156</v>
      </c>
      <c r="L8" s="10">
        <v>161</v>
      </c>
      <c r="M8" s="10">
        <v>166</v>
      </c>
    </row>
    <row r="9" spans="1:13" x14ac:dyDescent="0.25">
      <c r="A9" s="7" t="s">
        <v>204</v>
      </c>
      <c r="C9" s="19">
        <v>-19</v>
      </c>
      <c r="D9" s="19">
        <v>-28</v>
      </c>
    </row>
    <row r="10" spans="1:13" x14ac:dyDescent="0.25">
      <c r="A10" s="7" t="s">
        <v>253</v>
      </c>
      <c r="C10" s="10">
        <v>12</v>
      </c>
      <c r="D10" s="10">
        <v>102</v>
      </c>
      <c r="E10" s="10">
        <v>133</v>
      </c>
      <c r="F10" s="10">
        <v>137</v>
      </c>
      <c r="G10" s="10">
        <v>140</v>
      </c>
      <c r="H10" s="10">
        <v>144</v>
      </c>
      <c r="I10" s="10">
        <v>148</v>
      </c>
      <c r="J10" s="10">
        <v>152</v>
      </c>
      <c r="K10" s="10">
        <v>156</v>
      </c>
      <c r="L10" s="10">
        <v>161</v>
      </c>
      <c r="M10" s="10">
        <v>166</v>
      </c>
    </row>
    <row r="11" spans="1:13" x14ac:dyDescent="0.25">
      <c r="A11" s="7" t="s">
        <v>814</v>
      </c>
      <c r="C11" s="10">
        <f t="shared" ref="C11:M11" si="0">SUM(C8,C9)</f>
        <v>12</v>
      </c>
      <c r="D11" s="10">
        <f t="shared" si="0"/>
        <v>102</v>
      </c>
      <c r="E11" s="10">
        <f t="shared" si="0"/>
        <v>133</v>
      </c>
      <c r="F11" s="10">
        <f t="shared" si="0"/>
        <v>137</v>
      </c>
      <c r="G11" s="10">
        <f t="shared" si="0"/>
        <v>140</v>
      </c>
      <c r="H11" s="10">
        <f t="shared" si="0"/>
        <v>144</v>
      </c>
      <c r="I11" s="10">
        <f t="shared" si="0"/>
        <v>148</v>
      </c>
      <c r="J11" s="10">
        <f t="shared" si="0"/>
        <v>152</v>
      </c>
      <c r="K11" s="10">
        <f t="shared" si="0"/>
        <v>156</v>
      </c>
      <c r="L11" s="10">
        <f t="shared" si="0"/>
        <v>161</v>
      </c>
      <c r="M11" s="10">
        <f t="shared" si="0"/>
        <v>166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1</v>
      </c>
      <c r="D14" s="20">
        <v>1</v>
      </c>
      <c r="E14" s="20">
        <v>1</v>
      </c>
      <c r="F14" s="20">
        <v>0.999</v>
      </c>
      <c r="G14" s="20">
        <v>0.998</v>
      </c>
      <c r="H14" s="20">
        <v>0.997</v>
      </c>
      <c r="I14" s="20">
        <v>0.99399999999999999</v>
      </c>
      <c r="J14" s="20">
        <v>0.99</v>
      </c>
      <c r="K14" s="20">
        <v>0.98399999999999999</v>
      </c>
      <c r="L14" s="20">
        <v>0.97699999999999998</v>
      </c>
      <c r="M14" s="20">
        <v>0.96899999999999997</v>
      </c>
    </row>
    <row r="15" spans="1:13" x14ac:dyDescent="0.25">
      <c r="A15" s="7" t="s">
        <v>208</v>
      </c>
      <c r="C15" s="10">
        <v>12</v>
      </c>
      <c r="D15" s="10">
        <v>102</v>
      </c>
      <c r="E15" s="10">
        <v>133</v>
      </c>
      <c r="F15" s="10">
        <v>136</v>
      </c>
      <c r="G15" s="10">
        <v>140</v>
      </c>
      <c r="H15" s="10">
        <v>143</v>
      </c>
      <c r="I15" s="10">
        <v>147</v>
      </c>
      <c r="J15" s="10">
        <v>150</v>
      </c>
      <c r="K15" s="10">
        <v>154</v>
      </c>
      <c r="L15" s="10">
        <v>157</v>
      </c>
      <c r="M15" s="10">
        <v>161</v>
      </c>
    </row>
    <row r="16" spans="1:13" x14ac:dyDescent="0.25">
      <c r="A16" s="7" t="s">
        <v>815</v>
      </c>
      <c r="C16" s="10">
        <f t="shared" ref="C16:M16" si="2">SUM(C10,C14)</f>
        <v>13</v>
      </c>
      <c r="D16" s="10">
        <f t="shared" si="2"/>
        <v>103</v>
      </c>
      <c r="E16" s="10">
        <f t="shared" si="2"/>
        <v>134</v>
      </c>
      <c r="F16" s="10">
        <f t="shared" si="2"/>
        <v>137.999</v>
      </c>
      <c r="G16" s="10">
        <f t="shared" si="2"/>
        <v>140.99799999999999</v>
      </c>
      <c r="H16" s="10">
        <f t="shared" si="2"/>
        <v>144.99700000000001</v>
      </c>
      <c r="I16" s="10">
        <f t="shared" si="2"/>
        <v>148.994</v>
      </c>
      <c r="J16" s="10">
        <f t="shared" si="2"/>
        <v>152.99</v>
      </c>
      <c r="K16" s="10">
        <f t="shared" si="2"/>
        <v>156.98400000000001</v>
      </c>
      <c r="L16" s="10">
        <f t="shared" si="2"/>
        <v>161.977</v>
      </c>
      <c r="M16" s="10">
        <f t="shared" si="2"/>
        <v>166.96899999999999</v>
      </c>
    </row>
    <row r="17" spans="1:13" x14ac:dyDescent="0.25">
      <c r="A17" s="7" t="s">
        <v>826</v>
      </c>
      <c r="C17" s="10">
        <f t="shared" ref="C17:M17" si="3">C16-C15</f>
        <v>1</v>
      </c>
      <c r="D17" s="10">
        <f t="shared" si="3"/>
        <v>1</v>
      </c>
      <c r="E17" s="10">
        <f t="shared" si="3"/>
        <v>1</v>
      </c>
      <c r="F17" s="10">
        <f t="shared" si="3"/>
        <v>1.9989999999999952</v>
      </c>
      <c r="G17" s="10">
        <f t="shared" si="3"/>
        <v>0.99799999999999045</v>
      </c>
      <c r="H17" s="10">
        <f t="shared" si="3"/>
        <v>1.9970000000000141</v>
      </c>
      <c r="I17" s="10">
        <f t="shared" si="3"/>
        <v>1.9939999999999998</v>
      </c>
      <c r="J17" s="10">
        <f t="shared" si="3"/>
        <v>2.9900000000000091</v>
      </c>
      <c r="K17" s="10">
        <f t="shared" si="3"/>
        <v>2.9840000000000089</v>
      </c>
      <c r="L17" s="10">
        <f t="shared" si="3"/>
        <v>4.9770000000000039</v>
      </c>
      <c r="M17" s="10">
        <f t="shared" si="3"/>
        <v>5.9689999999999941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12</v>
      </c>
      <c r="D19" s="13">
        <v>102</v>
      </c>
      <c r="E19" s="13">
        <v>133</v>
      </c>
      <c r="F19" s="13">
        <v>136</v>
      </c>
      <c r="G19" s="13">
        <v>140</v>
      </c>
      <c r="H19" s="13">
        <v>143</v>
      </c>
      <c r="I19" s="13">
        <v>147</v>
      </c>
      <c r="J19" s="13">
        <v>150</v>
      </c>
      <c r="K19" s="13">
        <v>154</v>
      </c>
      <c r="L19" s="13">
        <v>157</v>
      </c>
      <c r="M19" s="13">
        <v>161</v>
      </c>
    </row>
    <row r="20" spans="1:13" x14ac:dyDescent="0.25">
      <c r="A20" s="6" t="s">
        <v>106</v>
      </c>
      <c r="C20" s="13">
        <v>4</v>
      </c>
      <c r="D20" s="13">
        <v>34</v>
      </c>
      <c r="E20" s="13">
        <v>47</v>
      </c>
      <c r="F20" s="13">
        <v>51</v>
      </c>
      <c r="G20" s="13">
        <v>54</v>
      </c>
      <c r="H20" s="13">
        <v>56</v>
      </c>
      <c r="I20" s="13">
        <v>59</v>
      </c>
      <c r="J20" s="13">
        <v>61</v>
      </c>
      <c r="K20" s="13">
        <v>63</v>
      </c>
      <c r="L20" s="13">
        <v>64</v>
      </c>
      <c r="M20" s="13">
        <v>65</v>
      </c>
    </row>
    <row r="21" spans="1:13" x14ac:dyDescent="0.25">
      <c r="A21" s="7" t="s">
        <v>107</v>
      </c>
      <c r="C21" s="19">
        <v>0</v>
      </c>
      <c r="D21" s="19">
        <v>-3</v>
      </c>
      <c r="E21" s="19">
        <v>-5</v>
      </c>
      <c r="F21" s="19">
        <v>-7</v>
      </c>
      <c r="G21" s="19">
        <v>-8</v>
      </c>
      <c r="H21" s="19">
        <v>-8</v>
      </c>
      <c r="I21" s="19">
        <v>-7</v>
      </c>
      <c r="J21" s="19">
        <v>-7</v>
      </c>
      <c r="K21" s="19">
        <v>-8</v>
      </c>
      <c r="L21" s="19">
        <v>-8</v>
      </c>
      <c r="M21" s="19">
        <v>-8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4</v>
      </c>
      <c r="D25" s="13">
        <v>31</v>
      </c>
      <c r="E25" s="13">
        <v>43</v>
      </c>
      <c r="F25" s="13">
        <v>44</v>
      </c>
      <c r="G25" s="13">
        <v>46</v>
      </c>
      <c r="H25" s="13">
        <v>49</v>
      </c>
      <c r="I25" s="13">
        <v>51</v>
      </c>
      <c r="J25" s="13">
        <v>54</v>
      </c>
      <c r="K25" s="13">
        <v>55</v>
      </c>
      <c r="L25" s="13">
        <v>56</v>
      </c>
      <c r="M25" s="13">
        <v>58</v>
      </c>
    </row>
    <row r="26" spans="1:13" x14ac:dyDescent="0.25">
      <c r="A26" s="6" t="s">
        <v>816</v>
      </c>
      <c r="C26" s="13">
        <f t="shared" ref="C26:M26" si="4">SUM(C20,C21)</f>
        <v>4</v>
      </c>
      <c r="D26" s="13">
        <f t="shared" si="4"/>
        <v>31</v>
      </c>
      <c r="E26" s="13">
        <f t="shared" si="4"/>
        <v>42</v>
      </c>
      <c r="F26" s="13">
        <f t="shared" si="4"/>
        <v>44</v>
      </c>
      <c r="G26" s="13">
        <f t="shared" si="4"/>
        <v>46</v>
      </c>
      <c r="H26" s="13">
        <f t="shared" si="4"/>
        <v>48</v>
      </c>
      <c r="I26" s="13">
        <f t="shared" si="4"/>
        <v>52</v>
      </c>
      <c r="J26" s="13">
        <f t="shared" si="4"/>
        <v>54</v>
      </c>
      <c r="K26" s="13">
        <f t="shared" si="4"/>
        <v>55</v>
      </c>
      <c r="L26" s="13">
        <f t="shared" si="4"/>
        <v>56</v>
      </c>
      <c r="M26" s="13">
        <f t="shared" si="4"/>
        <v>57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 t="s">
        <v>820</v>
      </c>
      <c r="B30" s="20"/>
      <c r="C30" s="19">
        <f>C19*B29</f>
        <v>0.18</v>
      </c>
      <c r="D30" s="19">
        <f>D19*B29</f>
        <v>1.53</v>
      </c>
      <c r="E30" s="19">
        <f>E19*B29</f>
        <v>1.9949999999999999</v>
      </c>
      <c r="F30" s="19">
        <f>F19*B29</f>
        <v>2.04</v>
      </c>
      <c r="G30" s="19">
        <f>G19*B29</f>
        <v>2.1</v>
      </c>
      <c r="H30" s="19">
        <f>H19*B29</f>
        <v>2.145</v>
      </c>
      <c r="I30" s="19">
        <f>I19*B29</f>
        <v>2.2050000000000001</v>
      </c>
      <c r="J30" s="19">
        <f>J19*B29</f>
        <v>2.25</v>
      </c>
      <c r="K30" s="19">
        <f>K19*B29</f>
        <v>2.31</v>
      </c>
      <c r="L30" s="19">
        <f>L19*B29</f>
        <v>2.355</v>
      </c>
      <c r="M30" s="19">
        <f>M19*B29</f>
        <v>2.415</v>
      </c>
    </row>
    <row r="31" spans="1:13" x14ac:dyDescent="0.25">
      <c r="A31" s="7" t="s">
        <v>831</v>
      </c>
      <c r="B31" s="20"/>
      <c r="C31" s="19">
        <f t="shared" ref="C31:M31" si="6">C30-C29</f>
        <v>0.18</v>
      </c>
      <c r="D31" s="19">
        <f t="shared" si="6"/>
        <v>3.5300000000000002</v>
      </c>
      <c r="E31" s="19">
        <f t="shared" si="6"/>
        <v>3.9950000000000001</v>
      </c>
      <c r="F31" s="19">
        <f t="shared" si="6"/>
        <v>4.04</v>
      </c>
      <c r="G31" s="19">
        <f t="shared" si="6"/>
        <v>4.0999999999999996</v>
      </c>
      <c r="H31" s="19">
        <f t="shared" si="6"/>
        <v>4.1449999999999996</v>
      </c>
      <c r="I31" s="19">
        <f t="shared" si="6"/>
        <v>4.2050000000000001</v>
      </c>
      <c r="J31" s="19">
        <f t="shared" si="6"/>
        <v>4.25</v>
      </c>
      <c r="K31" s="19">
        <f t="shared" si="6"/>
        <v>4.3100000000000005</v>
      </c>
      <c r="L31" s="19">
        <f t="shared" si="6"/>
        <v>4.3550000000000004</v>
      </c>
      <c r="M31" s="19">
        <f t="shared" si="6"/>
        <v>4.415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3</v>
      </c>
      <c r="D33" s="13">
        <v>29</v>
      </c>
      <c r="E33" s="13">
        <v>41</v>
      </c>
      <c r="F33" s="13">
        <v>42</v>
      </c>
      <c r="G33" s="13">
        <v>44</v>
      </c>
      <c r="H33" s="13">
        <v>47</v>
      </c>
      <c r="I33" s="13">
        <v>49</v>
      </c>
      <c r="J33" s="13">
        <v>52</v>
      </c>
      <c r="K33" s="13">
        <v>53</v>
      </c>
      <c r="L33" s="13">
        <v>54</v>
      </c>
      <c r="M33" s="13">
        <v>55</v>
      </c>
    </row>
    <row r="34" spans="1:13" x14ac:dyDescent="0.25">
      <c r="A34" s="6" t="s">
        <v>817</v>
      </c>
      <c r="C34" s="13">
        <f t="shared" ref="C34:M34" si="7">SUM(C25,C29)</f>
        <v>4</v>
      </c>
      <c r="D34" s="13">
        <f t="shared" si="7"/>
        <v>29</v>
      </c>
      <c r="E34" s="13">
        <f t="shared" si="7"/>
        <v>41</v>
      </c>
      <c r="F34" s="13">
        <f t="shared" si="7"/>
        <v>42</v>
      </c>
      <c r="G34" s="13">
        <f t="shared" si="7"/>
        <v>44</v>
      </c>
      <c r="H34" s="13">
        <f t="shared" si="7"/>
        <v>47</v>
      </c>
      <c r="I34" s="13">
        <f t="shared" si="7"/>
        <v>49</v>
      </c>
      <c r="J34" s="13">
        <f t="shared" si="7"/>
        <v>52</v>
      </c>
      <c r="K34" s="13">
        <f t="shared" si="7"/>
        <v>53</v>
      </c>
      <c r="L34" s="13">
        <f t="shared" si="7"/>
        <v>54</v>
      </c>
      <c r="M34" s="13">
        <f t="shared" si="7"/>
        <v>56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 s="13">
        <f t="shared" si="8"/>
        <v>1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-1</v>
      </c>
      <c r="D37" s="19">
        <v>-6</v>
      </c>
      <c r="E37" s="19">
        <v>-9</v>
      </c>
      <c r="F37" s="19">
        <v>-9</v>
      </c>
      <c r="G37" s="19">
        <v>-10</v>
      </c>
      <c r="H37" s="19">
        <v>-10</v>
      </c>
      <c r="I37" s="19">
        <v>-11</v>
      </c>
      <c r="J37" s="19">
        <v>-11</v>
      </c>
      <c r="K37" s="19">
        <v>-12</v>
      </c>
      <c r="L37" s="19">
        <v>-12</v>
      </c>
      <c r="M37" s="19">
        <v>-12</v>
      </c>
    </row>
    <row r="38" spans="1:13" x14ac:dyDescent="0.25">
      <c r="A38" s="7" t="s">
        <v>821</v>
      </c>
      <c r="B38" s="20"/>
      <c r="C38" s="31">
        <f>C33*B37</f>
        <v>0.65400000000000003</v>
      </c>
      <c r="D38" s="19">
        <f>D33*B37</f>
        <v>6.3220000000000001</v>
      </c>
      <c r="E38" s="19">
        <f>E33*B37</f>
        <v>8.9380000000000006</v>
      </c>
      <c r="F38" s="19">
        <f>F33*B37</f>
        <v>9.1560000000000006</v>
      </c>
      <c r="G38" s="19">
        <f>G33*B37</f>
        <v>9.5920000000000005</v>
      </c>
      <c r="H38" s="19">
        <f>H33*B37</f>
        <v>10.246</v>
      </c>
      <c r="I38" s="19">
        <f>I33*B37</f>
        <v>10.682</v>
      </c>
      <c r="J38" s="19">
        <f>J33*B37</f>
        <v>11.336</v>
      </c>
      <c r="K38" s="19">
        <f>K33*B37</f>
        <v>11.554</v>
      </c>
      <c r="L38" s="19">
        <f>L33*B37</f>
        <v>11.772</v>
      </c>
      <c r="M38" s="19">
        <f>M33*B37</f>
        <v>11.99</v>
      </c>
    </row>
    <row r="39" spans="1:13" x14ac:dyDescent="0.25">
      <c r="A39" s="7" t="s">
        <v>832</v>
      </c>
      <c r="B39" s="20"/>
      <c r="C39" s="31">
        <f t="shared" ref="C39:M39" si="9">C38-C37</f>
        <v>1.6539999999999999</v>
      </c>
      <c r="D39" s="19">
        <f t="shared" si="9"/>
        <v>12.321999999999999</v>
      </c>
      <c r="E39" s="19">
        <f t="shared" si="9"/>
        <v>17.938000000000002</v>
      </c>
      <c r="F39" s="19">
        <f t="shared" si="9"/>
        <v>18.155999999999999</v>
      </c>
      <c r="G39" s="19">
        <f t="shared" si="9"/>
        <v>19.591999999999999</v>
      </c>
      <c r="H39" s="19">
        <f t="shared" si="9"/>
        <v>20.246000000000002</v>
      </c>
      <c r="I39" s="19">
        <f t="shared" si="9"/>
        <v>21.682000000000002</v>
      </c>
      <c r="J39" s="19">
        <f t="shared" si="9"/>
        <v>22.335999999999999</v>
      </c>
      <c r="K39" s="19">
        <f t="shared" si="9"/>
        <v>23.554000000000002</v>
      </c>
      <c r="L39" s="19">
        <f t="shared" si="9"/>
        <v>23.771999999999998</v>
      </c>
      <c r="M39" s="19">
        <f t="shared" si="9"/>
        <v>23.990000000000002</v>
      </c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3</v>
      </c>
      <c r="D41" s="13">
        <v>23</v>
      </c>
      <c r="E41" s="13">
        <v>32</v>
      </c>
      <c r="F41" s="13">
        <v>33</v>
      </c>
      <c r="G41" s="13">
        <v>34</v>
      </c>
      <c r="H41" s="13">
        <v>36</v>
      </c>
      <c r="I41" s="13">
        <v>38</v>
      </c>
      <c r="J41" s="13">
        <v>40</v>
      </c>
      <c r="K41" s="13">
        <v>41</v>
      </c>
      <c r="L41" s="13">
        <v>42</v>
      </c>
      <c r="M41" s="13">
        <v>43</v>
      </c>
    </row>
    <row r="42" spans="1:13" x14ac:dyDescent="0.25">
      <c r="A42" s="6" t="s">
        <v>819</v>
      </c>
      <c r="C42" s="13">
        <f t="shared" ref="C42:M42" si="10">C33-C37</f>
        <v>4</v>
      </c>
      <c r="D42" s="13">
        <f t="shared" si="10"/>
        <v>35</v>
      </c>
      <c r="E42" s="13">
        <f t="shared" si="10"/>
        <v>50</v>
      </c>
      <c r="F42" s="13">
        <f t="shared" si="10"/>
        <v>51</v>
      </c>
      <c r="G42" s="13">
        <f t="shared" si="10"/>
        <v>54</v>
      </c>
      <c r="H42" s="13">
        <f t="shared" si="10"/>
        <v>57</v>
      </c>
      <c r="I42" s="13">
        <f t="shared" si="10"/>
        <v>60</v>
      </c>
      <c r="J42" s="13">
        <f t="shared" si="10"/>
        <v>63</v>
      </c>
      <c r="K42" s="13">
        <f t="shared" si="10"/>
        <v>65</v>
      </c>
      <c r="L42" s="13">
        <f t="shared" si="10"/>
        <v>66</v>
      </c>
      <c r="M42" s="13">
        <f t="shared" si="10"/>
        <v>67</v>
      </c>
    </row>
    <row r="43" spans="1:13" x14ac:dyDescent="0.25">
      <c r="A43" s="6" t="s">
        <v>830</v>
      </c>
      <c r="C43" s="13">
        <f t="shared" ref="C43:M43" si="11">C42-C41</f>
        <v>1</v>
      </c>
      <c r="D43" s="13">
        <f t="shared" si="11"/>
        <v>12</v>
      </c>
      <c r="E43" s="13">
        <f t="shared" si="11"/>
        <v>18</v>
      </c>
      <c r="F43" s="13">
        <f t="shared" si="11"/>
        <v>18</v>
      </c>
      <c r="G43" s="13">
        <f t="shared" si="11"/>
        <v>20</v>
      </c>
      <c r="H43" s="13">
        <f t="shared" si="11"/>
        <v>21</v>
      </c>
      <c r="I43" s="13">
        <f t="shared" si="11"/>
        <v>22</v>
      </c>
      <c r="J43" s="13">
        <f t="shared" si="11"/>
        <v>23</v>
      </c>
      <c r="K43" s="13">
        <f t="shared" si="11"/>
        <v>24</v>
      </c>
      <c r="L43" s="13">
        <f t="shared" si="11"/>
        <v>24</v>
      </c>
      <c r="M43" s="13">
        <f t="shared" si="11"/>
        <v>24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-2</v>
      </c>
      <c r="E45" s="19">
        <v>-2</v>
      </c>
      <c r="F45" s="19">
        <v>-2</v>
      </c>
      <c r="G45" s="19">
        <v>-3</v>
      </c>
      <c r="H45" s="19">
        <v>-3</v>
      </c>
      <c r="I45" s="19">
        <v>-3</v>
      </c>
      <c r="J45" s="19">
        <v>-3</v>
      </c>
      <c r="K45" s="19">
        <v>-3</v>
      </c>
      <c r="L45" s="19">
        <v>-3</v>
      </c>
      <c r="M45" s="19">
        <v>-3</v>
      </c>
    </row>
    <row r="46" spans="1:13" x14ac:dyDescent="0.25">
      <c r="A46" s="6" t="s">
        <v>215</v>
      </c>
      <c r="C46" s="13">
        <v>2</v>
      </c>
      <c r="D46" s="13">
        <v>21</v>
      </c>
      <c r="E46" s="13">
        <v>30</v>
      </c>
      <c r="F46" s="13">
        <v>30</v>
      </c>
      <c r="G46" s="13">
        <v>32</v>
      </c>
      <c r="H46" s="13">
        <v>34</v>
      </c>
      <c r="I46" s="13">
        <v>36</v>
      </c>
      <c r="J46" s="13">
        <v>38</v>
      </c>
      <c r="K46" s="13">
        <v>39</v>
      </c>
      <c r="L46" s="13">
        <v>39</v>
      </c>
      <c r="M46" s="13">
        <v>40</v>
      </c>
    </row>
    <row r="47" spans="1:13" x14ac:dyDescent="0.25">
      <c r="A47" s="6" t="s">
        <v>818</v>
      </c>
      <c r="C47" s="13">
        <f t="shared" ref="C47:M47" si="12">SUM(C41,C45)</f>
        <v>3</v>
      </c>
      <c r="D47" s="13">
        <f t="shared" si="12"/>
        <v>21</v>
      </c>
      <c r="E47" s="13">
        <f t="shared" si="12"/>
        <v>30</v>
      </c>
      <c r="F47" s="13">
        <f t="shared" si="12"/>
        <v>31</v>
      </c>
      <c r="G47" s="13">
        <f t="shared" si="12"/>
        <v>31</v>
      </c>
      <c r="H47" s="13">
        <f t="shared" si="12"/>
        <v>33</v>
      </c>
      <c r="I47" s="13">
        <f t="shared" si="12"/>
        <v>35</v>
      </c>
      <c r="J47" s="13">
        <f t="shared" si="12"/>
        <v>37</v>
      </c>
      <c r="K47" s="13">
        <f t="shared" si="12"/>
        <v>38</v>
      </c>
      <c r="L47" s="13">
        <f t="shared" si="12"/>
        <v>39</v>
      </c>
      <c r="M47" s="13">
        <f t="shared" si="12"/>
        <v>40</v>
      </c>
    </row>
    <row r="48" spans="1:13" x14ac:dyDescent="0.25">
      <c r="A48" s="6" t="s">
        <v>829</v>
      </c>
      <c r="C48" s="13">
        <f t="shared" ref="C48:M48" si="13">C47-C46</f>
        <v>1</v>
      </c>
      <c r="D48" s="13">
        <f t="shared" si="13"/>
        <v>0</v>
      </c>
      <c r="E48" s="13">
        <f t="shared" si="13"/>
        <v>0</v>
      </c>
      <c r="F48" s="13">
        <f t="shared" si="13"/>
        <v>1</v>
      </c>
      <c r="G48" s="13">
        <f t="shared" si="13"/>
        <v>-1</v>
      </c>
      <c r="H48" s="13">
        <f t="shared" si="13"/>
        <v>-1</v>
      </c>
      <c r="I48" s="13">
        <f t="shared" si="13"/>
        <v>-1</v>
      </c>
      <c r="J48" s="13">
        <f t="shared" si="13"/>
        <v>-1</v>
      </c>
      <c r="K48" s="13">
        <f t="shared" si="13"/>
        <v>-1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2</v>
      </c>
      <c r="D51" s="13">
        <v>19</v>
      </c>
      <c r="E51" s="13">
        <v>25</v>
      </c>
      <c r="F51" s="13">
        <v>23</v>
      </c>
      <c r="G51" s="13">
        <v>21</v>
      </c>
      <c r="H51" s="13">
        <v>21</v>
      </c>
      <c r="I51" s="13">
        <v>20</v>
      </c>
      <c r="J51" s="13">
        <v>19</v>
      </c>
      <c r="K51" s="13">
        <v>17</v>
      </c>
      <c r="L51" s="13">
        <v>16</v>
      </c>
      <c r="M51" s="13">
        <v>15</v>
      </c>
    </row>
    <row r="52" spans="1:13" x14ac:dyDescent="0.25">
      <c r="A52" s="6" t="s">
        <v>822</v>
      </c>
      <c r="C52" s="13">
        <f t="shared" ref="C52:M52" si="14">C46*C50</f>
        <v>1.9748000000000001</v>
      </c>
      <c r="D52" s="13">
        <f t="shared" si="14"/>
        <v>19.4313</v>
      </c>
      <c r="E52" s="13">
        <f t="shared" si="14"/>
        <v>25.007999999999999</v>
      </c>
      <c r="F52" s="13">
        <f t="shared" si="14"/>
        <v>22.53</v>
      </c>
      <c r="G52" s="13">
        <f t="shared" si="14"/>
        <v>21.651199999999999</v>
      </c>
      <c r="H52" s="13">
        <f t="shared" si="14"/>
        <v>20.723000000000003</v>
      </c>
      <c r="I52" s="13">
        <f t="shared" si="14"/>
        <v>19.767600000000002</v>
      </c>
      <c r="J52" s="13">
        <f t="shared" si="14"/>
        <v>18.7986</v>
      </c>
      <c r="K52" s="13">
        <f t="shared" si="14"/>
        <v>17.382300000000001</v>
      </c>
      <c r="L52" s="13">
        <f t="shared" si="14"/>
        <v>15.6585</v>
      </c>
      <c r="M52" s="13">
        <f t="shared" si="14"/>
        <v>14.468</v>
      </c>
    </row>
    <row r="53" spans="1:13" x14ac:dyDescent="0.25">
      <c r="A53" s="6" t="s">
        <v>833</v>
      </c>
      <c r="C53" s="13">
        <f t="shared" ref="C53:M53" si="15">C52-C51</f>
        <v>-2.5199999999999889E-2</v>
      </c>
      <c r="D53" s="13">
        <f t="shared" si="15"/>
        <v>0.43130000000000024</v>
      </c>
      <c r="E53" s="13">
        <f t="shared" si="15"/>
        <v>7.9999999999991189E-3</v>
      </c>
      <c r="F53" s="13">
        <f t="shared" si="15"/>
        <v>-0.46999999999999886</v>
      </c>
      <c r="G53" s="13">
        <f t="shared" si="15"/>
        <v>0.65119999999999933</v>
      </c>
      <c r="H53" s="13">
        <f t="shared" si="15"/>
        <v>-0.27699999999999747</v>
      </c>
      <c r="I53" s="13">
        <f t="shared" si="15"/>
        <v>-0.23239999999999839</v>
      </c>
      <c r="J53" s="13">
        <f t="shared" si="15"/>
        <v>-0.20139999999999958</v>
      </c>
      <c r="K53" s="13">
        <f t="shared" si="15"/>
        <v>0.38230000000000075</v>
      </c>
      <c r="L53" s="13">
        <f t="shared" si="15"/>
        <v>-0.34149999999999991</v>
      </c>
      <c r="M53" s="13">
        <f t="shared" si="15"/>
        <v>-0.53200000000000003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315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315</v>
      </c>
      <c r="F57" s="10">
        <v>340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26</v>
      </c>
      <c r="F58" s="27">
        <v>20</v>
      </c>
      <c r="G58" s="21">
        <v>330</v>
      </c>
      <c r="H58" s="21">
        <v>340</v>
      </c>
      <c r="I58" s="21">
        <v>360</v>
      </c>
      <c r="J58" s="21">
        <v>370</v>
      </c>
    </row>
    <row r="59" spans="1:13" x14ac:dyDescent="0.25">
      <c r="A59" s="6" t="s">
        <v>219</v>
      </c>
      <c r="C59" s="13">
        <v>340</v>
      </c>
      <c r="F59" s="27">
        <v>25</v>
      </c>
      <c r="G59" s="21">
        <v>330</v>
      </c>
      <c r="H59" s="21">
        <v>340</v>
      </c>
      <c r="I59" s="21">
        <v>360</v>
      </c>
      <c r="J59" s="21">
        <v>370</v>
      </c>
    </row>
    <row r="60" spans="1:13" x14ac:dyDescent="0.25">
      <c r="E60" s="7" t="s">
        <v>220</v>
      </c>
      <c r="F60" s="27">
        <v>30</v>
      </c>
      <c r="G60" s="21">
        <v>330</v>
      </c>
      <c r="H60" s="21">
        <v>340</v>
      </c>
      <c r="I60" s="21">
        <v>360</v>
      </c>
      <c r="J60" s="21">
        <v>370</v>
      </c>
    </row>
    <row r="61" spans="1:13" x14ac:dyDescent="0.25">
      <c r="F61" s="27">
        <v>35</v>
      </c>
      <c r="G61" s="21">
        <v>330</v>
      </c>
      <c r="H61" s="21">
        <v>340</v>
      </c>
      <c r="I61" s="21">
        <v>360</v>
      </c>
      <c r="J61" s="21">
        <v>370</v>
      </c>
    </row>
    <row r="62" spans="1:13" x14ac:dyDescent="0.25">
      <c r="F62" s="27">
        <v>40</v>
      </c>
      <c r="G62" s="21">
        <v>330</v>
      </c>
      <c r="H62" s="21">
        <v>340</v>
      </c>
      <c r="I62" s="21">
        <v>360</v>
      </c>
      <c r="J62" s="21">
        <v>370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2.4E-2</v>
      </c>
      <c r="E64" s="20">
        <v>2.4E-2</v>
      </c>
      <c r="F64" s="20">
        <v>2.5000000000000001E-2</v>
      </c>
      <c r="G64" s="20">
        <v>2.5999999999999999E-2</v>
      </c>
      <c r="H64" s="20">
        <v>2.5999999999999999E-2</v>
      </c>
      <c r="I64" s="20">
        <v>2.7E-2</v>
      </c>
      <c r="J64" s="20">
        <v>2.8000000000000001E-2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>
        <f t="shared" ref="D65:M65" si="16">(D8-C8)/C8</f>
        <v>3.193548387096774</v>
      </c>
      <c r="E65" s="20">
        <f t="shared" si="16"/>
        <v>2.3076923076923078E-2</v>
      </c>
      <c r="F65" s="20">
        <f t="shared" si="16"/>
        <v>3.007518796992481E-2</v>
      </c>
      <c r="G65" s="20">
        <f t="shared" si="16"/>
        <v>2.1897810218978103E-2</v>
      </c>
      <c r="H65" s="20">
        <f t="shared" si="16"/>
        <v>2.8571428571428571E-2</v>
      </c>
      <c r="I65" s="20">
        <f t="shared" si="16"/>
        <v>2.7777777777777776E-2</v>
      </c>
      <c r="J65" s="20">
        <f t="shared" si="16"/>
        <v>2.7027027027027029E-2</v>
      </c>
      <c r="K65" s="20">
        <f t="shared" si="16"/>
        <v>2.6315789473684209E-2</v>
      </c>
      <c r="L65" s="20">
        <f t="shared" si="16"/>
        <v>3.2051282051282048E-2</v>
      </c>
      <c r="M65" s="20">
        <f t="shared" si="16"/>
        <v>3.1055900621118012E-2</v>
      </c>
    </row>
    <row r="66" spans="1:13" x14ac:dyDescent="0.25">
      <c r="A66" s="7"/>
      <c r="C66" s="7" t="s">
        <v>836</v>
      </c>
      <c r="D66" s="20">
        <f t="shared" ref="D66:M66" si="17">D65-D64</f>
        <v>3.169548387096774</v>
      </c>
      <c r="E66" s="20">
        <f t="shared" si="17"/>
        <v>-9.230769230769223E-4</v>
      </c>
      <c r="F66" s="20">
        <f t="shared" si="17"/>
        <v>5.075187969924809E-3</v>
      </c>
      <c r="G66" s="20">
        <f t="shared" si="17"/>
        <v>-4.1021897810218956E-3</v>
      </c>
      <c r="H66" s="20">
        <f t="shared" si="17"/>
        <v>2.5714285714285717E-3</v>
      </c>
      <c r="I66" s="20">
        <f t="shared" si="17"/>
        <v>7.7777777777777654E-4</v>
      </c>
      <c r="J66" s="20">
        <f t="shared" si="17"/>
        <v>-9.7297297297297206E-4</v>
      </c>
      <c r="K66" s="20">
        <f t="shared" si="17"/>
        <v>-3.6842105263157898E-3</v>
      </c>
      <c r="L66" s="20">
        <f t="shared" si="17"/>
        <v>2.0512820512820495E-3</v>
      </c>
      <c r="M66" s="20">
        <f t="shared" si="17"/>
        <v>1.0559006211180132E-3</v>
      </c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0.32400000000000001</v>
      </c>
      <c r="D68" s="20">
        <v>0.33300000000000002</v>
      </c>
      <c r="E68" s="20">
        <v>0.35699999999999998</v>
      </c>
      <c r="F68" s="20">
        <v>0.371</v>
      </c>
      <c r="G68" s="20">
        <v>0.38300000000000001</v>
      </c>
      <c r="H68" s="20">
        <v>0.39300000000000002</v>
      </c>
      <c r="I68" s="20">
        <v>0.4</v>
      </c>
      <c r="J68" s="20">
        <v>0.40799999999999997</v>
      </c>
      <c r="K68" s="20">
        <v>0.40799999999999997</v>
      </c>
      <c r="L68" s="20">
        <v>0.40799999999999997</v>
      </c>
      <c r="M68" s="20">
        <v>0.40799999999999997</v>
      </c>
    </row>
    <row r="69" spans="1:13" x14ac:dyDescent="0.25">
      <c r="A69" s="7" t="s">
        <v>823</v>
      </c>
      <c r="C69" s="20">
        <f t="shared" ref="C69:M69" si="18">C20/C19</f>
        <v>0.33333333333333331</v>
      </c>
      <c r="D69" s="20">
        <f t="shared" si="18"/>
        <v>0.33333333333333331</v>
      </c>
      <c r="E69" s="20">
        <f t="shared" si="18"/>
        <v>0.35338345864661652</v>
      </c>
      <c r="F69" s="20">
        <f t="shared" si="18"/>
        <v>0.375</v>
      </c>
      <c r="G69" s="20">
        <f t="shared" si="18"/>
        <v>0.38571428571428573</v>
      </c>
      <c r="H69" s="20">
        <f t="shared" si="18"/>
        <v>0.39160839160839161</v>
      </c>
      <c r="I69" s="20">
        <f t="shared" si="18"/>
        <v>0.40136054421768708</v>
      </c>
      <c r="J69" s="20">
        <f t="shared" si="18"/>
        <v>0.40666666666666668</v>
      </c>
      <c r="K69" s="20">
        <f t="shared" si="18"/>
        <v>0.40909090909090912</v>
      </c>
      <c r="L69" s="20">
        <f t="shared" si="18"/>
        <v>0.40764331210191085</v>
      </c>
      <c r="M69" s="20">
        <f t="shared" si="18"/>
        <v>0.40372670807453415</v>
      </c>
    </row>
    <row r="70" spans="1:13" x14ac:dyDescent="0.25">
      <c r="A70" s="7" t="s">
        <v>834</v>
      </c>
      <c r="C70" s="20">
        <f t="shared" ref="C70:M70" si="19">C69-C68</f>
        <v>9.3333333333333046E-3</v>
      </c>
      <c r="D70" s="20">
        <f t="shared" si="19"/>
        <v>3.3333333333329662E-4</v>
      </c>
      <c r="E70" s="20">
        <f t="shared" si="19"/>
        <v>-3.6165413533834623E-3</v>
      </c>
      <c r="F70" s="20">
        <f t="shared" si="19"/>
        <v>4.0000000000000036E-3</v>
      </c>
      <c r="G70" s="20">
        <f t="shared" si="19"/>
        <v>2.7142857142857246E-3</v>
      </c>
      <c r="H70" s="20">
        <f t="shared" si="19"/>
        <v>-1.391608391608401E-3</v>
      </c>
      <c r="I70" s="20">
        <f t="shared" si="19"/>
        <v>1.3605442176870541E-3</v>
      </c>
      <c r="J70" s="20">
        <f t="shared" si="19"/>
        <v>-1.3333333333332975E-3</v>
      </c>
      <c r="K70" s="20">
        <f t="shared" si="19"/>
        <v>1.0909090909091423E-3</v>
      </c>
      <c r="L70" s="20">
        <f t="shared" si="19"/>
        <v>-3.5668789808912527E-4</v>
      </c>
      <c r="M70" s="20">
        <f t="shared" si="19"/>
        <v>-4.2732919254658275E-3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0.28799999999999998</v>
      </c>
      <c r="D73" s="20">
        <v>0.29899999999999999</v>
      </c>
      <c r="E73" s="20">
        <v>0.32200000000000001</v>
      </c>
      <c r="F73" s="20">
        <v>0.32100000000000001</v>
      </c>
      <c r="G73" s="20">
        <v>0.32800000000000001</v>
      </c>
      <c r="H73" s="20">
        <v>0.34</v>
      </c>
      <c r="I73" s="20">
        <v>0.35</v>
      </c>
      <c r="J73" s="20">
        <v>0.35899999999999999</v>
      </c>
      <c r="K73" s="20">
        <v>0.35899999999999999</v>
      </c>
      <c r="L73" s="20">
        <v>0.35899999999999999</v>
      </c>
      <c r="M73" s="20">
        <v>0.35899999999999999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1.7999999999999999E-2</v>
      </c>
      <c r="D77" s="20">
        <v>1.7999999999999999E-2</v>
      </c>
      <c r="E77" s="20">
        <v>1.7999999999999999E-2</v>
      </c>
      <c r="F77" s="20">
        <v>1.7999999999999999E-2</v>
      </c>
      <c r="G77" s="20">
        <v>1.7999999999999999E-2</v>
      </c>
      <c r="H77" s="20">
        <v>1.7999999999999999E-2</v>
      </c>
      <c r="I77" s="20">
        <v>1.7999999999999999E-2</v>
      </c>
      <c r="J77" s="20">
        <v>1.7999999999999999E-2</v>
      </c>
      <c r="K77" s="20">
        <v>1.7999999999999999E-2</v>
      </c>
      <c r="L77" s="20">
        <v>1.7999999999999999E-2</v>
      </c>
      <c r="M77" s="20">
        <v>1.7999999999999999E-2</v>
      </c>
    </row>
    <row r="78" spans="1:13" x14ac:dyDescent="0.25">
      <c r="A78" s="7" t="s">
        <v>824</v>
      </c>
      <c r="C78" s="20">
        <f t="shared" ref="C78:M78" si="20">-C45/C19</f>
        <v>0</v>
      </c>
      <c r="D78" s="20">
        <f t="shared" si="20"/>
        <v>1.9607843137254902E-2</v>
      </c>
      <c r="E78" s="20">
        <f t="shared" si="20"/>
        <v>1.5037593984962405E-2</v>
      </c>
      <c r="F78" s="20">
        <f t="shared" si="20"/>
        <v>1.4705882352941176E-2</v>
      </c>
      <c r="G78" s="20">
        <f t="shared" si="20"/>
        <v>2.1428571428571429E-2</v>
      </c>
      <c r="H78" s="20">
        <f t="shared" si="20"/>
        <v>2.097902097902098E-2</v>
      </c>
      <c r="I78" s="20">
        <f t="shared" si="20"/>
        <v>2.0408163265306121E-2</v>
      </c>
      <c r="J78" s="20">
        <f t="shared" si="20"/>
        <v>0.02</v>
      </c>
      <c r="K78" s="20">
        <f t="shared" si="20"/>
        <v>1.948051948051948E-2</v>
      </c>
      <c r="L78" s="20">
        <f t="shared" si="20"/>
        <v>1.9108280254777069E-2</v>
      </c>
      <c r="M78" s="20">
        <f t="shared" si="20"/>
        <v>1.8633540372670808E-2</v>
      </c>
    </row>
    <row r="79" spans="1:13" x14ac:dyDescent="0.25">
      <c r="A79" s="7" t="s">
        <v>835</v>
      </c>
      <c r="C79" s="20">
        <f t="shared" ref="C79:M79" si="21">C78-C77</f>
        <v>-1.7999999999999999E-2</v>
      </c>
      <c r="D79" s="20">
        <f t="shared" si="21"/>
        <v>1.607843137254903E-3</v>
      </c>
      <c r="E79" s="20">
        <f t="shared" si="21"/>
        <v>-2.9624060150375935E-3</v>
      </c>
      <c r="F79" s="20">
        <f t="shared" si="21"/>
        <v>-3.2941176470588224E-3</v>
      </c>
      <c r="G79" s="20">
        <f t="shared" si="21"/>
        <v>3.4285714285714301E-3</v>
      </c>
      <c r="H79" s="20">
        <f t="shared" si="21"/>
        <v>2.9790209790209812E-3</v>
      </c>
      <c r="I79" s="20">
        <f t="shared" si="21"/>
        <v>2.4081632653061222E-3</v>
      </c>
      <c r="J79" s="20">
        <f t="shared" si="21"/>
        <v>2.0000000000000018E-3</v>
      </c>
      <c r="K79" s="20">
        <f t="shared" si="21"/>
        <v>1.4805194805194814E-3</v>
      </c>
      <c r="L79" s="20">
        <f t="shared" si="21"/>
        <v>1.1082802547770707E-3</v>
      </c>
      <c r="M79" s="20">
        <f t="shared" si="21"/>
        <v>6.3354037267080929E-4</v>
      </c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M77"/>
  <sheetViews>
    <sheetView topLeftCell="A46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272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171</v>
      </c>
      <c r="D8" s="10">
        <v>176</v>
      </c>
      <c r="E8" s="10">
        <v>181</v>
      </c>
      <c r="F8" s="10">
        <v>187</v>
      </c>
      <c r="G8" s="10">
        <v>192</v>
      </c>
      <c r="H8" s="10">
        <v>198</v>
      </c>
      <c r="I8" s="10">
        <v>204</v>
      </c>
      <c r="J8" s="10">
        <v>210</v>
      </c>
      <c r="K8" s="10">
        <v>216</v>
      </c>
      <c r="L8" s="10">
        <v>223</v>
      </c>
      <c r="M8" s="10">
        <v>230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171</v>
      </c>
      <c r="D10" s="10">
        <v>176</v>
      </c>
      <c r="E10" s="10">
        <v>181</v>
      </c>
      <c r="F10" s="10">
        <v>187</v>
      </c>
      <c r="G10" s="10">
        <v>192</v>
      </c>
      <c r="H10" s="10">
        <v>198</v>
      </c>
      <c r="I10" s="10">
        <v>204</v>
      </c>
      <c r="J10" s="10">
        <v>210</v>
      </c>
      <c r="K10" s="10">
        <v>216</v>
      </c>
      <c r="L10" s="10">
        <v>223</v>
      </c>
      <c r="M10" s="10">
        <v>230</v>
      </c>
    </row>
    <row r="11" spans="1:13" x14ac:dyDescent="0.25">
      <c r="A11" s="7" t="s">
        <v>814</v>
      </c>
      <c r="C11" s="10">
        <f t="shared" ref="C11:M11" si="0">SUM(C8,C9)</f>
        <v>171</v>
      </c>
      <c r="D11" s="10">
        <f t="shared" si="0"/>
        <v>176</v>
      </c>
      <c r="E11" s="10">
        <f t="shared" si="0"/>
        <v>181</v>
      </c>
      <c r="F11" s="10">
        <f t="shared" si="0"/>
        <v>187</v>
      </c>
      <c r="G11" s="10">
        <f t="shared" si="0"/>
        <v>192</v>
      </c>
      <c r="H11" s="10">
        <f t="shared" si="0"/>
        <v>198</v>
      </c>
      <c r="I11" s="10">
        <f t="shared" si="0"/>
        <v>204</v>
      </c>
      <c r="J11" s="10">
        <f t="shared" si="0"/>
        <v>210</v>
      </c>
      <c r="K11" s="10">
        <f t="shared" si="0"/>
        <v>216</v>
      </c>
      <c r="L11" s="10">
        <f t="shared" si="0"/>
        <v>223</v>
      </c>
      <c r="M11" s="10">
        <f t="shared" si="0"/>
        <v>230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0.95799999999999996</v>
      </c>
      <c r="D14" s="20">
        <v>0.94499999999999995</v>
      </c>
      <c r="E14" s="20">
        <v>0.93</v>
      </c>
      <c r="F14" s="20">
        <v>0.91300000000000003</v>
      </c>
      <c r="G14" s="20">
        <v>0.89300000000000002</v>
      </c>
      <c r="H14" s="20">
        <v>0.871</v>
      </c>
      <c r="I14" s="20">
        <v>0.84599999999999997</v>
      </c>
      <c r="J14" s="20">
        <v>0.82</v>
      </c>
      <c r="K14" s="20">
        <v>0.79100000000000004</v>
      </c>
      <c r="L14" s="20">
        <v>0.76</v>
      </c>
      <c r="M14" s="20">
        <v>0.72699999999999998</v>
      </c>
    </row>
    <row r="15" spans="1:13" x14ac:dyDescent="0.25">
      <c r="A15" s="7" t="s">
        <v>208</v>
      </c>
      <c r="C15" s="10">
        <v>164</v>
      </c>
      <c r="D15" s="10">
        <v>166</v>
      </c>
      <c r="E15" s="10">
        <v>169</v>
      </c>
      <c r="F15" s="10">
        <v>170</v>
      </c>
      <c r="G15" s="10">
        <v>172</v>
      </c>
      <c r="H15" s="10">
        <v>172</v>
      </c>
      <c r="I15" s="10">
        <v>173</v>
      </c>
      <c r="J15" s="10">
        <v>172</v>
      </c>
      <c r="K15" s="10">
        <v>171</v>
      </c>
      <c r="L15" s="10">
        <v>169</v>
      </c>
      <c r="M15" s="10">
        <v>167</v>
      </c>
    </row>
    <row r="16" spans="1:13" x14ac:dyDescent="0.25">
      <c r="A16" s="7" t="s">
        <v>815</v>
      </c>
      <c r="C16" s="10">
        <f t="shared" ref="C16:M16" si="2">SUM(C10,C14)</f>
        <v>171.958</v>
      </c>
      <c r="D16" s="10">
        <f t="shared" si="2"/>
        <v>176.94499999999999</v>
      </c>
      <c r="E16" s="10">
        <f t="shared" si="2"/>
        <v>181.93</v>
      </c>
      <c r="F16" s="10">
        <f t="shared" si="2"/>
        <v>187.91300000000001</v>
      </c>
      <c r="G16" s="10">
        <f t="shared" si="2"/>
        <v>192.893</v>
      </c>
      <c r="H16" s="10">
        <f t="shared" si="2"/>
        <v>198.87100000000001</v>
      </c>
      <c r="I16" s="10">
        <f t="shared" si="2"/>
        <v>204.846</v>
      </c>
      <c r="J16" s="10">
        <f t="shared" si="2"/>
        <v>210.82</v>
      </c>
      <c r="K16" s="10">
        <f t="shared" si="2"/>
        <v>216.791</v>
      </c>
      <c r="L16" s="10">
        <f t="shared" si="2"/>
        <v>223.76</v>
      </c>
      <c r="M16" s="10">
        <f t="shared" si="2"/>
        <v>230.727</v>
      </c>
    </row>
    <row r="17" spans="1:13" x14ac:dyDescent="0.25">
      <c r="A17" s="7" t="s">
        <v>826</v>
      </c>
      <c r="C17" s="10">
        <f t="shared" ref="C17:M17" si="3">C16-C15</f>
        <v>7.9579999999999984</v>
      </c>
      <c r="D17" s="10">
        <f t="shared" si="3"/>
        <v>10.944999999999993</v>
      </c>
      <c r="E17" s="10">
        <f t="shared" si="3"/>
        <v>12.930000000000007</v>
      </c>
      <c r="F17" s="10">
        <f t="shared" si="3"/>
        <v>17.913000000000011</v>
      </c>
      <c r="G17" s="10">
        <f t="shared" si="3"/>
        <v>20.893000000000001</v>
      </c>
      <c r="H17" s="10">
        <f t="shared" si="3"/>
        <v>26.871000000000009</v>
      </c>
      <c r="I17" s="10">
        <f t="shared" si="3"/>
        <v>31.846000000000004</v>
      </c>
      <c r="J17" s="10">
        <f t="shared" si="3"/>
        <v>38.819999999999993</v>
      </c>
      <c r="K17" s="10">
        <f t="shared" si="3"/>
        <v>45.790999999999997</v>
      </c>
      <c r="L17" s="10">
        <f t="shared" si="3"/>
        <v>54.759999999999991</v>
      </c>
      <c r="M17" s="10">
        <f t="shared" si="3"/>
        <v>63.727000000000004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164</v>
      </c>
      <c r="D19" s="13">
        <v>166</v>
      </c>
      <c r="E19" s="13">
        <v>169</v>
      </c>
      <c r="F19" s="13">
        <v>170</v>
      </c>
      <c r="G19" s="13">
        <v>172</v>
      </c>
      <c r="H19" s="13">
        <v>172</v>
      </c>
      <c r="I19" s="13">
        <v>173</v>
      </c>
      <c r="J19" s="13">
        <v>172</v>
      </c>
      <c r="K19" s="13">
        <v>171</v>
      </c>
      <c r="L19" s="13">
        <v>169</v>
      </c>
      <c r="M19" s="13">
        <v>167</v>
      </c>
    </row>
    <row r="20" spans="1:13" x14ac:dyDescent="0.25">
      <c r="A20" s="6" t="s">
        <v>106</v>
      </c>
      <c r="C20" s="13">
        <v>67</v>
      </c>
      <c r="D20" s="13">
        <v>68</v>
      </c>
      <c r="E20" s="13">
        <v>69</v>
      </c>
      <c r="F20" s="13">
        <v>69</v>
      </c>
      <c r="G20" s="13">
        <v>70</v>
      </c>
      <c r="H20" s="13">
        <v>70</v>
      </c>
      <c r="I20" s="13">
        <v>70</v>
      </c>
      <c r="J20" s="13">
        <v>70</v>
      </c>
      <c r="K20" s="13">
        <v>70</v>
      </c>
      <c r="L20" s="13">
        <v>69</v>
      </c>
      <c r="M20" s="13">
        <v>68</v>
      </c>
    </row>
    <row r="21" spans="1:13" x14ac:dyDescent="0.25">
      <c r="A21" s="7" t="s">
        <v>107</v>
      </c>
      <c r="C21" s="19">
        <v>-8</v>
      </c>
      <c r="D21" s="19">
        <v>-8</v>
      </c>
      <c r="E21" s="19">
        <v>-8</v>
      </c>
      <c r="F21" s="19">
        <v>-8</v>
      </c>
      <c r="G21" s="19">
        <v>-8</v>
      </c>
      <c r="H21" s="19">
        <v>-8</v>
      </c>
      <c r="I21" s="19">
        <v>-8</v>
      </c>
      <c r="J21" s="19">
        <v>-8</v>
      </c>
      <c r="K21" s="19">
        <v>-8</v>
      </c>
      <c r="L21" s="19">
        <v>-8</v>
      </c>
      <c r="M21" s="19">
        <v>-8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59</v>
      </c>
      <c r="D25" s="13">
        <v>60</v>
      </c>
      <c r="E25" s="13">
        <v>60</v>
      </c>
      <c r="F25" s="13">
        <v>61</v>
      </c>
      <c r="G25" s="13">
        <v>62</v>
      </c>
      <c r="H25" s="13">
        <v>62</v>
      </c>
      <c r="I25" s="13">
        <v>62</v>
      </c>
      <c r="J25" s="13">
        <v>62</v>
      </c>
      <c r="K25" s="13">
        <v>61</v>
      </c>
      <c r="L25" s="13">
        <v>61</v>
      </c>
      <c r="M25" s="13">
        <v>60</v>
      </c>
    </row>
    <row r="26" spans="1:13" x14ac:dyDescent="0.25">
      <c r="A26" s="6" t="s">
        <v>816</v>
      </c>
      <c r="C26" s="13">
        <f t="shared" ref="C26:M26" si="4">SUM(C20,C21)</f>
        <v>59</v>
      </c>
      <c r="D26" s="13">
        <f t="shared" si="4"/>
        <v>60</v>
      </c>
      <c r="E26" s="13">
        <f t="shared" si="4"/>
        <v>61</v>
      </c>
      <c r="F26" s="13">
        <f t="shared" si="4"/>
        <v>61</v>
      </c>
      <c r="G26" s="13">
        <f t="shared" si="4"/>
        <v>62</v>
      </c>
      <c r="H26" s="13">
        <f t="shared" si="4"/>
        <v>62</v>
      </c>
      <c r="I26" s="13">
        <f t="shared" si="4"/>
        <v>62</v>
      </c>
      <c r="J26" s="13">
        <f t="shared" si="4"/>
        <v>62</v>
      </c>
      <c r="K26" s="13">
        <f t="shared" si="4"/>
        <v>62</v>
      </c>
      <c r="L26" s="13">
        <f t="shared" si="4"/>
        <v>61</v>
      </c>
      <c r="M26" s="13">
        <f t="shared" si="4"/>
        <v>60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-3</v>
      </c>
      <c r="F29" s="19">
        <v>-3</v>
      </c>
      <c r="G29" s="19">
        <v>-3</v>
      </c>
      <c r="H29" s="19">
        <v>-3</v>
      </c>
      <c r="I29" s="19">
        <v>-3</v>
      </c>
      <c r="J29" s="19">
        <v>-3</v>
      </c>
      <c r="K29" s="19">
        <v>-3</v>
      </c>
      <c r="L29" s="19">
        <v>-3</v>
      </c>
      <c r="M29" s="19">
        <v>-3</v>
      </c>
    </row>
    <row r="30" spans="1:13" x14ac:dyDescent="0.25">
      <c r="A30" s="7" t="s">
        <v>820</v>
      </c>
      <c r="B30" s="20"/>
      <c r="C30" s="19">
        <f>C19*B29</f>
        <v>2.46</v>
      </c>
      <c r="D30" s="19">
        <f>D19*B29</f>
        <v>2.4899999999999998</v>
      </c>
      <c r="E30" s="19">
        <f>E19*B29</f>
        <v>2.5349999999999997</v>
      </c>
      <c r="F30" s="19">
        <f>F19*B29</f>
        <v>2.5499999999999998</v>
      </c>
      <c r="G30" s="19">
        <f>G19*B29</f>
        <v>2.58</v>
      </c>
      <c r="H30" s="19">
        <f>H19*B29</f>
        <v>2.58</v>
      </c>
      <c r="I30" s="19">
        <f>I19*B29</f>
        <v>2.5949999999999998</v>
      </c>
      <c r="J30" s="19">
        <f>J19*B29</f>
        <v>2.58</v>
      </c>
      <c r="K30" s="19">
        <f>K19*B29</f>
        <v>2.5649999999999999</v>
      </c>
      <c r="L30" s="19">
        <f>L19*B29</f>
        <v>2.5349999999999997</v>
      </c>
      <c r="M30" s="19">
        <f>M19*B29</f>
        <v>2.5049999999999999</v>
      </c>
    </row>
    <row r="31" spans="1:13" x14ac:dyDescent="0.25">
      <c r="A31" s="7" t="s">
        <v>831</v>
      </c>
      <c r="B31" s="20"/>
      <c r="C31" s="19">
        <f t="shared" ref="C31:M31" si="6">C30-C29</f>
        <v>4.46</v>
      </c>
      <c r="D31" s="19">
        <f t="shared" si="6"/>
        <v>4.49</v>
      </c>
      <c r="E31" s="19">
        <f t="shared" si="6"/>
        <v>5.5350000000000001</v>
      </c>
      <c r="F31" s="19">
        <f t="shared" si="6"/>
        <v>5.55</v>
      </c>
      <c r="G31" s="19">
        <f t="shared" si="6"/>
        <v>5.58</v>
      </c>
      <c r="H31" s="19">
        <f t="shared" si="6"/>
        <v>5.58</v>
      </c>
      <c r="I31" s="19">
        <f t="shared" si="6"/>
        <v>5.5949999999999998</v>
      </c>
      <c r="J31" s="19">
        <f t="shared" si="6"/>
        <v>5.58</v>
      </c>
      <c r="K31" s="19">
        <f t="shared" si="6"/>
        <v>5.5649999999999995</v>
      </c>
      <c r="L31" s="19">
        <f t="shared" si="6"/>
        <v>5.5350000000000001</v>
      </c>
      <c r="M31" s="19">
        <f t="shared" si="6"/>
        <v>5.5049999999999999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56</v>
      </c>
      <c r="D33" s="13">
        <v>57</v>
      </c>
      <c r="E33" s="13">
        <v>58</v>
      </c>
      <c r="F33" s="13">
        <v>59</v>
      </c>
      <c r="G33" s="13">
        <v>59</v>
      </c>
      <c r="H33" s="13">
        <v>59</v>
      </c>
      <c r="I33" s="13">
        <v>59</v>
      </c>
      <c r="J33" s="13">
        <v>59</v>
      </c>
      <c r="K33" s="13">
        <v>59</v>
      </c>
      <c r="L33" s="13">
        <v>58</v>
      </c>
      <c r="M33" s="13">
        <v>57</v>
      </c>
    </row>
    <row r="34" spans="1:13" x14ac:dyDescent="0.25">
      <c r="A34" s="6" t="s">
        <v>817</v>
      </c>
      <c r="C34" s="13">
        <f t="shared" ref="C34:M34" si="7">SUM(C25,C29)</f>
        <v>57</v>
      </c>
      <c r="D34" s="13">
        <f t="shared" si="7"/>
        <v>58</v>
      </c>
      <c r="E34" s="13">
        <f t="shared" si="7"/>
        <v>57</v>
      </c>
      <c r="F34" s="13">
        <f t="shared" si="7"/>
        <v>58</v>
      </c>
      <c r="G34" s="13">
        <f t="shared" si="7"/>
        <v>59</v>
      </c>
      <c r="H34" s="13">
        <f t="shared" si="7"/>
        <v>59</v>
      </c>
      <c r="I34" s="13">
        <f t="shared" si="7"/>
        <v>59</v>
      </c>
      <c r="J34" s="13">
        <f t="shared" si="7"/>
        <v>59</v>
      </c>
      <c r="K34" s="13">
        <f t="shared" si="7"/>
        <v>58</v>
      </c>
      <c r="L34" s="13">
        <f t="shared" si="7"/>
        <v>58</v>
      </c>
      <c r="M34" s="13">
        <f t="shared" si="7"/>
        <v>57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1</v>
      </c>
      <c r="E35" s="13">
        <f t="shared" si="8"/>
        <v>-1</v>
      </c>
      <c r="F35" s="13">
        <f t="shared" si="8"/>
        <v>-1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-1</v>
      </c>
      <c r="L35" s="13">
        <f t="shared" si="8"/>
        <v>0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-12</v>
      </c>
      <c r="D37" s="19">
        <v>-12</v>
      </c>
      <c r="E37" s="19">
        <v>-13</v>
      </c>
      <c r="F37" s="19">
        <v>-13</v>
      </c>
      <c r="G37" s="19">
        <v>-13</v>
      </c>
      <c r="H37" s="19">
        <v>-13</v>
      </c>
      <c r="I37" s="19">
        <v>-13</v>
      </c>
      <c r="J37" s="19">
        <v>-13</v>
      </c>
      <c r="K37" s="19">
        <v>-13</v>
      </c>
      <c r="L37" s="19">
        <v>-13</v>
      </c>
      <c r="M37" s="19">
        <v>-13</v>
      </c>
    </row>
    <row r="38" spans="1:13" x14ac:dyDescent="0.25">
      <c r="A38" s="7" t="s">
        <v>821</v>
      </c>
      <c r="B38" s="20"/>
      <c r="C38" s="19">
        <f>C33*B37</f>
        <v>12.208</v>
      </c>
      <c r="D38" s="19">
        <f>D33*B37</f>
        <v>12.426</v>
      </c>
      <c r="E38" s="19">
        <f>E33*B37</f>
        <v>12.644</v>
      </c>
      <c r="F38" s="19">
        <f>F33*B37</f>
        <v>12.862</v>
      </c>
      <c r="G38" s="19">
        <f>G33*B37</f>
        <v>12.862</v>
      </c>
      <c r="H38" s="19">
        <f>H33*B37</f>
        <v>12.862</v>
      </c>
      <c r="I38" s="19">
        <f>I33*B37</f>
        <v>12.862</v>
      </c>
      <c r="J38" s="19">
        <f>J33*B37</f>
        <v>12.862</v>
      </c>
      <c r="K38" s="19">
        <f>K33*B37</f>
        <v>12.862</v>
      </c>
      <c r="L38" s="19">
        <f>L33*B37</f>
        <v>12.644</v>
      </c>
      <c r="M38" s="19">
        <f>M33*B37</f>
        <v>12.426</v>
      </c>
    </row>
    <row r="39" spans="1:13" x14ac:dyDescent="0.25">
      <c r="A39" s="7" t="s">
        <v>832</v>
      </c>
      <c r="B39" s="20"/>
      <c r="C39" s="19">
        <f t="shared" ref="C39:M39" si="9">C38-C37</f>
        <v>24.207999999999998</v>
      </c>
      <c r="D39" s="19">
        <f t="shared" si="9"/>
        <v>24.426000000000002</v>
      </c>
      <c r="E39" s="19">
        <f t="shared" si="9"/>
        <v>25.643999999999998</v>
      </c>
      <c r="F39" s="19">
        <f t="shared" si="9"/>
        <v>25.862000000000002</v>
      </c>
      <c r="G39" s="19">
        <f t="shared" si="9"/>
        <v>25.862000000000002</v>
      </c>
      <c r="H39" s="19">
        <f t="shared" si="9"/>
        <v>25.862000000000002</v>
      </c>
      <c r="I39" s="19">
        <f t="shared" si="9"/>
        <v>25.862000000000002</v>
      </c>
      <c r="J39" s="19">
        <f t="shared" si="9"/>
        <v>25.862000000000002</v>
      </c>
      <c r="K39" s="19">
        <f t="shared" si="9"/>
        <v>25.862000000000002</v>
      </c>
      <c r="L39" s="19">
        <f t="shared" si="9"/>
        <v>25.643999999999998</v>
      </c>
      <c r="M39" s="19">
        <f t="shared" si="9"/>
        <v>25.426000000000002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44</v>
      </c>
      <c r="D41" s="13">
        <v>45</v>
      </c>
      <c r="E41" s="13">
        <v>45</v>
      </c>
      <c r="F41" s="13">
        <v>46</v>
      </c>
      <c r="G41" s="13">
        <v>46</v>
      </c>
      <c r="H41" s="13">
        <v>46</v>
      </c>
      <c r="I41" s="13">
        <v>46</v>
      </c>
      <c r="J41" s="13">
        <v>46</v>
      </c>
      <c r="K41" s="13">
        <v>46</v>
      </c>
      <c r="L41" s="13">
        <v>46</v>
      </c>
      <c r="M41" s="13">
        <v>45</v>
      </c>
    </row>
    <row r="42" spans="1:13" x14ac:dyDescent="0.25">
      <c r="A42" s="6" t="s">
        <v>819</v>
      </c>
      <c r="C42" s="13">
        <f t="shared" ref="C42:M42" si="10">C33-C37</f>
        <v>68</v>
      </c>
      <c r="D42" s="13">
        <f t="shared" si="10"/>
        <v>69</v>
      </c>
      <c r="E42" s="13">
        <f t="shared" si="10"/>
        <v>71</v>
      </c>
      <c r="F42" s="13">
        <f t="shared" si="10"/>
        <v>72</v>
      </c>
      <c r="G42" s="13">
        <f t="shared" si="10"/>
        <v>72</v>
      </c>
      <c r="H42" s="13">
        <f t="shared" si="10"/>
        <v>72</v>
      </c>
      <c r="I42" s="13">
        <f t="shared" si="10"/>
        <v>72</v>
      </c>
      <c r="J42" s="13">
        <f t="shared" si="10"/>
        <v>72</v>
      </c>
      <c r="K42" s="13">
        <f t="shared" si="10"/>
        <v>72</v>
      </c>
      <c r="L42" s="13">
        <f t="shared" si="10"/>
        <v>71</v>
      </c>
      <c r="M42" s="13">
        <f t="shared" si="10"/>
        <v>70</v>
      </c>
    </row>
    <row r="43" spans="1:13" x14ac:dyDescent="0.25">
      <c r="A43" s="6" t="s">
        <v>830</v>
      </c>
      <c r="C43" s="13">
        <f t="shared" ref="C43:M43" si="11">C42-C41</f>
        <v>24</v>
      </c>
      <c r="D43" s="13">
        <f t="shared" si="11"/>
        <v>24</v>
      </c>
      <c r="E43" s="13">
        <f t="shared" si="11"/>
        <v>26</v>
      </c>
      <c r="F43" s="13">
        <f t="shared" si="11"/>
        <v>26</v>
      </c>
      <c r="G43" s="13">
        <f t="shared" si="11"/>
        <v>26</v>
      </c>
      <c r="H43" s="13">
        <f t="shared" si="11"/>
        <v>26</v>
      </c>
      <c r="I43" s="13">
        <f t="shared" si="11"/>
        <v>26</v>
      </c>
      <c r="J43" s="13">
        <f t="shared" si="11"/>
        <v>26</v>
      </c>
      <c r="K43" s="13">
        <f t="shared" si="11"/>
        <v>26</v>
      </c>
      <c r="L43" s="13">
        <f t="shared" si="11"/>
        <v>25</v>
      </c>
      <c r="M43" s="13">
        <f t="shared" si="11"/>
        <v>25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-3</v>
      </c>
      <c r="D45" s="19">
        <v>-3</v>
      </c>
      <c r="E45" s="19">
        <v>-3</v>
      </c>
      <c r="F45" s="19">
        <v>-3</v>
      </c>
      <c r="G45" s="19">
        <v>-3</v>
      </c>
      <c r="H45" s="19">
        <v>-3</v>
      </c>
      <c r="I45" s="19">
        <v>-3</v>
      </c>
      <c r="J45" s="19">
        <v>-3</v>
      </c>
      <c r="K45" s="19">
        <v>-3</v>
      </c>
      <c r="L45" s="19">
        <v>-3</v>
      </c>
      <c r="M45" s="19">
        <v>-3</v>
      </c>
    </row>
    <row r="46" spans="1:13" x14ac:dyDescent="0.25">
      <c r="A46" s="6" t="s">
        <v>215</v>
      </c>
      <c r="C46" s="13">
        <v>41</v>
      </c>
      <c r="D46" s="13">
        <v>42</v>
      </c>
      <c r="E46" s="13">
        <v>42</v>
      </c>
      <c r="F46" s="13">
        <v>43</v>
      </c>
      <c r="G46" s="13">
        <v>43</v>
      </c>
      <c r="H46" s="13">
        <v>43</v>
      </c>
      <c r="I46" s="13">
        <v>43</v>
      </c>
      <c r="J46" s="13">
        <v>43</v>
      </c>
      <c r="K46" s="13">
        <v>43</v>
      </c>
      <c r="L46" s="13">
        <v>42</v>
      </c>
      <c r="M46" s="13">
        <v>42</v>
      </c>
    </row>
    <row r="47" spans="1:13" x14ac:dyDescent="0.25">
      <c r="A47" s="6" t="s">
        <v>818</v>
      </c>
      <c r="C47" s="13">
        <f t="shared" ref="C47:M47" si="12">SUM(C41,C45)</f>
        <v>41</v>
      </c>
      <c r="D47" s="13">
        <f t="shared" si="12"/>
        <v>42</v>
      </c>
      <c r="E47" s="13">
        <f t="shared" si="12"/>
        <v>42</v>
      </c>
      <c r="F47" s="13">
        <f t="shared" si="12"/>
        <v>43</v>
      </c>
      <c r="G47" s="13">
        <f t="shared" si="12"/>
        <v>43</v>
      </c>
      <c r="H47" s="13">
        <f t="shared" si="12"/>
        <v>43</v>
      </c>
      <c r="I47" s="13">
        <f t="shared" si="12"/>
        <v>43</v>
      </c>
      <c r="J47" s="13">
        <f t="shared" si="12"/>
        <v>43</v>
      </c>
      <c r="K47" s="13">
        <f t="shared" si="12"/>
        <v>43</v>
      </c>
      <c r="L47" s="13">
        <f t="shared" si="12"/>
        <v>43</v>
      </c>
      <c r="M47" s="13">
        <f t="shared" si="12"/>
        <v>42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 s="13">
        <f t="shared" si="13"/>
        <v>1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13</v>
      </c>
      <c r="D51" s="13">
        <v>12</v>
      </c>
      <c r="E51" s="13">
        <v>11</v>
      </c>
      <c r="F51" s="13">
        <v>10</v>
      </c>
      <c r="G51" s="13">
        <v>9</v>
      </c>
      <c r="H51" s="13">
        <v>8</v>
      </c>
      <c r="I51" s="13">
        <v>8</v>
      </c>
      <c r="J51" s="13">
        <v>7</v>
      </c>
      <c r="K51" s="13">
        <v>6</v>
      </c>
      <c r="L51" s="13">
        <v>5</v>
      </c>
      <c r="M51" s="13">
        <v>5</v>
      </c>
    </row>
    <row r="52" spans="1:13" x14ac:dyDescent="0.25">
      <c r="A52" s="6" t="s">
        <v>822</v>
      </c>
      <c r="C52" s="13">
        <f t="shared" ref="C52:M52" si="14">C46*C50</f>
        <v>13.3619</v>
      </c>
      <c r="D52" s="13">
        <f t="shared" si="14"/>
        <v>12.331200000000001</v>
      </c>
      <c r="E52" s="13">
        <f t="shared" si="14"/>
        <v>11.109</v>
      </c>
      <c r="F52" s="13">
        <f t="shared" si="14"/>
        <v>10.2469</v>
      </c>
      <c r="G52" s="13">
        <f t="shared" si="14"/>
        <v>9.2321000000000009</v>
      </c>
      <c r="H52" s="13">
        <f t="shared" si="14"/>
        <v>8.3162000000000003</v>
      </c>
      <c r="I52" s="13">
        <f t="shared" si="14"/>
        <v>7.4905999999999997</v>
      </c>
      <c r="J52" s="13">
        <f t="shared" si="14"/>
        <v>6.7510000000000003</v>
      </c>
      <c r="K52" s="13">
        <f t="shared" si="14"/>
        <v>6.0801999999999996</v>
      </c>
      <c r="L52" s="13">
        <f t="shared" si="14"/>
        <v>5.3508000000000004</v>
      </c>
      <c r="M52" s="13">
        <f t="shared" si="14"/>
        <v>4.8216000000000001</v>
      </c>
    </row>
    <row r="53" spans="1:13" x14ac:dyDescent="0.25">
      <c r="A53" s="6" t="s">
        <v>833</v>
      </c>
      <c r="C53" s="13">
        <f t="shared" ref="C53:M53" si="15">C52-C51</f>
        <v>0.36190000000000033</v>
      </c>
      <c r="D53" s="13">
        <f t="shared" si="15"/>
        <v>0.33120000000000083</v>
      </c>
      <c r="E53" s="13">
        <f t="shared" si="15"/>
        <v>0.10899999999999999</v>
      </c>
      <c r="F53" s="13">
        <f t="shared" si="15"/>
        <v>0.24690000000000012</v>
      </c>
      <c r="G53" s="13">
        <f t="shared" si="15"/>
        <v>0.23210000000000086</v>
      </c>
      <c r="H53" s="13">
        <f t="shared" si="15"/>
        <v>0.31620000000000026</v>
      </c>
      <c r="I53" s="13">
        <f t="shared" si="15"/>
        <v>-0.5094000000000003</v>
      </c>
      <c r="J53" s="13">
        <f t="shared" si="15"/>
        <v>-0.24899999999999967</v>
      </c>
      <c r="K53" s="13">
        <f t="shared" si="15"/>
        <v>8.0199999999999605E-2</v>
      </c>
      <c r="L53" s="13">
        <f t="shared" si="15"/>
        <v>0.35080000000000044</v>
      </c>
      <c r="M53" s="13">
        <f t="shared" si="15"/>
        <v>-0.17839999999999989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16">(D8-C8)/C8</f>
        <v>2.9239766081871343E-2</v>
      </c>
      <c r="E57" s="20">
        <f t="shared" si="16"/>
        <v>2.8409090909090908E-2</v>
      </c>
      <c r="F57" s="20">
        <f t="shared" si="16"/>
        <v>3.3149171270718231E-2</v>
      </c>
      <c r="G57" s="20">
        <f t="shared" si="16"/>
        <v>2.6737967914438502E-2</v>
      </c>
      <c r="H57" s="20">
        <f t="shared" si="16"/>
        <v>3.125E-2</v>
      </c>
      <c r="I57" s="20">
        <f t="shared" si="16"/>
        <v>3.0303030303030304E-2</v>
      </c>
      <c r="J57" s="20">
        <f t="shared" si="16"/>
        <v>2.9411764705882353E-2</v>
      </c>
      <c r="K57" s="20">
        <f t="shared" si="16"/>
        <v>2.8571428571428571E-2</v>
      </c>
      <c r="L57" s="20">
        <f t="shared" si="16"/>
        <v>3.2407407407407406E-2</v>
      </c>
      <c r="M57" s="20">
        <f t="shared" si="16"/>
        <v>3.1390134529147982E-2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-7.6023391812865548E-4</v>
      </c>
      <c r="E58" s="20">
        <f t="shared" si="17"/>
        <v>-1.5909090909090907E-3</v>
      </c>
      <c r="F58" s="20">
        <f t="shared" si="17"/>
        <v>3.1491712707182318E-3</v>
      </c>
      <c r="G58" s="20">
        <f t="shared" si="17"/>
        <v>-3.2620320855614969E-3</v>
      </c>
      <c r="H58" s="20">
        <f t="shared" si="17"/>
        <v>1.2500000000000011E-3</v>
      </c>
      <c r="I58" s="20">
        <f t="shared" si="17"/>
        <v>3.0303030303030498E-4</v>
      </c>
      <c r="J58" s="20">
        <f t="shared" si="17"/>
        <v>-5.8823529411764636E-4</v>
      </c>
      <c r="K58" s="20">
        <f t="shared" si="17"/>
        <v>-1.4285714285714284E-3</v>
      </c>
      <c r="L58" s="20">
        <f t="shared" si="17"/>
        <v>2.4074074074074067E-3</v>
      </c>
      <c r="M58" s="20">
        <f t="shared" si="17"/>
        <v>1.3901345291479836E-3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0.40799999999999997</v>
      </c>
      <c r="D60" s="20">
        <v>0.40799999999999997</v>
      </c>
      <c r="E60" s="20">
        <v>0.40799999999999997</v>
      </c>
      <c r="F60" s="20">
        <v>0.40799999999999997</v>
      </c>
      <c r="G60" s="20">
        <v>0.40799999999999997</v>
      </c>
      <c r="H60" s="20">
        <v>0.40799999999999997</v>
      </c>
      <c r="I60" s="20">
        <v>0.40799999999999997</v>
      </c>
      <c r="J60" s="20">
        <v>0.40799999999999997</v>
      </c>
      <c r="K60" s="20">
        <v>0.40799999999999997</v>
      </c>
      <c r="L60" s="20">
        <v>0.40799999999999997</v>
      </c>
      <c r="M60" s="20">
        <v>0.40799999999999997</v>
      </c>
    </row>
    <row r="61" spans="1:13" x14ac:dyDescent="0.25">
      <c r="A61" s="7" t="s">
        <v>823</v>
      </c>
      <c r="C61" s="20">
        <f t="shared" ref="C61:M61" si="18">C20/C19</f>
        <v>0.40853658536585363</v>
      </c>
      <c r="D61" s="20">
        <f t="shared" si="18"/>
        <v>0.40963855421686746</v>
      </c>
      <c r="E61" s="20">
        <f t="shared" si="18"/>
        <v>0.40828402366863903</v>
      </c>
      <c r="F61" s="20">
        <f t="shared" si="18"/>
        <v>0.40588235294117647</v>
      </c>
      <c r="G61" s="20">
        <f t="shared" si="18"/>
        <v>0.40697674418604651</v>
      </c>
      <c r="H61" s="20">
        <f t="shared" si="18"/>
        <v>0.40697674418604651</v>
      </c>
      <c r="I61" s="20">
        <f t="shared" si="18"/>
        <v>0.40462427745664742</v>
      </c>
      <c r="J61" s="20">
        <f t="shared" si="18"/>
        <v>0.40697674418604651</v>
      </c>
      <c r="K61" s="20">
        <f t="shared" si="18"/>
        <v>0.40935672514619881</v>
      </c>
      <c r="L61" s="20">
        <f t="shared" si="18"/>
        <v>0.40828402366863903</v>
      </c>
      <c r="M61" s="20">
        <f t="shared" si="18"/>
        <v>0.40718562874251496</v>
      </c>
    </row>
    <row r="62" spans="1:13" x14ac:dyDescent="0.25">
      <c r="A62" s="7" t="s">
        <v>834</v>
      </c>
      <c r="C62" s="20">
        <f t="shared" ref="C62:M62" si="19">C61-C60</f>
        <v>5.3658536585365901E-4</v>
      </c>
      <c r="D62" s="20">
        <f t="shared" si="19"/>
        <v>1.6385542168674827E-3</v>
      </c>
      <c r="E62" s="20">
        <f t="shared" si="19"/>
        <v>2.8402366863905515E-4</v>
      </c>
      <c r="F62" s="20">
        <f t="shared" si="19"/>
        <v>-2.1176470588235019E-3</v>
      </c>
      <c r="G62" s="20">
        <f t="shared" si="19"/>
        <v>-1.0232558139534609E-3</v>
      </c>
      <c r="H62" s="20">
        <f t="shared" si="19"/>
        <v>-1.0232558139534609E-3</v>
      </c>
      <c r="I62" s="20">
        <f t="shared" si="19"/>
        <v>-3.3757225433525551E-3</v>
      </c>
      <c r="J62" s="20">
        <f t="shared" si="19"/>
        <v>-1.0232558139534609E-3</v>
      </c>
      <c r="K62" s="20">
        <f t="shared" si="19"/>
        <v>1.3567251461988339E-3</v>
      </c>
      <c r="L62" s="20">
        <f t="shared" si="19"/>
        <v>2.8402366863905515E-4</v>
      </c>
      <c r="M62" s="20">
        <f t="shared" si="19"/>
        <v>-8.1437125748501371E-4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0.35899999999999999</v>
      </c>
      <c r="D65" s="20">
        <v>0.35899999999999999</v>
      </c>
      <c r="E65" s="20">
        <v>0.35899999999999999</v>
      </c>
      <c r="F65" s="20">
        <v>0.35899999999999999</v>
      </c>
      <c r="G65" s="20">
        <v>0.35899999999999999</v>
      </c>
      <c r="H65" s="20">
        <v>0.35899999999999999</v>
      </c>
      <c r="I65" s="20">
        <v>0.35899999999999999</v>
      </c>
      <c r="J65" s="20">
        <v>0.35899999999999999</v>
      </c>
      <c r="K65" s="20">
        <v>0.35899999999999999</v>
      </c>
      <c r="L65" s="20">
        <v>0.35899999999999999</v>
      </c>
      <c r="M65" s="20">
        <v>0.35899999999999999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1.7999999999999999E-2</v>
      </c>
      <c r="D69" s="20">
        <v>1.7999999999999999E-2</v>
      </c>
      <c r="E69" s="20">
        <v>1.7999999999999999E-2</v>
      </c>
      <c r="F69" s="20">
        <v>1.7999999999999999E-2</v>
      </c>
      <c r="G69" s="20">
        <v>1.7999999999999999E-2</v>
      </c>
      <c r="H69" s="20">
        <v>1.7999999999999999E-2</v>
      </c>
      <c r="I69" s="20">
        <v>1.7999999999999999E-2</v>
      </c>
      <c r="J69" s="20">
        <v>1.7999999999999999E-2</v>
      </c>
      <c r="K69" s="20">
        <v>1.7999999999999999E-2</v>
      </c>
      <c r="L69" s="20">
        <v>1.7999999999999999E-2</v>
      </c>
      <c r="M69" s="20">
        <v>1.7999999999999999E-2</v>
      </c>
    </row>
    <row r="70" spans="1:13" x14ac:dyDescent="0.25">
      <c r="A70" s="7" t="s">
        <v>824</v>
      </c>
      <c r="C70" s="20">
        <f t="shared" ref="C70:M70" si="20">-C45/C19</f>
        <v>1.8292682926829267E-2</v>
      </c>
      <c r="D70" s="20">
        <f t="shared" si="20"/>
        <v>1.8072289156626505E-2</v>
      </c>
      <c r="E70" s="20">
        <f t="shared" si="20"/>
        <v>1.7751479289940829E-2</v>
      </c>
      <c r="F70" s="20">
        <f t="shared" si="20"/>
        <v>1.7647058823529412E-2</v>
      </c>
      <c r="G70" s="20">
        <f t="shared" si="20"/>
        <v>1.7441860465116279E-2</v>
      </c>
      <c r="H70" s="20">
        <f t="shared" si="20"/>
        <v>1.7441860465116279E-2</v>
      </c>
      <c r="I70" s="20">
        <f t="shared" si="20"/>
        <v>1.7341040462427744E-2</v>
      </c>
      <c r="J70" s="20">
        <f t="shared" si="20"/>
        <v>1.7441860465116279E-2</v>
      </c>
      <c r="K70" s="20">
        <f t="shared" si="20"/>
        <v>1.7543859649122806E-2</v>
      </c>
      <c r="L70" s="20">
        <f t="shared" si="20"/>
        <v>1.7751479289940829E-2</v>
      </c>
      <c r="M70" s="20">
        <f t="shared" si="20"/>
        <v>1.7964071856287425E-2</v>
      </c>
    </row>
    <row r="71" spans="1:13" x14ac:dyDescent="0.25">
      <c r="A71" s="7" t="s">
        <v>835</v>
      </c>
      <c r="C71" s="20">
        <f t="shared" ref="C71:M71" si="21">C70-C69</f>
        <v>2.9268292682926855E-4</v>
      </c>
      <c r="D71" s="20">
        <f t="shared" si="21"/>
        <v>7.228915662650659E-5</v>
      </c>
      <c r="E71" s="20">
        <f t="shared" si="21"/>
        <v>-2.4852071005916979E-4</v>
      </c>
      <c r="F71" s="20">
        <f t="shared" si="21"/>
        <v>-3.5294117647058712E-4</v>
      </c>
      <c r="G71" s="20">
        <f t="shared" si="21"/>
        <v>-5.5813953488371981E-4</v>
      </c>
      <c r="H71" s="20">
        <f t="shared" si="21"/>
        <v>-5.5813953488371981E-4</v>
      </c>
      <c r="I71" s="20">
        <f t="shared" si="21"/>
        <v>-6.589595375722547E-4</v>
      </c>
      <c r="J71" s="20">
        <f t="shared" si="21"/>
        <v>-5.5813953488371981E-4</v>
      </c>
      <c r="K71" s="20">
        <f t="shared" si="21"/>
        <v>-4.561403508771926E-4</v>
      </c>
      <c r="L71" s="20">
        <f t="shared" si="21"/>
        <v>-2.4852071005916979E-4</v>
      </c>
      <c r="M71" s="20">
        <f t="shared" si="21"/>
        <v>-3.5928143712574134E-5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273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236</v>
      </c>
      <c r="D8" s="10">
        <v>244</v>
      </c>
      <c r="E8" s="10">
        <v>251</v>
      </c>
      <c r="F8" s="10">
        <v>258</v>
      </c>
      <c r="G8" s="10">
        <v>266</v>
      </c>
      <c r="H8" s="10">
        <v>274</v>
      </c>
      <c r="I8" s="10">
        <v>282</v>
      </c>
      <c r="J8" s="10">
        <v>291</v>
      </c>
      <c r="K8" s="10">
        <v>300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236</v>
      </c>
      <c r="D10" s="10">
        <v>244</v>
      </c>
      <c r="E10" s="10">
        <v>251</v>
      </c>
      <c r="F10" s="10">
        <v>258</v>
      </c>
      <c r="G10" s="10">
        <v>266</v>
      </c>
      <c r="H10" s="10">
        <v>274</v>
      </c>
      <c r="I10" s="10">
        <v>282</v>
      </c>
      <c r="J10" s="10">
        <v>291</v>
      </c>
      <c r="K10" s="10">
        <v>300</v>
      </c>
    </row>
    <row r="11" spans="1:13" x14ac:dyDescent="0.25">
      <c r="A11" s="7" t="s">
        <v>814</v>
      </c>
      <c r="C11" s="10">
        <f t="shared" ref="C11:M11" si="0">SUM(C8,C9)</f>
        <v>236</v>
      </c>
      <c r="D11" s="10">
        <f t="shared" si="0"/>
        <v>244</v>
      </c>
      <c r="E11" s="10">
        <f t="shared" si="0"/>
        <v>251</v>
      </c>
      <c r="F11" s="10">
        <f t="shared" si="0"/>
        <v>258</v>
      </c>
      <c r="G11" s="10">
        <f t="shared" si="0"/>
        <v>266</v>
      </c>
      <c r="H11" s="10">
        <f t="shared" si="0"/>
        <v>274</v>
      </c>
      <c r="I11" s="10">
        <f t="shared" si="0"/>
        <v>282</v>
      </c>
      <c r="J11" s="10">
        <f t="shared" si="0"/>
        <v>291</v>
      </c>
      <c r="K11" s="10">
        <f t="shared" si="0"/>
        <v>300</v>
      </c>
      <c r="L11">
        <f t="shared" si="0"/>
        <v>0</v>
      </c>
      <c r="M11">
        <f t="shared" si="0"/>
        <v>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>
        <f t="shared" si="1"/>
        <v>0</v>
      </c>
      <c r="M12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207</v>
      </c>
      <c r="C14" s="20">
        <v>0.69199999999999995</v>
      </c>
      <c r="D14" s="20">
        <v>0.65600000000000003</v>
      </c>
      <c r="E14" s="20">
        <v>0.61799999999999999</v>
      </c>
      <c r="F14" s="20">
        <v>0.57999999999999996</v>
      </c>
      <c r="G14" s="20">
        <v>0.54100000000000004</v>
      </c>
      <c r="H14" s="20">
        <v>0.502</v>
      </c>
      <c r="I14" s="20">
        <v>0.46300000000000002</v>
      </c>
      <c r="J14" s="20">
        <v>0.42399999999999999</v>
      </c>
      <c r="K14" s="20">
        <v>0.38700000000000001</v>
      </c>
    </row>
    <row r="15" spans="1:13" x14ac:dyDescent="0.25">
      <c r="A15" s="7" t="s">
        <v>208</v>
      </c>
      <c r="C15" s="10">
        <v>164</v>
      </c>
      <c r="D15" s="10">
        <v>160</v>
      </c>
      <c r="E15" s="10">
        <v>155</v>
      </c>
      <c r="F15" s="10">
        <v>150</v>
      </c>
      <c r="G15" s="10">
        <v>144</v>
      </c>
      <c r="H15" s="10">
        <v>138</v>
      </c>
      <c r="I15" s="10">
        <v>131</v>
      </c>
      <c r="J15" s="10">
        <v>123</v>
      </c>
      <c r="K15" s="10">
        <v>116</v>
      </c>
    </row>
    <row r="16" spans="1:13" x14ac:dyDescent="0.25">
      <c r="A16" s="7" t="s">
        <v>815</v>
      </c>
      <c r="C16" s="10">
        <f t="shared" ref="C16:M16" si="2">SUM(C10,C14)</f>
        <v>236.69200000000001</v>
      </c>
      <c r="D16" s="10">
        <f t="shared" si="2"/>
        <v>244.65600000000001</v>
      </c>
      <c r="E16" s="10">
        <f t="shared" si="2"/>
        <v>251.61799999999999</v>
      </c>
      <c r="F16" s="10">
        <f t="shared" si="2"/>
        <v>258.58</v>
      </c>
      <c r="G16" s="10">
        <f t="shared" si="2"/>
        <v>266.541</v>
      </c>
      <c r="H16" s="10">
        <f t="shared" si="2"/>
        <v>274.50200000000001</v>
      </c>
      <c r="I16" s="10">
        <f t="shared" si="2"/>
        <v>282.46300000000002</v>
      </c>
      <c r="J16" s="10">
        <f t="shared" si="2"/>
        <v>291.42399999999998</v>
      </c>
      <c r="K16" s="10">
        <f t="shared" si="2"/>
        <v>300.387</v>
      </c>
      <c r="L16">
        <f t="shared" si="2"/>
        <v>0</v>
      </c>
      <c r="M16">
        <f t="shared" si="2"/>
        <v>0</v>
      </c>
    </row>
    <row r="17" spans="1:13" x14ac:dyDescent="0.25">
      <c r="A17" s="7" t="s">
        <v>826</v>
      </c>
      <c r="C17" s="10">
        <f t="shared" ref="C17:M17" si="3">C16-C15</f>
        <v>72.692000000000007</v>
      </c>
      <c r="D17" s="10">
        <f t="shared" si="3"/>
        <v>84.656000000000006</v>
      </c>
      <c r="E17" s="10">
        <f t="shared" si="3"/>
        <v>96.617999999999995</v>
      </c>
      <c r="F17" s="10">
        <f t="shared" si="3"/>
        <v>108.57999999999998</v>
      </c>
      <c r="G17" s="10">
        <f t="shared" si="3"/>
        <v>122.541</v>
      </c>
      <c r="H17" s="10">
        <f t="shared" si="3"/>
        <v>136.50200000000001</v>
      </c>
      <c r="I17" s="10">
        <f t="shared" si="3"/>
        <v>151.46300000000002</v>
      </c>
      <c r="J17" s="10">
        <f t="shared" si="3"/>
        <v>168.42399999999998</v>
      </c>
      <c r="K17" s="10">
        <f t="shared" si="3"/>
        <v>184.387</v>
      </c>
      <c r="L17">
        <f t="shared" si="3"/>
        <v>0</v>
      </c>
      <c r="M17">
        <f t="shared" si="3"/>
        <v>0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164</v>
      </c>
      <c r="D19" s="13">
        <v>160</v>
      </c>
      <c r="E19" s="13">
        <v>155</v>
      </c>
      <c r="F19" s="13">
        <v>150</v>
      </c>
      <c r="G19" s="13">
        <v>144</v>
      </c>
      <c r="H19" s="13">
        <v>138</v>
      </c>
      <c r="I19" s="13">
        <v>131</v>
      </c>
      <c r="J19" s="13">
        <v>123</v>
      </c>
      <c r="K19" s="13">
        <v>116</v>
      </c>
    </row>
    <row r="20" spans="1:13" x14ac:dyDescent="0.25">
      <c r="A20" s="6" t="s">
        <v>106</v>
      </c>
      <c r="C20" s="13">
        <v>67</v>
      </c>
      <c r="D20" s="13">
        <v>65</v>
      </c>
      <c r="E20" s="13">
        <v>63</v>
      </c>
      <c r="F20" s="13">
        <v>61</v>
      </c>
      <c r="G20" s="13">
        <v>59</v>
      </c>
      <c r="H20" s="13">
        <v>56</v>
      </c>
      <c r="I20" s="13">
        <v>53</v>
      </c>
      <c r="J20" s="13">
        <v>50</v>
      </c>
      <c r="K20" s="13">
        <v>47</v>
      </c>
    </row>
    <row r="21" spans="1:13" x14ac:dyDescent="0.25">
      <c r="A21" s="7" t="s">
        <v>107</v>
      </c>
      <c r="C21" s="19">
        <v>-8</v>
      </c>
      <c r="D21" s="19">
        <v>-8</v>
      </c>
      <c r="E21" s="19">
        <v>-8</v>
      </c>
      <c r="F21" s="19">
        <v>-7</v>
      </c>
      <c r="G21" s="19">
        <v>-7</v>
      </c>
      <c r="H21" s="19">
        <v>-7</v>
      </c>
      <c r="I21" s="19">
        <v>-6</v>
      </c>
      <c r="J21" s="19">
        <v>-6</v>
      </c>
      <c r="K21" s="19">
        <v>-6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59</v>
      </c>
      <c r="D25" s="13">
        <v>57</v>
      </c>
      <c r="E25" s="13">
        <v>56</v>
      </c>
      <c r="F25" s="13">
        <v>54</v>
      </c>
      <c r="G25" s="13">
        <v>52</v>
      </c>
      <c r="H25" s="13">
        <v>49</v>
      </c>
      <c r="I25" s="13">
        <v>47</v>
      </c>
      <c r="J25" s="13">
        <v>44</v>
      </c>
      <c r="K25" s="13">
        <v>42</v>
      </c>
    </row>
    <row r="26" spans="1:13" x14ac:dyDescent="0.25">
      <c r="A26" s="6" t="s">
        <v>816</v>
      </c>
      <c r="C26" s="13">
        <f t="shared" ref="C26:M26" si="4">SUM(C20,C21)</f>
        <v>59</v>
      </c>
      <c r="D26" s="13">
        <f t="shared" si="4"/>
        <v>57</v>
      </c>
      <c r="E26" s="13">
        <f t="shared" si="4"/>
        <v>55</v>
      </c>
      <c r="F26" s="13">
        <f t="shared" si="4"/>
        <v>54</v>
      </c>
      <c r="G26" s="13">
        <f t="shared" si="4"/>
        <v>52</v>
      </c>
      <c r="H26" s="13">
        <f t="shared" si="4"/>
        <v>49</v>
      </c>
      <c r="I26" s="13">
        <f t="shared" si="4"/>
        <v>47</v>
      </c>
      <c r="J26" s="13">
        <f t="shared" si="4"/>
        <v>44</v>
      </c>
      <c r="K26" s="13">
        <f t="shared" si="4"/>
        <v>41</v>
      </c>
      <c r="L26">
        <f t="shared" si="4"/>
        <v>0</v>
      </c>
      <c r="M26">
        <f t="shared" si="4"/>
        <v>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>
        <f t="shared" ca="1" si="5"/>
        <v>0</v>
      </c>
      <c r="M27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</row>
    <row r="30" spans="1:13" x14ac:dyDescent="0.25">
      <c r="A30" s="7" t="s">
        <v>820</v>
      </c>
      <c r="B30" s="20"/>
      <c r="C30" s="19">
        <f>C19*B29</f>
        <v>2.46</v>
      </c>
      <c r="D30" s="19">
        <f>D19*B29</f>
        <v>2.4</v>
      </c>
      <c r="E30" s="19">
        <f>E19*B29</f>
        <v>2.3249999999999997</v>
      </c>
      <c r="F30" s="19">
        <f>F19*B29</f>
        <v>2.25</v>
      </c>
      <c r="G30" s="19">
        <f>G19*B29</f>
        <v>2.16</v>
      </c>
      <c r="H30" s="19">
        <f>H19*B29</f>
        <v>2.0699999999999998</v>
      </c>
      <c r="I30" s="19">
        <f>I19*B29</f>
        <v>1.9649999999999999</v>
      </c>
      <c r="J30" s="19">
        <f>J19*B29</f>
        <v>1.845</v>
      </c>
      <c r="K30" s="19">
        <f>K19*B29</f>
        <v>1.74</v>
      </c>
      <c r="L30">
        <f>L19*B29</f>
        <v>0</v>
      </c>
      <c r="M30">
        <f>M19*B29</f>
        <v>0</v>
      </c>
    </row>
    <row r="31" spans="1:13" x14ac:dyDescent="0.25">
      <c r="A31" s="7" t="s">
        <v>831</v>
      </c>
      <c r="B31" s="20"/>
      <c r="C31" s="19">
        <f t="shared" ref="C31:M31" si="6">C30-C29</f>
        <v>4.46</v>
      </c>
      <c r="D31" s="19">
        <f t="shared" si="6"/>
        <v>4.4000000000000004</v>
      </c>
      <c r="E31" s="19">
        <f t="shared" si="6"/>
        <v>4.3249999999999993</v>
      </c>
      <c r="F31" s="19">
        <f t="shared" si="6"/>
        <v>4.25</v>
      </c>
      <c r="G31" s="19">
        <f t="shared" si="6"/>
        <v>4.16</v>
      </c>
      <c r="H31" s="19">
        <f t="shared" si="6"/>
        <v>4.07</v>
      </c>
      <c r="I31" s="19">
        <f t="shared" si="6"/>
        <v>3.9649999999999999</v>
      </c>
      <c r="J31" s="19">
        <f t="shared" si="6"/>
        <v>3.8449999999999998</v>
      </c>
      <c r="K31" s="19">
        <f t="shared" si="6"/>
        <v>3.74</v>
      </c>
      <c r="L31">
        <f t="shared" si="6"/>
        <v>0</v>
      </c>
      <c r="M31">
        <f t="shared" si="6"/>
        <v>0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56</v>
      </c>
      <c r="D33" s="13">
        <v>55</v>
      </c>
      <c r="E33" s="13">
        <v>53</v>
      </c>
      <c r="F33" s="13">
        <v>52</v>
      </c>
      <c r="G33" s="13">
        <v>50</v>
      </c>
      <c r="H33" s="13">
        <v>47</v>
      </c>
      <c r="I33" s="13">
        <v>45</v>
      </c>
      <c r="J33" s="13">
        <v>42</v>
      </c>
      <c r="K33" s="13">
        <v>40</v>
      </c>
    </row>
    <row r="34" spans="1:13" x14ac:dyDescent="0.25">
      <c r="A34" s="6" t="s">
        <v>817</v>
      </c>
      <c r="C34" s="13">
        <f t="shared" ref="C34:M34" si="7">SUM(C25,C29)</f>
        <v>57</v>
      </c>
      <c r="D34" s="13">
        <f t="shared" si="7"/>
        <v>55</v>
      </c>
      <c r="E34" s="13">
        <f t="shared" si="7"/>
        <v>54</v>
      </c>
      <c r="F34" s="13">
        <f t="shared" si="7"/>
        <v>52</v>
      </c>
      <c r="G34" s="13">
        <f t="shared" si="7"/>
        <v>50</v>
      </c>
      <c r="H34" s="13">
        <f t="shared" si="7"/>
        <v>47</v>
      </c>
      <c r="I34" s="13">
        <f t="shared" si="7"/>
        <v>45</v>
      </c>
      <c r="J34" s="13">
        <f t="shared" si="7"/>
        <v>42</v>
      </c>
      <c r="K34" s="13">
        <f t="shared" si="7"/>
        <v>40</v>
      </c>
      <c r="L34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13">
        <f t="shared" ref="C35:M35" si="8">C34-C33</f>
        <v>1</v>
      </c>
      <c r="D35" s="13">
        <f t="shared" si="8"/>
        <v>0</v>
      </c>
      <c r="E35" s="13">
        <f t="shared" si="8"/>
        <v>1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>
        <f t="shared" si="8"/>
        <v>0</v>
      </c>
      <c r="M35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-12</v>
      </c>
      <c r="D37" s="19">
        <v>-12</v>
      </c>
      <c r="E37" s="19">
        <v>-12</v>
      </c>
      <c r="F37" s="19">
        <v>-11</v>
      </c>
      <c r="G37" s="19">
        <v>-11</v>
      </c>
      <c r="H37" s="19">
        <v>-10</v>
      </c>
      <c r="I37" s="19">
        <v>-10</v>
      </c>
      <c r="J37" s="19">
        <v>-9</v>
      </c>
      <c r="K37" s="19">
        <v>-9</v>
      </c>
    </row>
    <row r="38" spans="1:13" x14ac:dyDescent="0.25">
      <c r="A38" s="7" t="s">
        <v>821</v>
      </c>
      <c r="B38" s="20"/>
      <c r="C38" s="19">
        <f>C33*B37</f>
        <v>12.208</v>
      </c>
      <c r="D38" s="19">
        <f>D33*B37</f>
        <v>11.99</v>
      </c>
      <c r="E38" s="19">
        <f>E33*B37</f>
        <v>11.554</v>
      </c>
      <c r="F38" s="19">
        <f>F33*B37</f>
        <v>11.336</v>
      </c>
      <c r="G38" s="19">
        <f>G33*B37</f>
        <v>10.9</v>
      </c>
      <c r="H38" s="19">
        <f>H33*B37</f>
        <v>10.246</v>
      </c>
      <c r="I38" s="19">
        <f>I33*B37</f>
        <v>9.81</v>
      </c>
      <c r="J38" s="19">
        <f>J33*B37</f>
        <v>9.1560000000000006</v>
      </c>
      <c r="K38" s="19">
        <f>K33*B37</f>
        <v>8.7200000000000006</v>
      </c>
      <c r="L38">
        <f>L33*B37</f>
        <v>0</v>
      </c>
      <c r="M38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24.207999999999998</v>
      </c>
      <c r="D39" s="19">
        <f t="shared" si="9"/>
        <v>23.990000000000002</v>
      </c>
      <c r="E39" s="19">
        <f t="shared" si="9"/>
        <v>23.554000000000002</v>
      </c>
      <c r="F39" s="19">
        <f t="shared" si="9"/>
        <v>22.335999999999999</v>
      </c>
      <c r="G39" s="19">
        <f t="shared" si="9"/>
        <v>21.9</v>
      </c>
      <c r="H39" s="19">
        <f t="shared" si="9"/>
        <v>20.246000000000002</v>
      </c>
      <c r="I39" s="19">
        <f t="shared" si="9"/>
        <v>19.810000000000002</v>
      </c>
      <c r="J39" s="19">
        <f t="shared" si="9"/>
        <v>18.155999999999999</v>
      </c>
      <c r="K39" s="19">
        <f t="shared" si="9"/>
        <v>17.72</v>
      </c>
      <c r="L39">
        <f t="shared" si="9"/>
        <v>0</v>
      </c>
      <c r="M3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44</v>
      </c>
      <c r="D41" s="13">
        <v>43</v>
      </c>
      <c r="E41" s="13">
        <v>42</v>
      </c>
      <c r="F41" s="13">
        <v>40</v>
      </c>
      <c r="G41" s="13">
        <v>39</v>
      </c>
      <c r="H41" s="13">
        <v>37</v>
      </c>
      <c r="I41" s="13">
        <v>35</v>
      </c>
      <c r="J41" s="13">
        <v>33</v>
      </c>
      <c r="K41" s="13">
        <v>31</v>
      </c>
    </row>
    <row r="42" spans="1:13" x14ac:dyDescent="0.25">
      <c r="A42" s="6" t="s">
        <v>819</v>
      </c>
      <c r="C42" s="13">
        <f t="shared" ref="C42:M42" si="10">C33-C37</f>
        <v>68</v>
      </c>
      <c r="D42" s="13">
        <f t="shared" si="10"/>
        <v>67</v>
      </c>
      <c r="E42" s="13">
        <f t="shared" si="10"/>
        <v>65</v>
      </c>
      <c r="F42" s="13">
        <f t="shared" si="10"/>
        <v>63</v>
      </c>
      <c r="G42" s="13">
        <f t="shared" si="10"/>
        <v>61</v>
      </c>
      <c r="H42" s="13">
        <f t="shared" si="10"/>
        <v>57</v>
      </c>
      <c r="I42" s="13">
        <f t="shared" si="10"/>
        <v>55</v>
      </c>
      <c r="J42" s="13">
        <f t="shared" si="10"/>
        <v>51</v>
      </c>
      <c r="K42" s="13">
        <f t="shared" si="10"/>
        <v>49</v>
      </c>
      <c r="L42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13">
        <f t="shared" ref="C43:M43" si="11">C42-C41</f>
        <v>24</v>
      </c>
      <c r="D43" s="13">
        <f t="shared" si="11"/>
        <v>24</v>
      </c>
      <c r="E43" s="13">
        <f t="shared" si="11"/>
        <v>23</v>
      </c>
      <c r="F43" s="13">
        <f t="shared" si="11"/>
        <v>23</v>
      </c>
      <c r="G43" s="13">
        <f t="shared" si="11"/>
        <v>22</v>
      </c>
      <c r="H43" s="13">
        <f t="shared" si="11"/>
        <v>20</v>
      </c>
      <c r="I43" s="13">
        <f t="shared" si="11"/>
        <v>20</v>
      </c>
      <c r="J43" s="13">
        <f t="shared" si="11"/>
        <v>18</v>
      </c>
      <c r="K43" s="13">
        <f t="shared" si="11"/>
        <v>18</v>
      </c>
      <c r="L43">
        <f t="shared" si="11"/>
        <v>0</v>
      </c>
      <c r="M4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-3</v>
      </c>
      <c r="D45" s="19">
        <v>-3</v>
      </c>
      <c r="E45" s="19">
        <v>-3</v>
      </c>
      <c r="F45" s="19">
        <v>-3</v>
      </c>
      <c r="G45" s="19">
        <v>-3</v>
      </c>
      <c r="H45" s="19">
        <v>-2</v>
      </c>
      <c r="I45" s="19">
        <v>-2</v>
      </c>
      <c r="J45" s="19">
        <v>-2</v>
      </c>
      <c r="K45" s="19">
        <v>-2</v>
      </c>
    </row>
    <row r="46" spans="1:13" x14ac:dyDescent="0.25">
      <c r="A46" s="6" t="s">
        <v>215</v>
      </c>
      <c r="C46" s="13">
        <v>41</v>
      </c>
      <c r="D46" s="13">
        <v>40</v>
      </c>
      <c r="E46" s="13">
        <v>39</v>
      </c>
      <c r="F46" s="13">
        <v>38</v>
      </c>
      <c r="G46" s="13">
        <v>36</v>
      </c>
      <c r="H46" s="13">
        <v>35</v>
      </c>
      <c r="I46" s="13">
        <v>33</v>
      </c>
      <c r="J46" s="13">
        <v>31</v>
      </c>
      <c r="K46" s="13">
        <v>29</v>
      </c>
    </row>
    <row r="47" spans="1:13" x14ac:dyDescent="0.25">
      <c r="A47" s="6" t="s">
        <v>818</v>
      </c>
      <c r="C47" s="13">
        <f t="shared" ref="C47:M47" si="12">SUM(C41,C45)</f>
        <v>41</v>
      </c>
      <c r="D47" s="13">
        <f t="shared" si="12"/>
        <v>40</v>
      </c>
      <c r="E47" s="13">
        <f t="shared" si="12"/>
        <v>39</v>
      </c>
      <c r="F47" s="13">
        <f t="shared" si="12"/>
        <v>37</v>
      </c>
      <c r="G47" s="13">
        <f t="shared" si="12"/>
        <v>36</v>
      </c>
      <c r="H47" s="13">
        <f t="shared" si="12"/>
        <v>35</v>
      </c>
      <c r="I47" s="13">
        <f t="shared" si="12"/>
        <v>33</v>
      </c>
      <c r="J47" s="13">
        <f t="shared" si="12"/>
        <v>31</v>
      </c>
      <c r="K47" s="13">
        <f t="shared" si="12"/>
        <v>29</v>
      </c>
      <c r="L47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-1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>
        <f t="shared" si="13"/>
        <v>0</v>
      </c>
      <c r="M48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4</v>
      </c>
      <c r="D51" s="13">
        <v>4</v>
      </c>
      <c r="E51" s="13">
        <v>3</v>
      </c>
      <c r="F51" s="13">
        <v>3</v>
      </c>
      <c r="G51" s="13">
        <v>2</v>
      </c>
      <c r="H51" s="13">
        <v>2</v>
      </c>
      <c r="I51" s="13">
        <v>2</v>
      </c>
      <c r="J51" s="13">
        <v>2</v>
      </c>
      <c r="K51" s="13">
        <v>1</v>
      </c>
    </row>
    <row r="52" spans="1:13" x14ac:dyDescent="0.25">
      <c r="A52" s="6" t="s">
        <v>822</v>
      </c>
      <c r="C52" s="13">
        <f t="shared" ref="C52:M52" si="14">C46*C50</f>
        <v>4.2393999999999998</v>
      </c>
      <c r="D52" s="13">
        <f t="shared" si="14"/>
        <v>3.7240000000000002</v>
      </c>
      <c r="E52" s="13">
        <f t="shared" si="14"/>
        <v>3.2721</v>
      </c>
      <c r="F52" s="13">
        <f t="shared" si="14"/>
        <v>2.8727999999999998</v>
      </c>
      <c r="G52" s="13">
        <f t="shared" si="14"/>
        <v>2.4516</v>
      </c>
      <c r="H52" s="13">
        <f t="shared" si="14"/>
        <v>2.149</v>
      </c>
      <c r="I52" s="13">
        <f t="shared" si="14"/>
        <v>1.8249</v>
      </c>
      <c r="J52" s="13">
        <f t="shared" si="14"/>
        <v>1.5437999999999998</v>
      </c>
      <c r="K52" s="13">
        <f t="shared" si="14"/>
        <v>1.3021</v>
      </c>
      <c r="L52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0.23939999999999984</v>
      </c>
      <c r="D53" s="13">
        <f t="shared" si="15"/>
        <v>-0.2759999999999998</v>
      </c>
      <c r="E53" s="13">
        <f t="shared" si="15"/>
        <v>0.27210000000000001</v>
      </c>
      <c r="F53" s="13">
        <f t="shared" si="15"/>
        <v>-0.1272000000000002</v>
      </c>
      <c r="G53" s="13">
        <f t="shared" si="15"/>
        <v>0.4516</v>
      </c>
      <c r="H53" s="13">
        <f t="shared" si="15"/>
        <v>0.14900000000000002</v>
      </c>
      <c r="I53" s="13">
        <f t="shared" si="15"/>
        <v>-0.17510000000000003</v>
      </c>
      <c r="J53" s="13">
        <f t="shared" si="15"/>
        <v>-0.45620000000000016</v>
      </c>
      <c r="K53" s="13">
        <f t="shared" si="15"/>
        <v>0.30210000000000004</v>
      </c>
      <c r="L53">
        <f t="shared" si="15"/>
        <v>0</v>
      </c>
      <c r="M5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>
        <f t="shared" ref="D57:M57" si="16">(D8-C8)/C8</f>
        <v>3.3898305084745763E-2</v>
      </c>
      <c r="E57" s="20">
        <f t="shared" si="16"/>
        <v>2.8688524590163935E-2</v>
      </c>
      <c r="F57" s="20">
        <f t="shared" si="16"/>
        <v>2.7888446215139442E-2</v>
      </c>
      <c r="G57" s="20">
        <f t="shared" si="16"/>
        <v>3.1007751937984496E-2</v>
      </c>
      <c r="H57" s="20">
        <f t="shared" si="16"/>
        <v>3.007518796992481E-2</v>
      </c>
      <c r="I57" s="20">
        <f t="shared" si="16"/>
        <v>2.9197080291970802E-2</v>
      </c>
      <c r="J57" s="20">
        <f t="shared" si="16"/>
        <v>3.1914893617021274E-2</v>
      </c>
      <c r="K57" s="20">
        <f t="shared" si="16"/>
        <v>3.0927835051546393E-2</v>
      </c>
      <c r="L57">
        <f t="shared" si="16"/>
        <v>-1</v>
      </c>
      <c r="M57" t="e">
        <f t="shared" si="16"/>
        <v>#DIV/0!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3.8983050847457637E-3</v>
      </c>
      <c r="E58" s="20">
        <f t="shared" si="17"/>
        <v>-1.3114754098360638E-3</v>
      </c>
      <c r="F58" s="20">
        <f t="shared" si="17"/>
        <v>-2.1115537848605571E-3</v>
      </c>
      <c r="G58" s="20">
        <f t="shared" si="17"/>
        <v>1.0077519379844968E-3</v>
      </c>
      <c r="H58" s="20">
        <f t="shared" si="17"/>
        <v>7.5187969924811471E-5</v>
      </c>
      <c r="I58" s="20">
        <f t="shared" si="17"/>
        <v>-8.0291970802919693E-4</v>
      </c>
      <c r="J58" s="20">
        <f t="shared" si="17"/>
        <v>1.9148936170212752E-3</v>
      </c>
      <c r="K58" s="20">
        <f t="shared" si="17"/>
        <v>9.2783505154639401E-4</v>
      </c>
      <c r="L58">
        <f t="shared" si="17"/>
        <v>-1</v>
      </c>
      <c r="M58" t="e">
        <f t="shared" si="17"/>
        <v>#DIV/0!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0.40799999999999997</v>
      </c>
      <c r="D60" s="20">
        <v>0.40799999999999997</v>
      </c>
      <c r="E60" s="20">
        <v>0.40799999999999997</v>
      </c>
      <c r="F60" s="20">
        <v>0.40799999999999997</v>
      </c>
      <c r="G60" s="20">
        <v>0.40799999999999997</v>
      </c>
      <c r="H60" s="20">
        <v>0.40799999999999997</v>
      </c>
      <c r="I60" s="20">
        <v>0.40799999999999997</v>
      </c>
      <c r="J60" s="20">
        <v>0.40799999999999997</v>
      </c>
      <c r="K60" s="20">
        <v>0.40799999999999997</v>
      </c>
    </row>
    <row r="61" spans="1:13" x14ac:dyDescent="0.25">
      <c r="A61" s="7" t="s">
        <v>823</v>
      </c>
      <c r="C61" s="20">
        <f t="shared" ref="C61:M61" si="18">C20/C19</f>
        <v>0.40853658536585363</v>
      </c>
      <c r="D61" s="20">
        <f t="shared" si="18"/>
        <v>0.40625</v>
      </c>
      <c r="E61" s="20">
        <f t="shared" si="18"/>
        <v>0.40645161290322579</v>
      </c>
      <c r="F61" s="20">
        <f t="shared" si="18"/>
        <v>0.40666666666666668</v>
      </c>
      <c r="G61" s="20">
        <f t="shared" si="18"/>
        <v>0.40972222222222221</v>
      </c>
      <c r="H61" s="20">
        <f t="shared" si="18"/>
        <v>0.40579710144927539</v>
      </c>
      <c r="I61" s="20">
        <f t="shared" si="18"/>
        <v>0.40458015267175573</v>
      </c>
      <c r="J61" s="20">
        <f t="shared" si="18"/>
        <v>0.4065040650406504</v>
      </c>
      <c r="K61" s="20">
        <f t="shared" si="18"/>
        <v>0.40517241379310343</v>
      </c>
      <c r="L61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s="20">
        <f t="shared" ref="C62:M62" si="19">C61-C60</f>
        <v>5.3658536585365901E-4</v>
      </c>
      <c r="D62" s="20">
        <f t="shared" si="19"/>
        <v>-1.7499999999999738E-3</v>
      </c>
      <c r="E62" s="20">
        <f t="shared" si="19"/>
        <v>-1.5483870967741842E-3</v>
      </c>
      <c r="F62" s="20">
        <f t="shared" si="19"/>
        <v>-1.3333333333332975E-3</v>
      </c>
      <c r="G62" s="20">
        <f t="shared" si="19"/>
        <v>1.7222222222222361E-3</v>
      </c>
      <c r="H62" s="20">
        <f t="shared" si="19"/>
        <v>-2.2028985507245857E-3</v>
      </c>
      <c r="I62" s="20">
        <f t="shared" si="19"/>
        <v>-3.419847328244241E-3</v>
      </c>
      <c r="J62" s="20">
        <f t="shared" si="19"/>
        <v>-1.4959349593495763E-3</v>
      </c>
      <c r="K62" s="20">
        <f t="shared" si="19"/>
        <v>-2.8275862068965485E-3</v>
      </c>
      <c r="L62" t="e">
        <f t="shared" si="19"/>
        <v>#DIV/0!</v>
      </c>
      <c r="M62" t="e">
        <f t="shared" si="19"/>
        <v>#DIV/0!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0.35899999999999999</v>
      </c>
      <c r="D65" s="20">
        <v>0.35899999999999999</v>
      </c>
      <c r="E65" s="20">
        <v>0.35899999999999999</v>
      </c>
      <c r="F65" s="20">
        <v>0.35899999999999999</v>
      </c>
      <c r="G65" s="20">
        <v>0.35899999999999999</v>
      </c>
      <c r="H65" s="20">
        <v>0.35899999999999999</v>
      </c>
      <c r="I65" s="20">
        <v>0.35899999999999999</v>
      </c>
      <c r="J65" s="20">
        <v>0.35899999999999999</v>
      </c>
      <c r="K65" s="20">
        <v>0.35899999999999999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1.7999999999999999E-2</v>
      </c>
      <c r="D69" s="20">
        <v>1.7999999999999999E-2</v>
      </c>
      <c r="E69" s="20">
        <v>1.7999999999999999E-2</v>
      </c>
      <c r="F69" s="20">
        <v>1.7999999999999999E-2</v>
      </c>
      <c r="G69" s="20">
        <v>1.7999999999999999E-2</v>
      </c>
      <c r="H69" s="20">
        <v>1.7999999999999999E-2</v>
      </c>
      <c r="I69" s="20">
        <v>1.7999999999999999E-2</v>
      </c>
      <c r="J69" s="20">
        <v>1.7999999999999999E-2</v>
      </c>
      <c r="K69" s="20">
        <v>1.7999999999999999E-2</v>
      </c>
    </row>
    <row r="70" spans="1:13" x14ac:dyDescent="0.25">
      <c r="A70" s="7" t="s">
        <v>824</v>
      </c>
      <c r="C70" s="20">
        <f t="shared" ref="C70:M70" si="20">-C45/C19</f>
        <v>1.8292682926829267E-2</v>
      </c>
      <c r="D70" s="20">
        <f t="shared" si="20"/>
        <v>1.8749999999999999E-2</v>
      </c>
      <c r="E70" s="20">
        <f t="shared" si="20"/>
        <v>1.935483870967742E-2</v>
      </c>
      <c r="F70" s="20">
        <f t="shared" si="20"/>
        <v>0.02</v>
      </c>
      <c r="G70" s="20">
        <f t="shared" si="20"/>
        <v>2.0833333333333332E-2</v>
      </c>
      <c r="H70" s="20">
        <f t="shared" si="20"/>
        <v>1.4492753623188406E-2</v>
      </c>
      <c r="I70" s="20">
        <f t="shared" si="20"/>
        <v>1.5267175572519083E-2</v>
      </c>
      <c r="J70" s="20">
        <f t="shared" si="20"/>
        <v>1.6260162601626018E-2</v>
      </c>
      <c r="K70" s="20">
        <f t="shared" si="20"/>
        <v>1.7241379310344827E-2</v>
      </c>
      <c r="L7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s="20">
        <f t="shared" ref="C71:M71" si="21">C70-C69</f>
        <v>2.9268292682926855E-4</v>
      </c>
      <c r="D71" s="20">
        <f t="shared" si="21"/>
        <v>7.5000000000000067E-4</v>
      </c>
      <c r="E71" s="20">
        <f t="shared" si="21"/>
        <v>1.3548387096774216E-3</v>
      </c>
      <c r="F71" s="20">
        <f t="shared" si="21"/>
        <v>2.0000000000000018E-3</v>
      </c>
      <c r="G71" s="20">
        <f t="shared" si="21"/>
        <v>2.8333333333333335E-3</v>
      </c>
      <c r="H71" s="20">
        <f t="shared" si="21"/>
        <v>-3.5072463768115927E-3</v>
      </c>
      <c r="I71" s="20">
        <f t="shared" si="21"/>
        <v>-2.7328244274809153E-3</v>
      </c>
      <c r="J71" s="20">
        <f t="shared" si="21"/>
        <v>-1.7398373983739807E-3</v>
      </c>
      <c r="K71" s="20">
        <f t="shared" si="21"/>
        <v>-7.5862068965517129E-4</v>
      </c>
      <c r="L71" t="e">
        <f t="shared" si="21"/>
        <v>#DIV/0!</v>
      </c>
      <c r="M71" t="e">
        <f t="shared" si="21"/>
        <v>#DIV/0!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M8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274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</v>
      </c>
      <c r="D8" s="10">
        <v>9</v>
      </c>
      <c r="E8" s="10">
        <v>9</v>
      </c>
      <c r="F8" s="10">
        <v>9</v>
      </c>
      <c r="G8" s="10">
        <v>10</v>
      </c>
      <c r="H8" s="10">
        <v>11</v>
      </c>
      <c r="I8" s="10">
        <v>11</v>
      </c>
      <c r="J8" s="10">
        <v>12</v>
      </c>
      <c r="K8" s="10">
        <v>12</v>
      </c>
      <c r="L8" s="10">
        <v>12</v>
      </c>
      <c r="M8" s="10">
        <v>13</v>
      </c>
    </row>
    <row r="9" spans="1:13" x14ac:dyDescent="0.25">
      <c r="A9" s="7" t="s">
        <v>204</v>
      </c>
      <c r="C9" s="19">
        <v>-2</v>
      </c>
      <c r="D9" s="19">
        <v>-1</v>
      </c>
      <c r="E9" s="19">
        <v>0</v>
      </c>
    </row>
    <row r="10" spans="1:13" x14ac:dyDescent="0.25">
      <c r="A10" s="7" t="s">
        <v>253</v>
      </c>
      <c r="C10" s="10">
        <v>1</v>
      </c>
      <c r="D10" s="10">
        <v>8</v>
      </c>
      <c r="E10" s="10">
        <v>9</v>
      </c>
      <c r="F10" s="10">
        <v>9</v>
      </c>
      <c r="G10" s="10">
        <v>10</v>
      </c>
      <c r="H10" s="10">
        <v>11</v>
      </c>
      <c r="I10" s="10">
        <v>11</v>
      </c>
      <c r="J10" s="10">
        <v>12</v>
      </c>
      <c r="K10" s="10">
        <v>12</v>
      </c>
      <c r="L10" s="10">
        <v>12</v>
      </c>
      <c r="M10" s="10">
        <v>13</v>
      </c>
    </row>
    <row r="11" spans="1:13" x14ac:dyDescent="0.25">
      <c r="A11" s="7" t="s">
        <v>814</v>
      </c>
      <c r="C11" s="10">
        <f t="shared" ref="C11:M11" si="0">SUM(C8,C9)</f>
        <v>0</v>
      </c>
      <c r="D11" s="10">
        <f t="shared" si="0"/>
        <v>8</v>
      </c>
      <c r="E11" s="10">
        <f t="shared" si="0"/>
        <v>9</v>
      </c>
      <c r="F11" s="10">
        <f t="shared" si="0"/>
        <v>9</v>
      </c>
      <c r="G11" s="10">
        <f t="shared" si="0"/>
        <v>10</v>
      </c>
      <c r="H11" s="10">
        <f t="shared" si="0"/>
        <v>11</v>
      </c>
      <c r="I11" s="10">
        <f t="shared" si="0"/>
        <v>11</v>
      </c>
      <c r="J11" s="10">
        <f t="shared" si="0"/>
        <v>12</v>
      </c>
      <c r="K11" s="10">
        <f t="shared" si="0"/>
        <v>12</v>
      </c>
      <c r="L11" s="10">
        <f t="shared" si="0"/>
        <v>12</v>
      </c>
      <c r="M11" s="10">
        <f t="shared" si="0"/>
        <v>13</v>
      </c>
    </row>
    <row r="12" spans="1:13" x14ac:dyDescent="0.25">
      <c r="A12" s="7" t="s">
        <v>825</v>
      </c>
      <c r="C12" s="10">
        <f t="shared" ref="C12:M12" si="1">C11-C10</f>
        <v>-1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1</v>
      </c>
      <c r="D14" s="20">
        <v>0.999</v>
      </c>
      <c r="E14" s="20">
        <v>0.996</v>
      </c>
      <c r="F14" s="20">
        <v>0.98799999999999999</v>
      </c>
      <c r="G14" s="20">
        <v>0.97299999999999998</v>
      </c>
      <c r="H14" s="20">
        <v>0.95099999999999996</v>
      </c>
      <c r="I14" s="20">
        <v>0.92100000000000004</v>
      </c>
      <c r="J14" s="20">
        <v>0.88300000000000001</v>
      </c>
      <c r="K14" s="20">
        <v>0.83699999999999997</v>
      </c>
      <c r="L14" s="20">
        <v>0.78500000000000003</v>
      </c>
      <c r="M14" s="20">
        <v>0.72599999999999998</v>
      </c>
    </row>
    <row r="15" spans="1:13" x14ac:dyDescent="0.25">
      <c r="A15" s="7" t="s">
        <v>208</v>
      </c>
      <c r="C15" s="10">
        <v>1</v>
      </c>
      <c r="D15" s="10">
        <v>8</v>
      </c>
      <c r="E15" s="10">
        <v>9</v>
      </c>
      <c r="F15" s="10">
        <v>9</v>
      </c>
      <c r="G15" s="10">
        <v>10</v>
      </c>
      <c r="H15" s="10">
        <v>10</v>
      </c>
      <c r="I15" s="10">
        <v>10</v>
      </c>
      <c r="J15" s="10">
        <v>10</v>
      </c>
      <c r="K15" s="10">
        <v>10</v>
      </c>
      <c r="L15" s="10">
        <v>10</v>
      </c>
      <c r="M15" s="10">
        <v>9</v>
      </c>
    </row>
    <row r="16" spans="1:13" x14ac:dyDescent="0.25">
      <c r="A16" s="7" t="s">
        <v>815</v>
      </c>
      <c r="C16" s="10">
        <f t="shared" ref="C16:M16" si="2">SUM(C10,C14)</f>
        <v>2</v>
      </c>
      <c r="D16" s="10">
        <f t="shared" si="2"/>
        <v>8.9990000000000006</v>
      </c>
      <c r="E16" s="10">
        <f t="shared" si="2"/>
        <v>9.9960000000000004</v>
      </c>
      <c r="F16" s="10">
        <f t="shared" si="2"/>
        <v>9.9879999999999995</v>
      </c>
      <c r="G16" s="10">
        <f t="shared" si="2"/>
        <v>10.973000000000001</v>
      </c>
      <c r="H16" s="10">
        <f t="shared" si="2"/>
        <v>11.951000000000001</v>
      </c>
      <c r="I16" s="10">
        <f t="shared" si="2"/>
        <v>11.920999999999999</v>
      </c>
      <c r="J16" s="10">
        <f t="shared" si="2"/>
        <v>12.882999999999999</v>
      </c>
      <c r="K16" s="10">
        <f t="shared" si="2"/>
        <v>12.837</v>
      </c>
      <c r="L16" s="10">
        <f t="shared" si="2"/>
        <v>12.785</v>
      </c>
      <c r="M16" s="10">
        <f t="shared" si="2"/>
        <v>13.725999999999999</v>
      </c>
    </row>
    <row r="17" spans="1:13" x14ac:dyDescent="0.25">
      <c r="A17" s="7" t="s">
        <v>826</v>
      </c>
      <c r="C17" s="10">
        <f t="shared" ref="C17:M17" si="3">C16-C15</f>
        <v>1</v>
      </c>
      <c r="D17" s="10">
        <f t="shared" si="3"/>
        <v>0.99900000000000055</v>
      </c>
      <c r="E17" s="10">
        <f t="shared" si="3"/>
        <v>0.99600000000000044</v>
      </c>
      <c r="F17" s="10">
        <f t="shared" si="3"/>
        <v>0.98799999999999955</v>
      </c>
      <c r="G17" s="10">
        <f t="shared" si="3"/>
        <v>0.97300000000000075</v>
      </c>
      <c r="H17" s="10">
        <f t="shared" si="3"/>
        <v>1.9510000000000005</v>
      </c>
      <c r="I17" s="10">
        <f t="shared" si="3"/>
        <v>1.9209999999999994</v>
      </c>
      <c r="J17" s="10">
        <f t="shared" si="3"/>
        <v>2.8829999999999991</v>
      </c>
      <c r="K17" s="10">
        <f t="shared" si="3"/>
        <v>2.8369999999999997</v>
      </c>
      <c r="L17" s="10">
        <f t="shared" si="3"/>
        <v>2.7850000000000001</v>
      </c>
      <c r="M17" s="10">
        <f t="shared" si="3"/>
        <v>4.7259999999999991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</v>
      </c>
      <c r="D19" s="13">
        <v>8</v>
      </c>
      <c r="E19" s="13">
        <v>9</v>
      </c>
      <c r="F19" s="13">
        <v>9</v>
      </c>
      <c r="G19" s="13">
        <v>10</v>
      </c>
      <c r="H19" s="13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9</v>
      </c>
    </row>
    <row r="20" spans="1:13" x14ac:dyDescent="0.25">
      <c r="A20" s="6" t="s">
        <v>106</v>
      </c>
      <c r="C20" s="13">
        <v>0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3</v>
      </c>
      <c r="K20" s="13">
        <v>3</v>
      </c>
      <c r="L20" s="13">
        <v>3</v>
      </c>
      <c r="M20" s="13">
        <v>2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-1</v>
      </c>
      <c r="H21" s="19">
        <v>-1</v>
      </c>
      <c r="I21" s="19">
        <v>-1</v>
      </c>
      <c r="J21" s="19">
        <v>-1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0</v>
      </c>
      <c r="D25" s="13">
        <v>1</v>
      </c>
      <c r="E25" s="13">
        <v>2</v>
      </c>
      <c r="F25" s="13">
        <v>2</v>
      </c>
      <c r="G25" s="13">
        <v>2</v>
      </c>
      <c r="H25" s="13">
        <v>2</v>
      </c>
      <c r="I25" s="13">
        <v>2</v>
      </c>
      <c r="J25" s="13">
        <v>2</v>
      </c>
      <c r="K25" s="13">
        <v>2</v>
      </c>
      <c r="L25" s="13">
        <v>2</v>
      </c>
      <c r="M25" s="13">
        <v>2</v>
      </c>
    </row>
    <row r="26" spans="1:13" x14ac:dyDescent="0.25">
      <c r="A26" s="6" t="s">
        <v>816</v>
      </c>
      <c r="C26" s="13">
        <f t="shared" ref="C26:M26" si="4">SUM(C20,C21)</f>
        <v>0</v>
      </c>
      <c r="D26" s="13">
        <f t="shared" si="4"/>
        <v>2</v>
      </c>
      <c r="E26" s="13">
        <f t="shared" si="4"/>
        <v>2</v>
      </c>
      <c r="F26" s="13">
        <f t="shared" si="4"/>
        <v>2</v>
      </c>
      <c r="G26" s="13">
        <f t="shared" si="4"/>
        <v>1</v>
      </c>
      <c r="H26" s="13">
        <f t="shared" si="4"/>
        <v>1</v>
      </c>
      <c r="I26" s="13">
        <f t="shared" si="4"/>
        <v>2</v>
      </c>
      <c r="J26" s="13">
        <f t="shared" si="4"/>
        <v>2</v>
      </c>
      <c r="K26" s="13">
        <f t="shared" si="4"/>
        <v>3</v>
      </c>
      <c r="L26" s="13">
        <f t="shared" si="4"/>
        <v>3</v>
      </c>
      <c r="M26" s="13">
        <f t="shared" si="4"/>
        <v>2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 t="s">
        <v>820</v>
      </c>
      <c r="B30" s="20"/>
      <c r="C30" s="19">
        <f>C19*B29</f>
        <v>1.4999999999999999E-2</v>
      </c>
      <c r="D30" s="19">
        <f>D19*B29</f>
        <v>0.12</v>
      </c>
      <c r="E30" s="19">
        <f>E19*B29</f>
        <v>0.13500000000000001</v>
      </c>
      <c r="F30" s="19">
        <f>F19*B29</f>
        <v>0.13500000000000001</v>
      </c>
      <c r="G30" s="19">
        <f>G19*B29</f>
        <v>0.15</v>
      </c>
      <c r="H30" s="19">
        <f>H19*B29</f>
        <v>0.15</v>
      </c>
      <c r="I30" s="19">
        <f>I19*B29</f>
        <v>0.15</v>
      </c>
      <c r="J30" s="19">
        <f>J19*B29</f>
        <v>0.15</v>
      </c>
      <c r="K30" s="19">
        <f>K19*B29</f>
        <v>0.15</v>
      </c>
      <c r="L30" s="19">
        <f>L19*B29</f>
        <v>0.15</v>
      </c>
      <c r="M30" s="19">
        <f>M19*B29</f>
        <v>0.13500000000000001</v>
      </c>
    </row>
    <row r="31" spans="1:13" x14ac:dyDescent="0.25">
      <c r="A31" s="7" t="s">
        <v>831</v>
      </c>
      <c r="B31" s="20"/>
      <c r="C31" s="19">
        <f t="shared" ref="C31:M31" si="6">C30-C29</f>
        <v>1.4999999999999999E-2</v>
      </c>
      <c r="D31" s="19">
        <f t="shared" si="6"/>
        <v>0.12</v>
      </c>
      <c r="E31" s="19">
        <f t="shared" si="6"/>
        <v>0.13500000000000001</v>
      </c>
      <c r="F31" s="19">
        <f t="shared" si="6"/>
        <v>0.13500000000000001</v>
      </c>
      <c r="G31" s="19">
        <f t="shared" si="6"/>
        <v>0.15</v>
      </c>
      <c r="H31" s="19">
        <f t="shared" si="6"/>
        <v>0.15</v>
      </c>
      <c r="I31" s="19">
        <f t="shared" si="6"/>
        <v>0.15</v>
      </c>
      <c r="J31" s="19">
        <f t="shared" si="6"/>
        <v>0.15</v>
      </c>
      <c r="K31" s="19">
        <f t="shared" si="6"/>
        <v>0.15</v>
      </c>
      <c r="L31" s="19">
        <f t="shared" si="6"/>
        <v>0.15</v>
      </c>
      <c r="M31" s="19">
        <f t="shared" si="6"/>
        <v>0.13500000000000001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0</v>
      </c>
      <c r="D33" s="13">
        <v>1</v>
      </c>
      <c r="E33" s="13">
        <v>1</v>
      </c>
      <c r="F33" s="13">
        <v>1</v>
      </c>
      <c r="G33" s="13">
        <v>2</v>
      </c>
      <c r="H33" s="13">
        <v>2</v>
      </c>
      <c r="I33" s="13">
        <v>2</v>
      </c>
      <c r="J33" s="13">
        <v>2</v>
      </c>
      <c r="K33" s="13">
        <v>2</v>
      </c>
      <c r="L33" s="13">
        <v>2</v>
      </c>
      <c r="M33" s="13">
        <v>2</v>
      </c>
    </row>
    <row r="34" spans="1:13" x14ac:dyDescent="0.25">
      <c r="A34" s="6" t="s">
        <v>817</v>
      </c>
      <c r="C34" s="13">
        <f t="shared" ref="C34:M34" si="7">SUM(C25,C29)</f>
        <v>0</v>
      </c>
      <c r="D34" s="13">
        <f t="shared" si="7"/>
        <v>1</v>
      </c>
      <c r="E34" s="13">
        <f t="shared" si="7"/>
        <v>2</v>
      </c>
      <c r="F34" s="13">
        <f t="shared" si="7"/>
        <v>2</v>
      </c>
      <c r="G34" s="13">
        <f t="shared" si="7"/>
        <v>2</v>
      </c>
      <c r="H34" s="13">
        <f t="shared" si="7"/>
        <v>2</v>
      </c>
      <c r="I34" s="13">
        <f t="shared" si="7"/>
        <v>2</v>
      </c>
      <c r="J34" s="13">
        <f t="shared" si="7"/>
        <v>2</v>
      </c>
      <c r="K34" s="13">
        <f t="shared" si="7"/>
        <v>2</v>
      </c>
      <c r="L34" s="13">
        <f t="shared" si="7"/>
        <v>2</v>
      </c>
      <c r="M34" s="13">
        <f t="shared" si="7"/>
        <v>2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1</v>
      </c>
      <c r="F35" s="13">
        <f t="shared" si="8"/>
        <v>1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0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</row>
    <row r="38" spans="1:13" x14ac:dyDescent="0.25">
      <c r="A38" s="7" t="s">
        <v>821</v>
      </c>
      <c r="B38" s="20"/>
      <c r="C38" s="31">
        <f>C33*B37</f>
        <v>0</v>
      </c>
      <c r="D38" s="19">
        <f>D33*B37</f>
        <v>0.218</v>
      </c>
      <c r="E38" s="19">
        <f>E33*B37</f>
        <v>0.218</v>
      </c>
      <c r="F38" s="19">
        <f>F33*B37</f>
        <v>0.218</v>
      </c>
      <c r="G38" s="19">
        <f>G33*B37</f>
        <v>0.436</v>
      </c>
      <c r="H38" s="19">
        <f>H33*B37</f>
        <v>0.436</v>
      </c>
      <c r="I38" s="19">
        <f>I33*B37</f>
        <v>0.436</v>
      </c>
      <c r="J38" s="19">
        <f>J33*B37</f>
        <v>0.436</v>
      </c>
      <c r="K38" s="19">
        <f>K33*B37</f>
        <v>0.436</v>
      </c>
      <c r="L38" s="19">
        <f>L33*B37</f>
        <v>0.436</v>
      </c>
      <c r="M38" s="19">
        <f>M33*B37</f>
        <v>0.436</v>
      </c>
    </row>
    <row r="39" spans="1:13" x14ac:dyDescent="0.25">
      <c r="A39" s="7" t="s">
        <v>832</v>
      </c>
      <c r="B39" s="20"/>
      <c r="C39" s="31">
        <f t="shared" ref="C39:M39" si="9">C38-C37</f>
        <v>0</v>
      </c>
      <c r="D39" s="19">
        <f t="shared" si="9"/>
        <v>0.218</v>
      </c>
      <c r="E39" s="19">
        <f t="shared" si="9"/>
        <v>0.218</v>
      </c>
      <c r="F39" s="19">
        <f t="shared" si="9"/>
        <v>0.218</v>
      </c>
      <c r="G39" s="19">
        <f t="shared" si="9"/>
        <v>0.436</v>
      </c>
      <c r="H39" s="19">
        <f t="shared" si="9"/>
        <v>0.436</v>
      </c>
      <c r="I39" s="19">
        <f t="shared" si="9"/>
        <v>0.436</v>
      </c>
      <c r="J39" s="19">
        <f t="shared" si="9"/>
        <v>0.436</v>
      </c>
      <c r="K39" s="19">
        <f t="shared" si="9"/>
        <v>0.436</v>
      </c>
      <c r="L39" s="19">
        <f t="shared" si="9"/>
        <v>0.436</v>
      </c>
      <c r="M39" s="19">
        <f t="shared" si="9"/>
        <v>0.436</v>
      </c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0</v>
      </c>
      <c r="D41" s="13">
        <v>1</v>
      </c>
      <c r="E41" s="13">
        <v>1</v>
      </c>
      <c r="F41" s="13">
        <v>1</v>
      </c>
      <c r="G41" s="13">
        <v>1</v>
      </c>
      <c r="H41" s="13">
        <v>1</v>
      </c>
      <c r="I41" s="13">
        <v>1</v>
      </c>
      <c r="J41" s="13">
        <v>2</v>
      </c>
      <c r="K41" s="13">
        <v>2</v>
      </c>
      <c r="L41" s="13">
        <v>1</v>
      </c>
      <c r="M41" s="13">
        <v>1</v>
      </c>
    </row>
    <row r="42" spans="1:13" x14ac:dyDescent="0.25">
      <c r="A42" s="6" t="s">
        <v>819</v>
      </c>
      <c r="C42" s="13">
        <f t="shared" ref="C42:M42" si="10">C33-C37</f>
        <v>0</v>
      </c>
      <c r="D42" s="13">
        <f t="shared" si="10"/>
        <v>1</v>
      </c>
      <c r="E42" s="13">
        <f t="shared" si="10"/>
        <v>1</v>
      </c>
      <c r="F42" s="13">
        <f t="shared" si="10"/>
        <v>1</v>
      </c>
      <c r="G42" s="13">
        <f t="shared" si="10"/>
        <v>2</v>
      </c>
      <c r="H42" s="13">
        <f t="shared" si="10"/>
        <v>2</v>
      </c>
      <c r="I42" s="13">
        <f t="shared" si="10"/>
        <v>2</v>
      </c>
      <c r="J42" s="13">
        <f t="shared" si="10"/>
        <v>2</v>
      </c>
      <c r="K42" s="13">
        <f t="shared" si="10"/>
        <v>2</v>
      </c>
      <c r="L42" s="13">
        <f t="shared" si="10"/>
        <v>2</v>
      </c>
      <c r="M42" s="13">
        <f t="shared" si="10"/>
        <v>2</v>
      </c>
    </row>
    <row r="43" spans="1:13" x14ac:dyDescent="0.25">
      <c r="A43" s="6" t="s">
        <v>830</v>
      </c>
      <c r="C43" s="13">
        <f t="shared" ref="C43:M43" si="11">C42-C41</f>
        <v>0</v>
      </c>
      <c r="D43" s="13">
        <f t="shared" si="11"/>
        <v>0</v>
      </c>
      <c r="E43" s="13">
        <f t="shared" si="11"/>
        <v>0</v>
      </c>
      <c r="F43" s="13">
        <f t="shared" si="11"/>
        <v>0</v>
      </c>
      <c r="G43" s="13">
        <f t="shared" si="11"/>
        <v>1</v>
      </c>
      <c r="H43" s="13">
        <f t="shared" si="11"/>
        <v>1</v>
      </c>
      <c r="I43" s="13">
        <f t="shared" si="11"/>
        <v>1</v>
      </c>
      <c r="J43" s="13">
        <f t="shared" si="11"/>
        <v>0</v>
      </c>
      <c r="K43" s="13">
        <f t="shared" si="11"/>
        <v>0</v>
      </c>
      <c r="L43" s="13">
        <f t="shared" si="11"/>
        <v>1</v>
      </c>
      <c r="M43" s="13">
        <f t="shared" si="11"/>
        <v>1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0</v>
      </c>
      <c r="D46" s="13">
        <v>1</v>
      </c>
      <c r="E46" s="13">
        <v>1</v>
      </c>
      <c r="F46" s="13">
        <v>1</v>
      </c>
      <c r="G46" s="13">
        <v>1</v>
      </c>
      <c r="H46" s="13">
        <v>1</v>
      </c>
      <c r="I46" s="13">
        <v>1</v>
      </c>
      <c r="J46" s="13">
        <v>1</v>
      </c>
      <c r="K46" s="13">
        <v>1</v>
      </c>
      <c r="L46" s="13">
        <v>1</v>
      </c>
      <c r="M46" s="13">
        <v>1</v>
      </c>
    </row>
    <row r="47" spans="1:13" x14ac:dyDescent="0.25">
      <c r="A47" s="6" t="s">
        <v>818</v>
      </c>
      <c r="C47" s="13">
        <f t="shared" ref="C47:M47" si="12">SUM(C41,C45)</f>
        <v>0</v>
      </c>
      <c r="D47" s="13">
        <f t="shared" si="12"/>
        <v>1</v>
      </c>
      <c r="E47" s="13">
        <f t="shared" si="12"/>
        <v>1</v>
      </c>
      <c r="F47" s="13">
        <f t="shared" si="12"/>
        <v>1</v>
      </c>
      <c r="G47" s="13">
        <f t="shared" si="12"/>
        <v>1</v>
      </c>
      <c r="H47" s="13">
        <f t="shared" si="12"/>
        <v>1</v>
      </c>
      <c r="I47" s="13">
        <f t="shared" si="12"/>
        <v>1</v>
      </c>
      <c r="J47" s="13">
        <f t="shared" si="12"/>
        <v>2</v>
      </c>
      <c r="K47" s="13">
        <f t="shared" si="12"/>
        <v>2</v>
      </c>
      <c r="L47" s="13">
        <f t="shared" si="12"/>
        <v>1</v>
      </c>
      <c r="M47" s="13">
        <f t="shared" si="12"/>
        <v>1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1</v>
      </c>
      <c r="K48" s="13">
        <f t="shared" si="13"/>
        <v>1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0</v>
      </c>
      <c r="D51" s="13">
        <v>1</v>
      </c>
      <c r="E51" s="13">
        <v>1</v>
      </c>
      <c r="F51" s="13">
        <v>1</v>
      </c>
      <c r="G51" s="13">
        <v>1</v>
      </c>
      <c r="H51" s="13">
        <v>1</v>
      </c>
      <c r="I51" s="13">
        <v>1</v>
      </c>
      <c r="J51" s="13">
        <v>1</v>
      </c>
      <c r="K51" s="13">
        <v>1</v>
      </c>
      <c r="L51" s="13">
        <v>0</v>
      </c>
      <c r="M51" s="13">
        <v>0</v>
      </c>
    </row>
    <row r="52" spans="1:13" x14ac:dyDescent="0.25">
      <c r="A52" s="6" t="s">
        <v>822</v>
      </c>
      <c r="C52" s="13">
        <f t="shared" ref="C52:M52" si="14">C46*C50</f>
        <v>0</v>
      </c>
      <c r="D52" s="13">
        <f t="shared" si="14"/>
        <v>0.92530000000000001</v>
      </c>
      <c r="E52" s="13">
        <f t="shared" si="14"/>
        <v>0.83360000000000001</v>
      </c>
      <c r="F52" s="13">
        <f t="shared" si="14"/>
        <v>0.751</v>
      </c>
      <c r="G52" s="13">
        <f t="shared" si="14"/>
        <v>0.67659999999999998</v>
      </c>
      <c r="H52" s="13">
        <f t="shared" si="14"/>
        <v>0.60950000000000004</v>
      </c>
      <c r="I52" s="13">
        <f t="shared" si="14"/>
        <v>0.54910000000000003</v>
      </c>
      <c r="J52" s="13">
        <f t="shared" si="14"/>
        <v>0.49469999999999997</v>
      </c>
      <c r="K52" s="13">
        <f t="shared" si="14"/>
        <v>0.44569999999999999</v>
      </c>
      <c r="L52" s="13">
        <f t="shared" si="14"/>
        <v>0.40150000000000002</v>
      </c>
      <c r="M52" s="13">
        <f t="shared" si="14"/>
        <v>0.36170000000000002</v>
      </c>
    </row>
    <row r="53" spans="1:13" x14ac:dyDescent="0.25">
      <c r="A53" s="6" t="s">
        <v>833</v>
      </c>
      <c r="C53" s="13">
        <f t="shared" ref="C53:M53" si="15">C52-C51</f>
        <v>0</v>
      </c>
      <c r="D53" s="13">
        <f t="shared" si="15"/>
        <v>-7.4699999999999989E-2</v>
      </c>
      <c r="E53" s="13">
        <f t="shared" si="15"/>
        <v>-0.16639999999999999</v>
      </c>
      <c r="F53" s="13">
        <f t="shared" si="15"/>
        <v>-0.249</v>
      </c>
      <c r="G53" s="13">
        <f t="shared" si="15"/>
        <v>-0.32340000000000002</v>
      </c>
      <c r="H53" s="13">
        <f t="shared" si="15"/>
        <v>-0.39049999999999996</v>
      </c>
      <c r="I53" s="13">
        <f t="shared" si="15"/>
        <v>-0.45089999999999997</v>
      </c>
      <c r="J53" s="13">
        <f t="shared" si="15"/>
        <v>-0.50530000000000008</v>
      </c>
      <c r="K53" s="13">
        <f t="shared" si="15"/>
        <v>-0.55430000000000001</v>
      </c>
      <c r="L53" s="13">
        <f t="shared" si="15"/>
        <v>0.40150000000000002</v>
      </c>
      <c r="M53" s="13">
        <f t="shared" si="15"/>
        <v>0.36170000000000002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7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7</v>
      </c>
      <c r="F57" s="10">
        <v>10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1</v>
      </c>
      <c r="F58" s="27">
        <v>20</v>
      </c>
      <c r="G58" s="21">
        <v>8</v>
      </c>
      <c r="H58" s="23">
        <v>8.1</v>
      </c>
      <c r="I58" s="23">
        <v>8.3000000000000007</v>
      </c>
      <c r="J58" s="23">
        <v>8.4</v>
      </c>
    </row>
    <row r="59" spans="1:13" x14ac:dyDescent="0.25">
      <c r="A59" s="6" t="s">
        <v>219</v>
      </c>
      <c r="C59" s="13">
        <v>10</v>
      </c>
      <c r="F59" s="27">
        <v>25</v>
      </c>
      <c r="G59" s="21">
        <v>8</v>
      </c>
      <c r="H59" s="23">
        <v>8.1</v>
      </c>
      <c r="I59" s="23">
        <v>8.3000000000000007</v>
      </c>
      <c r="J59" s="23">
        <v>8.4</v>
      </c>
    </row>
    <row r="60" spans="1:13" x14ac:dyDescent="0.25">
      <c r="E60" s="7" t="s">
        <v>220</v>
      </c>
      <c r="F60" s="27">
        <v>30</v>
      </c>
      <c r="G60" s="21">
        <v>8</v>
      </c>
      <c r="H60" s="23">
        <v>8.1</v>
      </c>
      <c r="I60" s="23">
        <v>8.3000000000000007</v>
      </c>
      <c r="J60" s="23">
        <v>8.4</v>
      </c>
    </row>
    <row r="61" spans="1:13" x14ac:dyDescent="0.25">
      <c r="F61" s="27">
        <v>35</v>
      </c>
      <c r="G61" s="21">
        <v>8</v>
      </c>
      <c r="H61" s="23">
        <v>8.1</v>
      </c>
      <c r="I61" s="23">
        <v>8.3000000000000007</v>
      </c>
      <c r="J61" s="23">
        <v>8.4</v>
      </c>
    </row>
    <row r="62" spans="1:13" x14ac:dyDescent="0.25">
      <c r="F62" s="27">
        <v>40</v>
      </c>
      <c r="G62" s="21">
        <v>8</v>
      </c>
      <c r="H62" s="23">
        <v>8.1</v>
      </c>
      <c r="I62" s="23">
        <v>8.3000000000000007</v>
      </c>
      <c r="J62" s="23">
        <v>8.4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-2E-3</v>
      </c>
      <c r="E64" s="20">
        <v>2.3E-2</v>
      </c>
      <c r="F64" s="20">
        <v>1.4E-2</v>
      </c>
      <c r="G64" s="20">
        <v>7.9000000000000001E-2</v>
      </c>
      <c r="H64" s="20">
        <v>7.1999999999999995E-2</v>
      </c>
      <c r="I64" s="20">
        <v>4.5999999999999999E-2</v>
      </c>
      <c r="J64" s="20">
        <v>4.5999999999999999E-2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>
        <f t="shared" ref="D65:M65" si="16">(D8-C8)/C8</f>
        <v>3.5</v>
      </c>
      <c r="E65" s="20">
        <f t="shared" si="16"/>
        <v>0</v>
      </c>
      <c r="F65" s="20">
        <f t="shared" si="16"/>
        <v>0</v>
      </c>
      <c r="G65" s="20">
        <f t="shared" si="16"/>
        <v>0.1111111111111111</v>
      </c>
      <c r="H65" s="20">
        <f t="shared" si="16"/>
        <v>0.1</v>
      </c>
      <c r="I65" s="20">
        <f t="shared" si="16"/>
        <v>0</v>
      </c>
      <c r="J65" s="20">
        <f t="shared" si="16"/>
        <v>9.0909090909090912E-2</v>
      </c>
      <c r="K65" s="20">
        <f t="shared" si="16"/>
        <v>0</v>
      </c>
      <c r="L65" s="20">
        <f t="shared" si="16"/>
        <v>0</v>
      </c>
      <c r="M65" s="20">
        <f t="shared" si="16"/>
        <v>8.3333333333333329E-2</v>
      </c>
    </row>
    <row r="66" spans="1:13" x14ac:dyDescent="0.25">
      <c r="A66" s="7"/>
      <c r="C66" s="7" t="s">
        <v>836</v>
      </c>
      <c r="D66" s="20">
        <f t="shared" ref="D66:M66" si="17">D65-D64</f>
        <v>3.5019999999999998</v>
      </c>
      <c r="E66" s="20">
        <f t="shared" si="17"/>
        <v>-2.3E-2</v>
      </c>
      <c r="F66" s="20">
        <f t="shared" si="17"/>
        <v>-1.4E-2</v>
      </c>
      <c r="G66" s="20">
        <f t="shared" si="17"/>
        <v>3.2111111111111104E-2</v>
      </c>
      <c r="H66" s="20">
        <f t="shared" si="17"/>
        <v>2.8000000000000011E-2</v>
      </c>
      <c r="I66" s="20">
        <f t="shared" si="17"/>
        <v>-4.5999999999999999E-2</v>
      </c>
      <c r="J66" s="20">
        <f t="shared" si="17"/>
        <v>4.4909090909090912E-2</v>
      </c>
      <c r="K66" s="20">
        <f t="shared" si="17"/>
        <v>-0.03</v>
      </c>
      <c r="L66" s="20">
        <f t="shared" si="17"/>
        <v>-0.03</v>
      </c>
      <c r="M66" s="20">
        <f t="shared" si="17"/>
        <v>5.333333333333333E-2</v>
      </c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0.20300000000000001</v>
      </c>
      <c r="D68" s="20">
        <v>0.19600000000000001</v>
      </c>
      <c r="E68" s="20">
        <v>0.215</v>
      </c>
      <c r="F68" s="20">
        <v>0.22700000000000001</v>
      </c>
      <c r="G68" s="20">
        <v>0.22700000000000001</v>
      </c>
      <c r="H68" s="20">
        <v>0.23799999999999999</v>
      </c>
      <c r="I68" s="20">
        <v>0.249</v>
      </c>
      <c r="J68" s="20">
        <v>0.26</v>
      </c>
      <c r="K68" s="20">
        <v>0.26</v>
      </c>
      <c r="L68" s="20">
        <v>0.26</v>
      </c>
      <c r="M68" s="20">
        <v>0.26</v>
      </c>
    </row>
    <row r="69" spans="1:13" x14ac:dyDescent="0.25">
      <c r="A69" s="7" t="s">
        <v>823</v>
      </c>
      <c r="C69" s="20">
        <f t="shared" ref="C69:M69" si="18">C20/C19</f>
        <v>0</v>
      </c>
      <c r="D69" s="20">
        <f t="shared" si="18"/>
        <v>0.25</v>
      </c>
      <c r="E69" s="20">
        <f t="shared" si="18"/>
        <v>0.22222222222222221</v>
      </c>
      <c r="F69" s="20">
        <f t="shared" si="18"/>
        <v>0.22222222222222221</v>
      </c>
      <c r="G69" s="20">
        <f t="shared" si="18"/>
        <v>0.2</v>
      </c>
      <c r="H69" s="20">
        <f t="shared" si="18"/>
        <v>0.2</v>
      </c>
      <c r="I69" s="20">
        <f t="shared" si="18"/>
        <v>0.3</v>
      </c>
      <c r="J69" s="20">
        <f t="shared" si="18"/>
        <v>0.3</v>
      </c>
      <c r="K69" s="20">
        <f t="shared" si="18"/>
        <v>0.3</v>
      </c>
      <c r="L69" s="20">
        <f t="shared" si="18"/>
        <v>0.3</v>
      </c>
      <c r="M69" s="20">
        <f t="shared" si="18"/>
        <v>0.22222222222222221</v>
      </c>
    </row>
    <row r="70" spans="1:13" x14ac:dyDescent="0.25">
      <c r="A70" s="7" t="s">
        <v>834</v>
      </c>
      <c r="C70" s="20">
        <f t="shared" ref="C70:M70" si="19">C69-C68</f>
        <v>-0.20300000000000001</v>
      </c>
      <c r="D70" s="20">
        <f t="shared" si="19"/>
        <v>5.3999999999999992E-2</v>
      </c>
      <c r="E70" s="20">
        <f t="shared" si="19"/>
        <v>7.2222222222222132E-3</v>
      </c>
      <c r="F70" s="20">
        <f t="shared" si="19"/>
        <v>-4.7777777777777974E-3</v>
      </c>
      <c r="G70" s="20">
        <f t="shared" si="19"/>
        <v>-2.6999999999999996E-2</v>
      </c>
      <c r="H70" s="20">
        <f t="shared" si="19"/>
        <v>-3.7999999999999978E-2</v>
      </c>
      <c r="I70" s="20">
        <f t="shared" si="19"/>
        <v>5.099999999999999E-2</v>
      </c>
      <c r="J70" s="20">
        <f t="shared" si="19"/>
        <v>3.999999999999998E-2</v>
      </c>
      <c r="K70" s="20">
        <f t="shared" si="19"/>
        <v>3.999999999999998E-2</v>
      </c>
      <c r="L70" s="20">
        <f t="shared" si="19"/>
        <v>3.999999999999998E-2</v>
      </c>
      <c r="M70" s="20">
        <f t="shared" si="19"/>
        <v>-3.7777777777777799E-2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0.16800000000000001</v>
      </c>
      <c r="D73" s="20">
        <v>0.16300000000000001</v>
      </c>
      <c r="E73" s="20">
        <v>0.18</v>
      </c>
      <c r="F73" s="20">
        <v>0.17699999999999999</v>
      </c>
      <c r="G73" s="20">
        <v>0.17100000000000001</v>
      </c>
      <c r="H73" s="20">
        <v>0.185</v>
      </c>
      <c r="I73" s="20">
        <v>0.19800000000000001</v>
      </c>
      <c r="J73" s="20">
        <v>0.21099999999999999</v>
      </c>
      <c r="K73" s="20">
        <v>0.21099999999999999</v>
      </c>
      <c r="L73" s="20">
        <v>0.21099999999999999</v>
      </c>
      <c r="M73" s="20">
        <v>0.21099999999999999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3.4000000000000002E-2</v>
      </c>
      <c r="D77" s="20">
        <v>3.4000000000000002E-2</v>
      </c>
      <c r="E77" s="20">
        <v>3.4000000000000002E-2</v>
      </c>
      <c r="F77" s="20">
        <v>3.4000000000000002E-2</v>
      </c>
      <c r="G77" s="20">
        <v>3.4000000000000002E-2</v>
      </c>
      <c r="H77" s="20">
        <v>3.4000000000000002E-2</v>
      </c>
      <c r="I77" s="20">
        <v>3.4000000000000002E-2</v>
      </c>
      <c r="J77" s="20">
        <v>3.4000000000000002E-2</v>
      </c>
      <c r="K77" s="20">
        <v>3.4000000000000002E-2</v>
      </c>
      <c r="L77" s="20">
        <v>3.4000000000000002E-2</v>
      </c>
      <c r="M77" s="20">
        <v>3.4000000000000002E-2</v>
      </c>
    </row>
    <row r="78" spans="1:13" x14ac:dyDescent="0.25">
      <c r="A78" s="7" t="s">
        <v>824</v>
      </c>
      <c r="C78" s="20">
        <f t="shared" ref="C78:M78" si="20">-C45/C19</f>
        <v>0</v>
      </c>
      <c r="D78" s="20">
        <f t="shared" si="20"/>
        <v>0</v>
      </c>
      <c r="E78" s="20">
        <f t="shared" si="20"/>
        <v>0</v>
      </c>
      <c r="F78" s="20">
        <f t="shared" si="20"/>
        <v>0</v>
      </c>
      <c r="G78" s="20">
        <f t="shared" si="20"/>
        <v>0</v>
      </c>
      <c r="H78" s="20">
        <f t="shared" si="20"/>
        <v>0</v>
      </c>
      <c r="I78" s="20">
        <f t="shared" si="20"/>
        <v>0</v>
      </c>
      <c r="J78" s="20">
        <f t="shared" si="20"/>
        <v>0</v>
      </c>
      <c r="K78" s="20">
        <f t="shared" si="20"/>
        <v>0</v>
      </c>
      <c r="L78" s="20">
        <f t="shared" si="20"/>
        <v>0</v>
      </c>
      <c r="M78" s="20">
        <f t="shared" si="20"/>
        <v>0</v>
      </c>
    </row>
    <row r="79" spans="1:13" x14ac:dyDescent="0.25">
      <c r="A79" s="7" t="s">
        <v>835</v>
      </c>
      <c r="C79" s="20">
        <f t="shared" ref="C79:M79" si="21">C78-C77</f>
        <v>-3.4000000000000002E-2</v>
      </c>
      <c r="D79" s="20">
        <f t="shared" si="21"/>
        <v>-3.4000000000000002E-2</v>
      </c>
      <c r="E79" s="20">
        <f t="shared" si="21"/>
        <v>-3.4000000000000002E-2</v>
      </c>
      <c r="F79" s="20">
        <f t="shared" si="21"/>
        <v>-3.4000000000000002E-2</v>
      </c>
      <c r="G79" s="20">
        <f t="shared" si="21"/>
        <v>-3.4000000000000002E-2</v>
      </c>
      <c r="H79" s="20">
        <f t="shared" si="21"/>
        <v>-3.4000000000000002E-2</v>
      </c>
      <c r="I79" s="20">
        <f t="shared" si="21"/>
        <v>-3.4000000000000002E-2</v>
      </c>
      <c r="J79" s="20">
        <f t="shared" si="21"/>
        <v>-3.4000000000000002E-2</v>
      </c>
      <c r="K79" s="20">
        <f t="shared" si="21"/>
        <v>-3.4000000000000002E-2</v>
      </c>
      <c r="L79" s="20">
        <f t="shared" si="21"/>
        <v>-3.4000000000000002E-2</v>
      </c>
      <c r="M79" s="20">
        <f t="shared" si="21"/>
        <v>-3.4000000000000002E-2</v>
      </c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M7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276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</v>
      </c>
      <c r="D8" s="10">
        <v>13</v>
      </c>
      <c r="E8" s="10">
        <v>14</v>
      </c>
      <c r="F8" s="10">
        <v>14</v>
      </c>
      <c r="G8" s="10">
        <v>15</v>
      </c>
      <c r="H8" s="10">
        <v>15</v>
      </c>
      <c r="I8" s="10">
        <v>16</v>
      </c>
      <c r="J8" s="10">
        <v>16</v>
      </c>
      <c r="K8" s="10">
        <v>17</v>
      </c>
      <c r="L8" s="10">
        <v>17</v>
      </c>
      <c r="M8" s="10">
        <v>18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13</v>
      </c>
      <c r="D10" s="10">
        <v>13</v>
      </c>
      <c r="E10" s="10">
        <v>14</v>
      </c>
      <c r="F10" s="10">
        <v>14</v>
      </c>
      <c r="G10" s="10">
        <v>15</v>
      </c>
      <c r="H10" s="10">
        <v>15</v>
      </c>
      <c r="I10" s="10">
        <v>16</v>
      </c>
      <c r="J10" s="10">
        <v>16</v>
      </c>
      <c r="K10" s="10">
        <v>17</v>
      </c>
      <c r="L10" s="10">
        <v>17</v>
      </c>
      <c r="M10" s="10">
        <v>18</v>
      </c>
    </row>
    <row r="11" spans="1:13" x14ac:dyDescent="0.25">
      <c r="A11" s="7" t="s">
        <v>814</v>
      </c>
      <c r="C11" s="10">
        <f t="shared" ref="C11:M11" si="0">SUM(C8,C9)</f>
        <v>13</v>
      </c>
      <c r="D11" s="10">
        <f t="shared" si="0"/>
        <v>13</v>
      </c>
      <c r="E11" s="10">
        <f t="shared" si="0"/>
        <v>14</v>
      </c>
      <c r="F11" s="10">
        <f t="shared" si="0"/>
        <v>14</v>
      </c>
      <c r="G11" s="10">
        <f t="shared" si="0"/>
        <v>15</v>
      </c>
      <c r="H11" s="10">
        <f t="shared" si="0"/>
        <v>15</v>
      </c>
      <c r="I11" s="10">
        <f t="shared" si="0"/>
        <v>16</v>
      </c>
      <c r="J11" s="10">
        <f t="shared" si="0"/>
        <v>16</v>
      </c>
      <c r="K11" s="10">
        <f t="shared" si="0"/>
        <v>17</v>
      </c>
      <c r="L11" s="10">
        <f t="shared" si="0"/>
        <v>17</v>
      </c>
      <c r="M11" s="10">
        <f t="shared" si="0"/>
        <v>18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 s="10">
        <f t="shared" si="1"/>
        <v>0</v>
      </c>
      <c r="M12" s="10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9</v>
      </c>
      <c r="D15" s="10">
        <v>8</v>
      </c>
      <c r="E15" s="10">
        <v>7</v>
      </c>
      <c r="F15" s="10">
        <v>7</v>
      </c>
      <c r="G15" s="10">
        <v>6</v>
      </c>
      <c r="H15" s="10">
        <v>5</v>
      </c>
      <c r="I15" s="10">
        <v>4</v>
      </c>
      <c r="J15" s="10">
        <v>4</v>
      </c>
      <c r="K15" s="10">
        <v>3</v>
      </c>
      <c r="L15" s="10">
        <v>2</v>
      </c>
      <c r="M15" s="10">
        <v>2</v>
      </c>
    </row>
    <row r="16" spans="1:13" x14ac:dyDescent="0.25">
      <c r="A16" s="7" t="s">
        <v>815</v>
      </c>
      <c r="C16" s="10">
        <f t="shared" ref="C16:M16" si="2">SUM(C10,C14)</f>
        <v>13.663</v>
      </c>
      <c r="D16" s="10">
        <f t="shared" si="2"/>
        <v>13.598000000000001</v>
      </c>
      <c r="E16" s="10">
        <f t="shared" si="2"/>
        <v>14.531000000000001</v>
      </c>
      <c r="F16" s="10">
        <f t="shared" si="2"/>
        <v>14.464</v>
      </c>
      <c r="G16" s="10">
        <f t="shared" si="2"/>
        <v>15.399000000000001</v>
      </c>
      <c r="H16" s="10">
        <f t="shared" si="2"/>
        <v>15.337999999999999</v>
      </c>
      <c r="I16" s="10">
        <f t="shared" si="2"/>
        <v>16.282</v>
      </c>
      <c r="J16" s="10">
        <f t="shared" si="2"/>
        <v>16.231000000000002</v>
      </c>
      <c r="K16" s="10">
        <f t="shared" si="2"/>
        <v>17.184999999999999</v>
      </c>
      <c r="L16" s="10">
        <f t="shared" si="2"/>
        <v>17.146000000000001</v>
      </c>
      <c r="M16" s="10">
        <f t="shared" si="2"/>
        <v>18.113</v>
      </c>
    </row>
    <row r="17" spans="1:13" x14ac:dyDescent="0.25">
      <c r="A17" s="7" t="s">
        <v>826</v>
      </c>
      <c r="C17" s="10">
        <f t="shared" ref="C17:M17" si="3">C16-C15</f>
        <v>4.6630000000000003</v>
      </c>
      <c r="D17" s="10">
        <f t="shared" si="3"/>
        <v>5.5980000000000008</v>
      </c>
      <c r="E17" s="10">
        <f t="shared" si="3"/>
        <v>7.5310000000000006</v>
      </c>
      <c r="F17" s="10">
        <f t="shared" si="3"/>
        <v>7.4640000000000004</v>
      </c>
      <c r="G17" s="10">
        <f t="shared" si="3"/>
        <v>9.3990000000000009</v>
      </c>
      <c r="H17" s="10">
        <f t="shared" si="3"/>
        <v>10.337999999999999</v>
      </c>
      <c r="I17" s="10">
        <f t="shared" si="3"/>
        <v>12.282</v>
      </c>
      <c r="J17" s="10">
        <f t="shared" si="3"/>
        <v>12.231000000000002</v>
      </c>
      <c r="K17" s="10">
        <f t="shared" si="3"/>
        <v>14.184999999999999</v>
      </c>
      <c r="L17" s="10">
        <f t="shared" si="3"/>
        <v>15.146000000000001</v>
      </c>
      <c r="M17" s="10">
        <f t="shared" si="3"/>
        <v>16.113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7" t="s">
        <v>205</v>
      </c>
      <c r="C19" s="10">
        <v>9</v>
      </c>
      <c r="D19" s="10">
        <v>8</v>
      </c>
      <c r="E19" s="10">
        <v>7</v>
      </c>
      <c r="F19" s="10">
        <v>7</v>
      </c>
      <c r="G19" s="10">
        <v>6</v>
      </c>
      <c r="H19" s="10">
        <v>5</v>
      </c>
      <c r="I19" s="10">
        <v>4</v>
      </c>
      <c r="J19" s="10">
        <v>4</v>
      </c>
      <c r="K19" s="10">
        <v>3</v>
      </c>
      <c r="L19" s="10">
        <v>2</v>
      </c>
      <c r="M19" s="10">
        <v>2</v>
      </c>
    </row>
    <row r="20" spans="1:13" x14ac:dyDescent="0.25">
      <c r="A20" s="6" t="s">
        <v>106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2</v>
      </c>
      <c r="D25" s="13">
        <v>2</v>
      </c>
      <c r="E25" s="13">
        <v>2</v>
      </c>
      <c r="F25" s="13">
        <v>1</v>
      </c>
      <c r="G25" s="13">
        <v>1</v>
      </c>
      <c r="H25" s="13">
        <v>1</v>
      </c>
      <c r="I25" s="13">
        <v>1</v>
      </c>
      <c r="J25" s="13">
        <v>1</v>
      </c>
      <c r="K25" s="13">
        <v>1</v>
      </c>
      <c r="L25" s="13">
        <v>1</v>
      </c>
      <c r="M25" s="13">
        <v>0</v>
      </c>
    </row>
    <row r="26" spans="1:13" x14ac:dyDescent="0.25">
      <c r="A26" s="6" t="s">
        <v>816</v>
      </c>
      <c r="C26" s="13">
        <f t="shared" ref="C26:M26" si="4">SUM(C20,C21)</f>
        <v>2</v>
      </c>
      <c r="D26" s="13">
        <f t="shared" si="4"/>
        <v>2</v>
      </c>
      <c r="E26" s="13">
        <f t="shared" si="4"/>
        <v>2</v>
      </c>
      <c r="F26" s="13">
        <f t="shared" si="4"/>
        <v>2</v>
      </c>
      <c r="G26" s="13">
        <f t="shared" si="4"/>
        <v>2</v>
      </c>
      <c r="H26" s="13">
        <f t="shared" si="4"/>
        <v>1</v>
      </c>
      <c r="I26" s="13">
        <f t="shared" si="4"/>
        <v>1</v>
      </c>
      <c r="J26" s="13">
        <f t="shared" si="4"/>
        <v>1</v>
      </c>
      <c r="K26" s="13">
        <f t="shared" si="4"/>
        <v>1</v>
      </c>
      <c r="L26" s="13">
        <f t="shared" si="4"/>
        <v>1</v>
      </c>
      <c r="M26" s="13">
        <f t="shared" si="4"/>
        <v>1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 s="13">
        <f t="shared" ca="1" si="5"/>
        <v>0</v>
      </c>
      <c r="M27" s="13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 t="s">
        <v>820</v>
      </c>
      <c r="B30" s="20"/>
      <c r="C30" s="19">
        <f>C19*B29</f>
        <v>0.13500000000000001</v>
      </c>
      <c r="D30" s="19">
        <f>D19*B29</f>
        <v>0.12</v>
      </c>
      <c r="E30" s="19">
        <f>E19*B29</f>
        <v>0.105</v>
      </c>
      <c r="F30" s="19">
        <f>F19*B29</f>
        <v>0.105</v>
      </c>
      <c r="G30" s="19">
        <f>G19*B29</f>
        <v>0.09</v>
      </c>
      <c r="H30" s="19">
        <f>H19*B29</f>
        <v>7.4999999999999997E-2</v>
      </c>
      <c r="I30" s="19">
        <f>I19*B29</f>
        <v>0.06</v>
      </c>
      <c r="J30" s="19">
        <f>J19*B29</f>
        <v>0.06</v>
      </c>
      <c r="K30" s="19">
        <f>K19*B29</f>
        <v>4.4999999999999998E-2</v>
      </c>
      <c r="L30" s="19">
        <f>L19*B29</f>
        <v>0.03</v>
      </c>
      <c r="M30" s="19">
        <f>M19*B29</f>
        <v>0.03</v>
      </c>
    </row>
    <row r="31" spans="1:13" x14ac:dyDescent="0.25">
      <c r="A31" s="7" t="s">
        <v>831</v>
      </c>
      <c r="B31" s="20"/>
      <c r="C31" s="19">
        <f t="shared" ref="C31:M31" si="6">C30-C29</f>
        <v>0.13500000000000001</v>
      </c>
      <c r="D31" s="19">
        <f t="shared" si="6"/>
        <v>0.12</v>
      </c>
      <c r="E31" s="19">
        <f t="shared" si="6"/>
        <v>0.105</v>
      </c>
      <c r="F31" s="19">
        <f t="shared" si="6"/>
        <v>0.105</v>
      </c>
      <c r="G31" s="19">
        <f t="shared" si="6"/>
        <v>0.09</v>
      </c>
      <c r="H31" s="19">
        <f t="shared" si="6"/>
        <v>7.4999999999999997E-2</v>
      </c>
      <c r="I31" s="19">
        <f t="shared" si="6"/>
        <v>0.06</v>
      </c>
      <c r="J31" s="19">
        <f t="shared" si="6"/>
        <v>0.06</v>
      </c>
      <c r="K31" s="19">
        <f t="shared" si="6"/>
        <v>4.4999999999999998E-2</v>
      </c>
      <c r="L31" s="19">
        <f t="shared" si="6"/>
        <v>0.03</v>
      </c>
      <c r="M31" s="19">
        <f t="shared" si="6"/>
        <v>0.03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1</v>
      </c>
      <c r="J33" s="13">
        <v>1</v>
      </c>
      <c r="K33" s="13">
        <v>1</v>
      </c>
      <c r="L33" s="13">
        <v>0</v>
      </c>
      <c r="M33" s="13">
        <v>0</v>
      </c>
    </row>
    <row r="34" spans="1:13" x14ac:dyDescent="0.25">
      <c r="A34" s="6" t="s">
        <v>817</v>
      </c>
      <c r="C34" s="13">
        <f t="shared" ref="C34:M34" si="7">SUM(C25,C29)</f>
        <v>2</v>
      </c>
      <c r="D34" s="13">
        <f t="shared" si="7"/>
        <v>2</v>
      </c>
      <c r="E34" s="13">
        <f t="shared" si="7"/>
        <v>2</v>
      </c>
      <c r="F34" s="13">
        <f t="shared" si="7"/>
        <v>1</v>
      </c>
      <c r="G34" s="13">
        <f t="shared" si="7"/>
        <v>1</v>
      </c>
      <c r="H34" s="13">
        <f t="shared" si="7"/>
        <v>1</v>
      </c>
      <c r="I34" s="13">
        <f t="shared" si="7"/>
        <v>1</v>
      </c>
      <c r="J34" s="13">
        <f t="shared" si="7"/>
        <v>1</v>
      </c>
      <c r="K34" s="13">
        <f t="shared" si="7"/>
        <v>1</v>
      </c>
      <c r="L34" s="13">
        <f t="shared" si="7"/>
        <v>1</v>
      </c>
      <c r="M34" s="13">
        <f t="shared" si="7"/>
        <v>0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1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 s="13">
        <f t="shared" si="8"/>
        <v>1</v>
      </c>
      <c r="M35" s="13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</row>
    <row r="38" spans="1:13" x14ac:dyDescent="0.25">
      <c r="A38" s="7" t="s">
        <v>821</v>
      </c>
      <c r="B38" s="20"/>
      <c r="C38" s="19">
        <f>C33*B37</f>
        <v>0.436</v>
      </c>
      <c r="D38" s="19">
        <f>D33*B37</f>
        <v>0.436</v>
      </c>
      <c r="E38" s="19">
        <f>E33*B37</f>
        <v>0.218</v>
      </c>
      <c r="F38" s="19">
        <f>F33*B37</f>
        <v>0.218</v>
      </c>
      <c r="G38" s="19">
        <f>G33*B37</f>
        <v>0.218</v>
      </c>
      <c r="H38" s="19">
        <f>H33*B37</f>
        <v>0.218</v>
      </c>
      <c r="I38" s="19">
        <f>I33*B37</f>
        <v>0.218</v>
      </c>
      <c r="J38" s="19">
        <f>J33*B37</f>
        <v>0.218</v>
      </c>
      <c r="K38" s="19">
        <f>K33*B37</f>
        <v>0.218</v>
      </c>
      <c r="L38" s="19">
        <f>L33*B37</f>
        <v>0</v>
      </c>
      <c r="M38" s="19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0.436</v>
      </c>
      <c r="D39" s="19">
        <f t="shared" si="9"/>
        <v>0.436</v>
      </c>
      <c r="E39" s="19">
        <f t="shared" si="9"/>
        <v>0.218</v>
      </c>
      <c r="F39" s="19">
        <f t="shared" si="9"/>
        <v>0.218</v>
      </c>
      <c r="G39" s="19">
        <f t="shared" si="9"/>
        <v>0.218</v>
      </c>
      <c r="H39" s="19">
        <f t="shared" si="9"/>
        <v>0.218</v>
      </c>
      <c r="I39" s="19">
        <f t="shared" si="9"/>
        <v>0.218</v>
      </c>
      <c r="J39" s="19">
        <f t="shared" si="9"/>
        <v>0.218</v>
      </c>
      <c r="K39" s="19">
        <f t="shared" si="9"/>
        <v>0.218</v>
      </c>
      <c r="L39" s="19">
        <f t="shared" si="9"/>
        <v>0</v>
      </c>
      <c r="M39" s="1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1</v>
      </c>
      <c r="D41" s="13">
        <v>1</v>
      </c>
      <c r="E41" s="13">
        <v>1</v>
      </c>
      <c r="F41" s="13">
        <v>1</v>
      </c>
      <c r="G41" s="13">
        <v>1</v>
      </c>
      <c r="H41" s="13">
        <v>1</v>
      </c>
      <c r="I41" s="13">
        <v>1</v>
      </c>
      <c r="J41" s="13">
        <v>1</v>
      </c>
      <c r="K41" s="13">
        <v>0</v>
      </c>
      <c r="L41" s="13">
        <v>0</v>
      </c>
      <c r="M41" s="13">
        <v>0</v>
      </c>
    </row>
    <row r="42" spans="1:13" x14ac:dyDescent="0.25">
      <c r="A42" s="6" t="s">
        <v>819</v>
      </c>
      <c r="C42" s="13">
        <f t="shared" ref="C42:M42" si="10">C33-C37</f>
        <v>2</v>
      </c>
      <c r="D42" s="13">
        <f t="shared" si="10"/>
        <v>2</v>
      </c>
      <c r="E42" s="13">
        <f t="shared" si="10"/>
        <v>1</v>
      </c>
      <c r="F42" s="13">
        <f t="shared" si="10"/>
        <v>1</v>
      </c>
      <c r="G42" s="13">
        <f t="shared" si="10"/>
        <v>1</v>
      </c>
      <c r="H42" s="13">
        <f t="shared" si="10"/>
        <v>1</v>
      </c>
      <c r="I42" s="13">
        <f t="shared" si="10"/>
        <v>1</v>
      </c>
      <c r="J42" s="13">
        <f t="shared" si="10"/>
        <v>1</v>
      </c>
      <c r="K42" s="13">
        <f t="shared" si="10"/>
        <v>1</v>
      </c>
      <c r="L42" s="13">
        <f t="shared" si="10"/>
        <v>0</v>
      </c>
      <c r="M42" s="13">
        <f t="shared" si="10"/>
        <v>0</v>
      </c>
    </row>
    <row r="43" spans="1:13" x14ac:dyDescent="0.25">
      <c r="A43" s="6" t="s">
        <v>830</v>
      </c>
      <c r="C43" s="13">
        <f t="shared" ref="C43:M43" si="11">C42-C41</f>
        <v>1</v>
      </c>
      <c r="D43" s="13">
        <f t="shared" si="11"/>
        <v>1</v>
      </c>
      <c r="E43" s="13">
        <f t="shared" si="11"/>
        <v>0</v>
      </c>
      <c r="F43" s="13">
        <f t="shared" si="11"/>
        <v>0</v>
      </c>
      <c r="G43" s="13">
        <f t="shared" si="11"/>
        <v>0</v>
      </c>
      <c r="H43" s="13">
        <f t="shared" si="11"/>
        <v>0</v>
      </c>
      <c r="I43" s="13">
        <f t="shared" si="11"/>
        <v>0</v>
      </c>
      <c r="J43" s="13">
        <f t="shared" si="11"/>
        <v>0</v>
      </c>
      <c r="K43" s="13">
        <f t="shared" si="11"/>
        <v>1</v>
      </c>
      <c r="L43" s="13">
        <f t="shared" si="11"/>
        <v>0</v>
      </c>
      <c r="M43" s="1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1</v>
      </c>
      <c r="D46" s="13">
        <v>1</v>
      </c>
      <c r="E46" s="13">
        <v>1</v>
      </c>
      <c r="F46" s="13">
        <v>1</v>
      </c>
      <c r="G46" s="13">
        <v>1</v>
      </c>
      <c r="H46" s="13">
        <v>1</v>
      </c>
      <c r="I46" s="13">
        <v>1</v>
      </c>
      <c r="J46" s="13">
        <v>0</v>
      </c>
      <c r="K46" s="13">
        <v>0</v>
      </c>
      <c r="L46" s="13">
        <v>0</v>
      </c>
      <c r="M46" s="13">
        <v>0</v>
      </c>
    </row>
    <row r="47" spans="1:13" x14ac:dyDescent="0.25">
      <c r="A47" s="6" t="s">
        <v>818</v>
      </c>
      <c r="C47" s="13">
        <f t="shared" ref="C47:M47" si="12">SUM(C41,C45)</f>
        <v>1</v>
      </c>
      <c r="D47" s="13">
        <f t="shared" si="12"/>
        <v>1</v>
      </c>
      <c r="E47" s="13">
        <f t="shared" si="12"/>
        <v>1</v>
      </c>
      <c r="F47" s="13">
        <f t="shared" si="12"/>
        <v>1</v>
      </c>
      <c r="G47" s="13">
        <f t="shared" si="12"/>
        <v>1</v>
      </c>
      <c r="H47" s="13">
        <f t="shared" si="12"/>
        <v>1</v>
      </c>
      <c r="I47" s="13">
        <f t="shared" si="12"/>
        <v>1</v>
      </c>
      <c r="J47" s="13">
        <f t="shared" si="12"/>
        <v>1</v>
      </c>
      <c r="K47" s="13">
        <f t="shared" si="12"/>
        <v>0</v>
      </c>
      <c r="L47" s="13">
        <f t="shared" si="12"/>
        <v>0</v>
      </c>
      <c r="M47" s="13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1</v>
      </c>
      <c r="K48" s="13">
        <f t="shared" si="13"/>
        <v>0</v>
      </c>
      <c r="L48" s="13">
        <f t="shared" si="13"/>
        <v>0</v>
      </c>
      <c r="M48" s="13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</row>
    <row r="52" spans="1:13" x14ac:dyDescent="0.25">
      <c r="A52" s="6" t="s">
        <v>822</v>
      </c>
      <c r="C52" s="13">
        <f t="shared" ref="C52:M52" si="14">C46*C50</f>
        <v>0.32590000000000002</v>
      </c>
      <c r="D52" s="13">
        <f t="shared" si="14"/>
        <v>0.29360000000000003</v>
      </c>
      <c r="E52" s="13">
        <f t="shared" si="14"/>
        <v>0.26450000000000001</v>
      </c>
      <c r="F52" s="13">
        <f t="shared" si="14"/>
        <v>0.23830000000000001</v>
      </c>
      <c r="G52" s="13">
        <f t="shared" si="14"/>
        <v>0.2147</v>
      </c>
      <c r="H52" s="13">
        <f t="shared" si="14"/>
        <v>0.19339999999999999</v>
      </c>
      <c r="I52" s="13">
        <f t="shared" si="14"/>
        <v>0.17419999999999999</v>
      </c>
      <c r="J52" s="13">
        <f t="shared" si="14"/>
        <v>0</v>
      </c>
      <c r="K52" s="13">
        <f t="shared" si="14"/>
        <v>0</v>
      </c>
      <c r="L52" s="13">
        <f t="shared" si="14"/>
        <v>0</v>
      </c>
      <c r="M52" s="13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0.32590000000000002</v>
      </c>
      <c r="D53" s="13">
        <f t="shared" si="15"/>
        <v>0.29360000000000003</v>
      </c>
      <c r="E53" s="13">
        <f t="shared" si="15"/>
        <v>0.26450000000000001</v>
      </c>
      <c r="F53" s="13">
        <f t="shared" si="15"/>
        <v>0.23830000000000001</v>
      </c>
      <c r="G53" s="13">
        <f t="shared" si="15"/>
        <v>0.2147</v>
      </c>
      <c r="H53" s="13">
        <f t="shared" si="15"/>
        <v>0.19339999999999999</v>
      </c>
      <c r="I53" s="13">
        <f t="shared" si="15"/>
        <v>0.17419999999999999</v>
      </c>
      <c r="J53" s="13">
        <f t="shared" si="15"/>
        <v>0</v>
      </c>
      <c r="K53" s="13">
        <f t="shared" si="15"/>
        <v>0</v>
      </c>
      <c r="L53" s="13">
        <f t="shared" si="15"/>
        <v>0</v>
      </c>
      <c r="M53" s="1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>
        <f t="shared" ref="D57:M57" si="16">(D8-C8)/C8</f>
        <v>0</v>
      </c>
      <c r="E57" s="20">
        <f t="shared" si="16"/>
        <v>7.6923076923076927E-2</v>
      </c>
      <c r="F57" s="20">
        <f t="shared" si="16"/>
        <v>0</v>
      </c>
      <c r="G57" s="20">
        <f t="shared" si="16"/>
        <v>7.1428571428571425E-2</v>
      </c>
      <c r="H57" s="20">
        <f t="shared" si="16"/>
        <v>0</v>
      </c>
      <c r="I57" s="20">
        <f t="shared" si="16"/>
        <v>6.6666666666666666E-2</v>
      </c>
      <c r="J57" s="20">
        <f t="shared" si="16"/>
        <v>0</v>
      </c>
      <c r="K57" s="20">
        <f t="shared" si="16"/>
        <v>6.25E-2</v>
      </c>
      <c r="L57" s="20">
        <f t="shared" si="16"/>
        <v>0</v>
      </c>
      <c r="M57" s="20">
        <f t="shared" si="16"/>
        <v>5.8823529411764705E-2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-0.03</v>
      </c>
      <c r="E58" s="20">
        <f t="shared" si="17"/>
        <v>4.6923076923076928E-2</v>
      </c>
      <c r="F58" s="20">
        <f t="shared" si="17"/>
        <v>-0.03</v>
      </c>
      <c r="G58" s="20">
        <f t="shared" si="17"/>
        <v>4.1428571428571426E-2</v>
      </c>
      <c r="H58" s="20">
        <f t="shared" si="17"/>
        <v>-0.03</v>
      </c>
      <c r="I58" s="20">
        <f t="shared" si="17"/>
        <v>3.6666666666666667E-2</v>
      </c>
      <c r="J58" s="20">
        <f t="shared" si="17"/>
        <v>-0.03</v>
      </c>
      <c r="K58" s="20">
        <f t="shared" si="17"/>
        <v>3.2500000000000001E-2</v>
      </c>
      <c r="L58" s="20">
        <f t="shared" si="17"/>
        <v>-0.03</v>
      </c>
      <c r="M58" s="20">
        <f t="shared" si="17"/>
        <v>2.8823529411764706E-2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0.26</v>
      </c>
      <c r="D60" s="20">
        <v>0.26</v>
      </c>
      <c r="E60" s="20">
        <v>0.26</v>
      </c>
      <c r="F60" s="20">
        <v>0.26</v>
      </c>
      <c r="G60" s="20">
        <v>0.26</v>
      </c>
      <c r="H60" s="20">
        <v>0.26</v>
      </c>
      <c r="I60" s="20">
        <v>0.26</v>
      </c>
      <c r="J60" s="20">
        <v>0.26</v>
      </c>
      <c r="K60" s="20">
        <v>0.26</v>
      </c>
      <c r="L60" s="20">
        <v>0.26</v>
      </c>
      <c r="M60" s="20">
        <v>0.26</v>
      </c>
    </row>
    <row r="61" spans="1:13" x14ac:dyDescent="0.25">
      <c r="A61" s="7" t="s">
        <v>823</v>
      </c>
      <c r="C61" s="20">
        <f t="shared" ref="C61:M61" si="18">C20/C19</f>
        <v>0.22222222222222221</v>
      </c>
      <c r="D61" s="20">
        <f t="shared" si="18"/>
        <v>0.25</v>
      </c>
      <c r="E61" s="20">
        <f t="shared" si="18"/>
        <v>0.2857142857142857</v>
      </c>
      <c r="F61" s="20">
        <f t="shared" si="18"/>
        <v>0.2857142857142857</v>
      </c>
      <c r="G61" s="20">
        <f t="shared" si="18"/>
        <v>0.33333333333333331</v>
      </c>
      <c r="H61" s="20">
        <f t="shared" si="18"/>
        <v>0.2</v>
      </c>
      <c r="I61" s="20">
        <f t="shared" si="18"/>
        <v>0.25</v>
      </c>
      <c r="J61" s="20">
        <f t="shared" si="18"/>
        <v>0.25</v>
      </c>
      <c r="K61" s="20">
        <f t="shared" si="18"/>
        <v>0.33333333333333331</v>
      </c>
      <c r="L61" s="20">
        <f t="shared" si="18"/>
        <v>0.5</v>
      </c>
      <c r="M61" s="20">
        <f t="shared" si="18"/>
        <v>0.5</v>
      </c>
    </row>
    <row r="62" spans="1:13" x14ac:dyDescent="0.25">
      <c r="A62" s="7" t="s">
        <v>834</v>
      </c>
      <c r="C62" s="20">
        <f t="shared" ref="C62:M62" si="19">C61-C60</f>
        <v>-3.7777777777777799E-2</v>
      </c>
      <c r="D62" s="20">
        <f t="shared" si="19"/>
        <v>-1.0000000000000009E-2</v>
      </c>
      <c r="E62" s="20">
        <f t="shared" si="19"/>
        <v>2.571428571428569E-2</v>
      </c>
      <c r="F62" s="20">
        <f t="shared" si="19"/>
        <v>2.571428571428569E-2</v>
      </c>
      <c r="G62" s="20">
        <f t="shared" si="19"/>
        <v>7.3333333333333306E-2</v>
      </c>
      <c r="H62" s="20">
        <f t="shared" si="19"/>
        <v>-0.06</v>
      </c>
      <c r="I62" s="20">
        <f t="shared" si="19"/>
        <v>-1.0000000000000009E-2</v>
      </c>
      <c r="J62" s="20">
        <f t="shared" si="19"/>
        <v>-1.0000000000000009E-2</v>
      </c>
      <c r="K62" s="20">
        <f t="shared" si="19"/>
        <v>7.3333333333333306E-2</v>
      </c>
      <c r="L62" s="20">
        <f t="shared" si="19"/>
        <v>0.24</v>
      </c>
      <c r="M62" s="20">
        <f t="shared" si="19"/>
        <v>0.24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0.21099999999999999</v>
      </c>
      <c r="D65" s="20">
        <v>0.21099999999999999</v>
      </c>
      <c r="E65" s="20">
        <v>0.21099999999999999</v>
      </c>
      <c r="F65" s="20">
        <v>0.21099999999999999</v>
      </c>
      <c r="G65" s="20">
        <v>0.21099999999999999</v>
      </c>
      <c r="H65" s="20">
        <v>0.21099999999999999</v>
      </c>
      <c r="I65" s="20">
        <v>0.21099999999999999</v>
      </c>
      <c r="J65" s="20">
        <v>0.21099999999999999</v>
      </c>
      <c r="K65" s="20">
        <v>0.21099999999999999</v>
      </c>
      <c r="L65" s="20">
        <v>0.21099999999999999</v>
      </c>
      <c r="M65" s="20">
        <v>0.21099999999999999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3.4000000000000002E-2</v>
      </c>
      <c r="D69" s="20">
        <v>3.4000000000000002E-2</v>
      </c>
      <c r="E69" s="20">
        <v>3.4000000000000002E-2</v>
      </c>
      <c r="F69" s="20">
        <v>3.4000000000000002E-2</v>
      </c>
      <c r="G69" s="20">
        <v>3.4000000000000002E-2</v>
      </c>
      <c r="H69" s="20">
        <v>3.4000000000000002E-2</v>
      </c>
      <c r="I69" s="20">
        <v>3.4000000000000002E-2</v>
      </c>
      <c r="J69" s="20">
        <v>3.4000000000000002E-2</v>
      </c>
      <c r="K69" s="20">
        <v>3.4000000000000002E-2</v>
      </c>
      <c r="L69" s="20">
        <v>3.4000000000000002E-2</v>
      </c>
      <c r="M69" s="20">
        <v>3.4000000000000002E-2</v>
      </c>
    </row>
    <row r="70" spans="1:13" x14ac:dyDescent="0.25">
      <c r="A70" s="7" t="s">
        <v>824</v>
      </c>
      <c r="C70" s="20">
        <f t="shared" ref="C70:M70" si="20">-C45/C19</f>
        <v>0</v>
      </c>
      <c r="D70" s="20">
        <f t="shared" si="20"/>
        <v>0</v>
      </c>
      <c r="E70" s="20">
        <f t="shared" si="20"/>
        <v>0</v>
      </c>
      <c r="F70" s="20">
        <f t="shared" si="20"/>
        <v>0</v>
      </c>
      <c r="G70" s="20">
        <f t="shared" si="20"/>
        <v>0</v>
      </c>
      <c r="H70" s="20">
        <f t="shared" si="20"/>
        <v>0</v>
      </c>
      <c r="I70" s="20">
        <f t="shared" si="20"/>
        <v>0</v>
      </c>
      <c r="J70" s="20">
        <f t="shared" si="20"/>
        <v>0</v>
      </c>
      <c r="K70" s="20">
        <f t="shared" si="20"/>
        <v>0</v>
      </c>
      <c r="L70" s="20">
        <f t="shared" si="20"/>
        <v>0</v>
      </c>
      <c r="M70" s="20">
        <f t="shared" si="20"/>
        <v>0</v>
      </c>
    </row>
    <row r="71" spans="1:13" x14ac:dyDescent="0.25">
      <c r="A71" s="7" t="s">
        <v>835</v>
      </c>
      <c r="C71" s="20">
        <f t="shared" ref="C71:M71" si="21">C70-C69</f>
        <v>-3.4000000000000002E-2</v>
      </c>
      <c r="D71" s="20">
        <f t="shared" si="21"/>
        <v>-3.4000000000000002E-2</v>
      </c>
      <c r="E71" s="20">
        <f t="shared" si="21"/>
        <v>-3.4000000000000002E-2</v>
      </c>
      <c r="F71" s="20">
        <f t="shared" si="21"/>
        <v>-3.4000000000000002E-2</v>
      </c>
      <c r="G71" s="20">
        <f t="shared" si="21"/>
        <v>-3.4000000000000002E-2</v>
      </c>
      <c r="H71" s="20">
        <f t="shared" si="21"/>
        <v>-3.4000000000000002E-2</v>
      </c>
      <c r="I71" s="20">
        <f t="shared" si="21"/>
        <v>-3.4000000000000002E-2</v>
      </c>
      <c r="J71" s="20">
        <f t="shared" si="21"/>
        <v>-3.4000000000000002E-2</v>
      </c>
      <c r="K71" s="20">
        <f t="shared" si="21"/>
        <v>-3.4000000000000002E-2</v>
      </c>
      <c r="L71" s="20">
        <f t="shared" si="21"/>
        <v>-3.4000000000000002E-2</v>
      </c>
      <c r="M71" s="20">
        <f t="shared" si="21"/>
        <v>-3.4000000000000002E-2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M77"/>
  <sheetViews>
    <sheetView workbookViewId="0">
      <selection activeCell="C22" sqref="C22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277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18</v>
      </c>
      <c r="D8" s="10">
        <v>19</v>
      </c>
      <c r="E8" s="10">
        <v>19</v>
      </c>
      <c r="F8" s="10">
        <v>20</v>
      </c>
      <c r="G8" s="10">
        <v>20</v>
      </c>
      <c r="H8" s="10">
        <v>21</v>
      </c>
      <c r="I8" s="10">
        <v>22</v>
      </c>
      <c r="J8" s="10">
        <v>22</v>
      </c>
      <c r="K8" s="10">
        <v>23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18</v>
      </c>
      <c r="D10" s="10">
        <v>19</v>
      </c>
      <c r="E10" s="10">
        <v>19</v>
      </c>
      <c r="F10" s="10">
        <v>20</v>
      </c>
      <c r="G10" s="10">
        <v>20</v>
      </c>
      <c r="H10" s="10">
        <v>21</v>
      </c>
      <c r="I10" s="10">
        <v>22</v>
      </c>
      <c r="J10" s="10">
        <v>22</v>
      </c>
      <c r="K10" s="10">
        <v>23</v>
      </c>
    </row>
    <row r="11" spans="1:13" x14ac:dyDescent="0.25">
      <c r="A11" s="7" t="s">
        <v>814</v>
      </c>
      <c r="C11" s="10">
        <f t="shared" ref="C11:M11" si="0">SUM(C8,C9)</f>
        <v>18</v>
      </c>
      <c r="D11" s="10">
        <f t="shared" si="0"/>
        <v>19</v>
      </c>
      <c r="E11" s="10">
        <f t="shared" si="0"/>
        <v>19</v>
      </c>
      <c r="F11" s="10">
        <f t="shared" si="0"/>
        <v>20</v>
      </c>
      <c r="G11" s="10">
        <f t="shared" si="0"/>
        <v>20</v>
      </c>
      <c r="H11" s="10">
        <f t="shared" si="0"/>
        <v>21</v>
      </c>
      <c r="I11" s="10">
        <f t="shared" si="0"/>
        <v>22</v>
      </c>
      <c r="J11" s="10">
        <f t="shared" si="0"/>
        <v>22</v>
      </c>
      <c r="K11" s="10">
        <f t="shared" si="0"/>
        <v>23</v>
      </c>
      <c r="L11">
        <f t="shared" si="0"/>
        <v>0</v>
      </c>
      <c r="M11">
        <f t="shared" si="0"/>
        <v>0</v>
      </c>
    </row>
    <row r="12" spans="1:13" x14ac:dyDescent="0.25">
      <c r="A12" s="7" t="s">
        <v>825</v>
      </c>
      <c r="C12" s="10">
        <f t="shared" ref="C12:M12" si="1">C11-C10</f>
        <v>0</v>
      </c>
      <c r="D12" s="10">
        <f t="shared" si="1"/>
        <v>0</v>
      </c>
      <c r="E12" s="10">
        <f t="shared" si="1"/>
        <v>0</v>
      </c>
      <c r="F12" s="10">
        <f t="shared" si="1"/>
        <v>0</v>
      </c>
      <c r="G12" s="10">
        <f t="shared" si="1"/>
        <v>0</v>
      </c>
      <c r="H12" s="10">
        <f t="shared" si="1"/>
        <v>0</v>
      </c>
      <c r="I12" s="10">
        <f t="shared" si="1"/>
        <v>0</v>
      </c>
      <c r="J12" s="10">
        <f t="shared" si="1"/>
        <v>0</v>
      </c>
      <c r="K12" s="10">
        <f t="shared" si="1"/>
        <v>0</v>
      </c>
      <c r="L12">
        <f t="shared" si="1"/>
        <v>0</v>
      </c>
      <c r="M12">
        <f t="shared" si="1"/>
        <v>0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2</v>
      </c>
      <c r="D15" s="10">
        <v>1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</row>
    <row r="16" spans="1:13" x14ac:dyDescent="0.25">
      <c r="A16" s="7" t="s">
        <v>815</v>
      </c>
      <c r="C16" s="10">
        <f t="shared" ref="C16:M16" si="2">SUM(C10,C14)</f>
        <v>18.085999999999999</v>
      </c>
      <c r="D16" s="10">
        <f t="shared" si="2"/>
        <v>19.064</v>
      </c>
      <c r="E16" s="10">
        <f t="shared" si="2"/>
        <v>19.047000000000001</v>
      </c>
      <c r="F16" s="10">
        <f t="shared" si="2"/>
        <v>20.033000000000001</v>
      </c>
      <c r="G16" s="10">
        <f t="shared" si="2"/>
        <v>20.023</v>
      </c>
      <c r="H16" s="10">
        <f t="shared" si="2"/>
        <v>21.015999999999998</v>
      </c>
      <c r="I16" s="10">
        <f t="shared" si="2"/>
        <v>22.010999999999999</v>
      </c>
      <c r="J16" s="10">
        <f t="shared" si="2"/>
        <v>22.007000000000001</v>
      </c>
      <c r="K16" s="10">
        <f t="shared" si="2"/>
        <v>23.004999999999999</v>
      </c>
      <c r="L16">
        <f t="shared" si="2"/>
        <v>0</v>
      </c>
      <c r="M16">
        <f t="shared" si="2"/>
        <v>0</v>
      </c>
    </row>
    <row r="17" spans="1:13" x14ac:dyDescent="0.25">
      <c r="A17" s="7" t="s">
        <v>826</v>
      </c>
      <c r="C17" s="10">
        <f t="shared" ref="C17:M17" si="3">C16-C15</f>
        <v>16.085999999999999</v>
      </c>
      <c r="D17" s="10">
        <f t="shared" si="3"/>
        <v>18.064</v>
      </c>
      <c r="E17" s="10">
        <f t="shared" si="3"/>
        <v>18.047000000000001</v>
      </c>
      <c r="F17" s="10">
        <f t="shared" si="3"/>
        <v>19.033000000000001</v>
      </c>
      <c r="G17" s="10">
        <f t="shared" si="3"/>
        <v>20.023</v>
      </c>
      <c r="H17" s="10">
        <f t="shared" si="3"/>
        <v>21.015999999999998</v>
      </c>
      <c r="I17" s="10">
        <f t="shared" si="3"/>
        <v>22.010999999999999</v>
      </c>
      <c r="J17" s="10">
        <f t="shared" si="3"/>
        <v>22.007000000000001</v>
      </c>
      <c r="K17" s="10">
        <f t="shared" si="3"/>
        <v>23.004999999999999</v>
      </c>
      <c r="L17">
        <f t="shared" si="3"/>
        <v>0</v>
      </c>
      <c r="M17">
        <f t="shared" si="3"/>
        <v>0</v>
      </c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7" t="s">
        <v>205</v>
      </c>
      <c r="C19" s="10">
        <v>2</v>
      </c>
      <c r="D19" s="10">
        <v>1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</row>
    <row r="20" spans="1:13" x14ac:dyDescent="0.25">
      <c r="A20" s="6" t="s">
        <v>106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1:13" x14ac:dyDescent="0.25">
      <c r="A26" s="6" t="s">
        <v>816</v>
      </c>
      <c r="C26" s="13">
        <f t="shared" ref="C26:M26" si="4">SUM(C20,C21)</f>
        <v>0</v>
      </c>
      <c r="D26" s="13">
        <f t="shared" si="4"/>
        <v>0</v>
      </c>
      <c r="E26" s="13">
        <f t="shared" si="4"/>
        <v>0</v>
      </c>
      <c r="F26" s="13">
        <f t="shared" si="4"/>
        <v>0</v>
      </c>
      <c r="G26" s="13">
        <f t="shared" si="4"/>
        <v>0</v>
      </c>
      <c r="H26" s="13">
        <f t="shared" si="4"/>
        <v>0</v>
      </c>
      <c r="I26" s="13">
        <f t="shared" si="4"/>
        <v>0</v>
      </c>
      <c r="J26" s="13">
        <f t="shared" si="4"/>
        <v>0</v>
      </c>
      <c r="K26" s="13">
        <f t="shared" si="4"/>
        <v>0</v>
      </c>
      <c r="L26">
        <f t="shared" si="4"/>
        <v>0</v>
      </c>
      <c r="M26">
        <f t="shared" si="4"/>
        <v>0</v>
      </c>
    </row>
    <row r="27" spans="1:13" x14ac:dyDescent="0.25">
      <c r="A27" s="6" t="s">
        <v>827</v>
      </c>
      <c r="C27" s="13">
        <f t="shared" ref="C27:M27" ca="1" si="5">C26-C27</f>
        <v>0</v>
      </c>
      <c r="D27" s="13">
        <f t="shared" ca="1" si="5"/>
        <v>0</v>
      </c>
      <c r="E27" s="13">
        <f t="shared" ca="1" si="5"/>
        <v>0</v>
      </c>
      <c r="F27" s="13">
        <f t="shared" ca="1" si="5"/>
        <v>0</v>
      </c>
      <c r="G27" s="13">
        <f t="shared" ca="1" si="5"/>
        <v>0</v>
      </c>
      <c r="H27" s="13">
        <f t="shared" ca="1" si="5"/>
        <v>0</v>
      </c>
      <c r="I27" s="13">
        <f t="shared" ca="1" si="5"/>
        <v>0</v>
      </c>
      <c r="J27" s="13">
        <f t="shared" ca="1" si="5"/>
        <v>0</v>
      </c>
      <c r="K27" s="13">
        <f t="shared" ca="1" si="5"/>
        <v>0</v>
      </c>
      <c r="L27">
        <f t="shared" ca="1" si="5"/>
        <v>0</v>
      </c>
      <c r="M27">
        <f t="shared" ca="1" si="5"/>
        <v>0</v>
      </c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 t="s">
        <v>820</v>
      </c>
      <c r="B30" s="20"/>
      <c r="C30" s="19">
        <f>C19*B29</f>
        <v>0.03</v>
      </c>
      <c r="D30" s="19">
        <f>D19*B29</f>
        <v>1.4999999999999999E-2</v>
      </c>
      <c r="E30" s="19">
        <f>E19*B29</f>
        <v>1.4999999999999999E-2</v>
      </c>
      <c r="F30" s="19">
        <f>F19*B29</f>
        <v>1.4999999999999999E-2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>
        <f>L19*B29</f>
        <v>0</v>
      </c>
      <c r="M30">
        <f>M19*B29</f>
        <v>0</v>
      </c>
    </row>
    <row r="31" spans="1:13" x14ac:dyDescent="0.25">
      <c r="A31" s="7" t="s">
        <v>831</v>
      </c>
      <c r="B31" s="20"/>
      <c r="C31" s="19">
        <f t="shared" ref="C31:M31" si="6">C30-C29</f>
        <v>0.03</v>
      </c>
      <c r="D31" s="19">
        <f t="shared" si="6"/>
        <v>1.4999999999999999E-2</v>
      </c>
      <c r="E31" s="19">
        <f t="shared" si="6"/>
        <v>1.4999999999999999E-2</v>
      </c>
      <c r="F31" s="19">
        <f t="shared" si="6"/>
        <v>1.4999999999999999E-2</v>
      </c>
      <c r="G31" s="19">
        <f t="shared" si="6"/>
        <v>0</v>
      </c>
      <c r="H31" s="19">
        <f t="shared" si="6"/>
        <v>0</v>
      </c>
      <c r="I31" s="19">
        <f t="shared" si="6"/>
        <v>0</v>
      </c>
      <c r="J31" s="19">
        <f t="shared" si="6"/>
        <v>0</v>
      </c>
      <c r="K31" s="19">
        <f t="shared" si="6"/>
        <v>0</v>
      </c>
      <c r="L31">
        <f t="shared" si="6"/>
        <v>0</v>
      </c>
      <c r="M31">
        <f t="shared" si="6"/>
        <v>0</v>
      </c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0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1:13" x14ac:dyDescent="0.25">
      <c r="A34" s="6" t="s">
        <v>817</v>
      </c>
      <c r="C34" s="13">
        <f t="shared" ref="C34:M34" si="7">SUM(C25,C29)</f>
        <v>0</v>
      </c>
      <c r="D34" s="13">
        <f t="shared" si="7"/>
        <v>0</v>
      </c>
      <c r="E34" s="13">
        <f t="shared" si="7"/>
        <v>0</v>
      </c>
      <c r="F34" s="13">
        <f t="shared" si="7"/>
        <v>0</v>
      </c>
      <c r="G34" s="13">
        <f t="shared" si="7"/>
        <v>0</v>
      </c>
      <c r="H34" s="13">
        <f t="shared" si="7"/>
        <v>0</v>
      </c>
      <c r="I34" s="13">
        <f t="shared" si="7"/>
        <v>0</v>
      </c>
      <c r="J34" s="13">
        <f t="shared" si="7"/>
        <v>0</v>
      </c>
      <c r="K34" s="13">
        <f t="shared" si="7"/>
        <v>0</v>
      </c>
      <c r="L34">
        <f t="shared" si="7"/>
        <v>0</v>
      </c>
      <c r="M34">
        <f t="shared" si="7"/>
        <v>0</v>
      </c>
    </row>
    <row r="35" spans="1:13" x14ac:dyDescent="0.25">
      <c r="A35" s="6" t="s">
        <v>828</v>
      </c>
      <c r="C35" s="13">
        <f t="shared" ref="C35:M35" si="8">C34-C33</f>
        <v>0</v>
      </c>
      <c r="D35" s="13">
        <f t="shared" si="8"/>
        <v>0</v>
      </c>
      <c r="E35" s="13">
        <f t="shared" si="8"/>
        <v>0</v>
      </c>
      <c r="F35" s="13">
        <f t="shared" si="8"/>
        <v>0</v>
      </c>
      <c r="G35" s="13">
        <f t="shared" si="8"/>
        <v>0</v>
      </c>
      <c r="H35" s="13">
        <f t="shared" si="8"/>
        <v>0</v>
      </c>
      <c r="I35" s="13">
        <f t="shared" si="8"/>
        <v>0</v>
      </c>
      <c r="J35" s="13">
        <f t="shared" si="8"/>
        <v>0</v>
      </c>
      <c r="K35" s="13">
        <f t="shared" si="8"/>
        <v>0</v>
      </c>
      <c r="L35">
        <f t="shared" si="8"/>
        <v>0</v>
      </c>
      <c r="M35">
        <f t="shared" si="8"/>
        <v>0</v>
      </c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 t="s">
        <v>821</v>
      </c>
      <c r="B38" s="20"/>
      <c r="C38" s="19">
        <f>C33*B37</f>
        <v>0</v>
      </c>
      <c r="D38" s="19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 t="s">
        <v>832</v>
      </c>
      <c r="B39" s="20"/>
      <c r="C39" s="19">
        <f t="shared" ref="C39:M39" si="9">C38-C37</f>
        <v>0</v>
      </c>
      <c r="D39" s="19">
        <f t="shared" si="9"/>
        <v>0</v>
      </c>
      <c r="E39" s="19">
        <f t="shared" si="9"/>
        <v>0</v>
      </c>
      <c r="F39" s="19">
        <f t="shared" si="9"/>
        <v>0</v>
      </c>
      <c r="G39" s="19">
        <f t="shared" si="9"/>
        <v>0</v>
      </c>
      <c r="H39" s="19">
        <f t="shared" si="9"/>
        <v>0</v>
      </c>
      <c r="I39" s="19">
        <f t="shared" si="9"/>
        <v>0</v>
      </c>
      <c r="J39" s="19">
        <f t="shared" si="9"/>
        <v>0</v>
      </c>
      <c r="K39" s="19">
        <f t="shared" si="9"/>
        <v>0</v>
      </c>
      <c r="L39">
        <f t="shared" si="9"/>
        <v>0</v>
      </c>
      <c r="M39">
        <f t="shared" si="9"/>
        <v>0</v>
      </c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1:13" x14ac:dyDescent="0.25">
      <c r="A42" s="6" t="s">
        <v>819</v>
      </c>
      <c r="C42" s="13">
        <f t="shared" ref="C42:M42" si="10">C33-C37</f>
        <v>0</v>
      </c>
      <c r="D42" s="13">
        <f t="shared" si="10"/>
        <v>0</v>
      </c>
      <c r="E42" s="13">
        <f t="shared" si="10"/>
        <v>0</v>
      </c>
      <c r="F42" s="13">
        <f t="shared" si="10"/>
        <v>0</v>
      </c>
      <c r="G42" s="13">
        <f t="shared" si="10"/>
        <v>0</v>
      </c>
      <c r="H42" s="13">
        <f t="shared" si="10"/>
        <v>0</v>
      </c>
      <c r="I42" s="13">
        <f t="shared" si="10"/>
        <v>0</v>
      </c>
      <c r="J42" s="13">
        <f t="shared" si="10"/>
        <v>0</v>
      </c>
      <c r="K42" s="13">
        <f t="shared" si="10"/>
        <v>0</v>
      </c>
      <c r="L42">
        <f t="shared" si="10"/>
        <v>0</v>
      </c>
      <c r="M42">
        <f t="shared" si="10"/>
        <v>0</v>
      </c>
    </row>
    <row r="43" spans="1:13" x14ac:dyDescent="0.25">
      <c r="A43" s="6" t="s">
        <v>830</v>
      </c>
      <c r="C43" s="13">
        <f t="shared" ref="C43:M43" si="11">C42-C41</f>
        <v>0</v>
      </c>
      <c r="D43" s="13">
        <f t="shared" si="11"/>
        <v>0</v>
      </c>
      <c r="E43" s="13">
        <f t="shared" si="11"/>
        <v>0</v>
      </c>
      <c r="F43" s="13">
        <f t="shared" si="11"/>
        <v>0</v>
      </c>
      <c r="G43" s="13">
        <f t="shared" si="11"/>
        <v>0</v>
      </c>
      <c r="H43" s="13">
        <f t="shared" si="11"/>
        <v>0</v>
      </c>
      <c r="I43" s="13">
        <f t="shared" si="11"/>
        <v>0</v>
      </c>
      <c r="J43" s="13">
        <f t="shared" si="11"/>
        <v>0</v>
      </c>
      <c r="K43" s="13">
        <f t="shared" si="11"/>
        <v>0</v>
      </c>
      <c r="L43">
        <f t="shared" si="11"/>
        <v>0</v>
      </c>
      <c r="M43">
        <f t="shared" si="11"/>
        <v>0</v>
      </c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1:13" x14ac:dyDescent="0.25">
      <c r="A47" s="6" t="s">
        <v>818</v>
      </c>
      <c r="C47" s="13">
        <f t="shared" ref="C47:M47" si="12">SUM(C41,C45)</f>
        <v>0</v>
      </c>
      <c r="D47" s="13">
        <f t="shared" si="12"/>
        <v>0</v>
      </c>
      <c r="E47" s="13">
        <f t="shared" si="12"/>
        <v>0</v>
      </c>
      <c r="F47" s="13">
        <f t="shared" si="12"/>
        <v>0</v>
      </c>
      <c r="G47" s="13">
        <f t="shared" si="12"/>
        <v>0</v>
      </c>
      <c r="H47" s="13">
        <f t="shared" si="12"/>
        <v>0</v>
      </c>
      <c r="I47" s="13">
        <f t="shared" si="12"/>
        <v>0</v>
      </c>
      <c r="J47" s="13">
        <f t="shared" si="12"/>
        <v>0</v>
      </c>
      <c r="K47" s="13">
        <f t="shared" si="12"/>
        <v>0</v>
      </c>
      <c r="L47">
        <f t="shared" si="12"/>
        <v>0</v>
      </c>
      <c r="M47">
        <f t="shared" si="12"/>
        <v>0</v>
      </c>
    </row>
    <row r="48" spans="1:13" x14ac:dyDescent="0.25">
      <c r="A48" s="6" t="s">
        <v>829</v>
      </c>
      <c r="C48" s="13">
        <f t="shared" ref="C48:M48" si="13">C47-C46</f>
        <v>0</v>
      </c>
      <c r="D48" s="13">
        <f t="shared" si="13"/>
        <v>0</v>
      </c>
      <c r="E48" s="13">
        <f t="shared" si="13"/>
        <v>0</v>
      </c>
      <c r="F48" s="13">
        <f t="shared" si="13"/>
        <v>0</v>
      </c>
      <c r="G48" s="13">
        <f t="shared" si="13"/>
        <v>0</v>
      </c>
      <c r="H48" s="13">
        <f t="shared" si="13"/>
        <v>0</v>
      </c>
      <c r="I48" s="13">
        <f t="shared" si="13"/>
        <v>0</v>
      </c>
      <c r="J48" s="13">
        <f t="shared" si="13"/>
        <v>0</v>
      </c>
      <c r="K48" s="13">
        <f t="shared" si="13"/>
        <v>0</v>
      </c>
      <c r="L48">
        <f t="shared" si="13"/>
        <v>0</v>
      </c>
      <c r="M48">
        <f t="shared" si="13"/>
        <v>0</v>
      </c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 t="s">
        <v>822</v>
      </c>
      <c r="C52" s="13">
        <f t="shared" ref="C52:M52" si="14">C46*C50</f>
        <v>0</v>
      </c>
      <c r="D52" s="13">
        <f t="shared" si="14"/>
        <v>0</v>
      </c>
      <c r="E52" s="13">
        <f t="shared" si="14"/>
        <v>0</v>
      </c>
      <c r="F52" s="13">
        <f t="shared" si="14"/>
        <v>0</v>
      </c>
      <c r="G52" s="13">
        <f t="shared" si="14"/>
        <v>0</v>
      </c>
      <c r="H52" s="13">
        <f t="shared" si="14"/>
        <v>0</v>
      </c>
      <c r="I52" s="13">
        <f t="shared" si="14"/>
        <v>0</v>
      </c>
      <c r="J52" s="13">
        <f t="shared" si="14"/>
        <v>0</v>
      </c>
      <c r="K52" s="13">
        <f t="shared" si="14"/>
        <v>0</v>
      </c>
      <c r="L52">
        <f t="shared" si="14"/>
        <v>0</v>
      </c>
      <c r="M52">
        <f t="shared" si="14"/>
        <v>0</v>
      </c>
    </row>
    <row r="53" spans="1:13" x14ac:dyDescent="0.25">
      <c r="A53" s="6" t="s">
        <v>833</v>
      </c>
      <c r="C53" s="13">
        <f t="shared" ref="C53:M53" si="15">C52-C51</f>
        <v>0</v>
      </c>
      <c r="D53" s="13">
        <f t="shared" si="15"/>
        <v>0</v>
      </c>
      <c r="E53" s="13">
        <f t="shared" si="15"/>
        <v>0</v>
      </c>
      <c r="F53" s="13">
        <f t="shared" si="15"/>
        <v>0</v>
      </c>
      <c r="G53" s="13">
        <f t="shared" si="15"/>
        <v>0</v>
      </c>
      <c r="H53" s="13">
        <f t="shared" si="15"/>
        <v>0</v>
      </c>
      <c r="I53" s="13">
        <f t="shared" si="15"/>
        <v>0</v>
      </c>
      <c r="J53" s="13">
        <f t="shared" si="15"/>
        <v>0</v>
      </c>
      <c r="K53" s="13">
        <f t="shared" si="15"/>
        <v>0</v>
      </c>
      <c r="L53">
        <f t="shared" si="15"/>
        <v>0</v>
      </c>
      <c r="M53">
        <f t="shared" si="15"/>
        <v>0</v>
      </c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>
        <f t="shared" ref="D57:M57" si="16">(D8-C8)/C8</f>
        <v>5.5555555555555552E-2</v>
      </c>
      <c r="E57" s="20">
        <f t="shared" si="16"/>
        <v>0</v>
      </c>
      <c r="F57" s="20">
        <f t="shared" si="16"/>
        <v>5.2631578947368418E-2</v>
      </c>
      <c r="G57" s="20">
        <f t="shared" si="16"/>
        <v>0</v>
      </c>
      <c r="H57" s="20">
        <f t="shared" si="16"/>
        <v>0.05</v>
      </c>
      <c r="I57" s="20">
        <f t="shared" si="16"/>
        <v>4.7619047619047616E-2</v>
      </c>
      <c r="J57" s="20">
        <f t="shared" si="16"/>
        <v>0</v>
      </c>
      <c r="K57" s="20">
        <f t="shared" si="16"/>
        <v>4.5454545454545456E-2</v>
      </c>
      <c r="L57">
        <f t="shared" si="16"/>
        <v>-1</v>
      </c>
      <c r="M57" t="e">
        <f t="shared" si="16"/>
        <v>#DIV/0!</v>
      </c>
    </row>
    <row r="58" spans="1:13" x14ac:dyDescent="0.25">
      <c r="A58" s="7"/>
      <c r="C58" s="20">
        <f t="shared" ref="C58:M58" si="17">C57-C56</f>
        <v>-0.03</v>
      </c>
      <c r="D58" s="20">
        <f t="shared" si="17"/>
        <v>2.5555555555555554E-2</v>
      </c>
      <c r="E58" s="20">
        <f t="shared" si="17"/>
        <v>-0.03</v>
      </c>
      <c r="F58" s="20">
        <f t="shared" si="17"/>
        <v>2.2631578947368419E-2</v>
      </c>
      <c r="G58" s="20">
        <f t="shared" si="17"/>
        <v>-0.03</v>
      </c>
      <c r="H58" s="20">
        <f t="shared" si="17"/>
        <v>2.0000000000000004E-2</v>
      </c>
      <c r="I58" s="20">
        <f t="shared" si="17"/>
        <v>1.7619047619047618E-2</v>
      </c>
      <c r="J58" s="20">
        <f t="shared" si="17"/>
        <v>-0.03</v>
      </c>
      <c r="K58" s="20">
        <f t="shared" si="17"/>
        <v>1.5454545454545457E-2</v>
      </c>
      <c r="L58">
        <f t="shared" si="17"/>
        <v>-1</v>
      </c>
      <c r="M58" t="e">
        <f t="shared" si="17"/>
        <v>#DIV/0!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0.26</v>
      </c>
      <c r="D60" s="20">
        <v>0.26</v>
      </c>
      <c r="E60" s="20">
        <v>0.26</v>
      </c>
      <c r="F60" s="20">
        <v>0.26</v>
      </c>
      <c r="G60" s="20">
        <v>0.26</v>
      </c>
      <c r="H60" s="20">
        <v>0.26</v>
      </c>
      <c r="I60" s="20">
        <v>0.26</v>
      </c>
      <c r="J60" s="20">
        <v>0.26</v>
      </c>
      <c r="K60" s="20">
        <v>0.26</v>
      </c>
    </row>
    <row r="61" spans="1:13" x14ac:dyDescent="0.25">
      <c r="A61" s="7" t="s">
        <v>823</v>
      </c>
      <c r="C61" s="20">
        <f t="shared" ref="C61:M61" si="18">C20/C19</f>
        <v>0</v>
      </c>
      <c r="D61" s="20">
        <f t="shared" si="18"/>
        <v>0</v>
      </c>
      <c r="E61" s="20">
        <f t="shared" si="18"/>
        <v>0</v>
      </c>
      <c r="F61" s="20">
        <f t="shared" si="18"/>
        <v>0</v>
      </c>
      <c r="G61" s="20" t="e">
        <f t="shared" si="18"/>
        <v>#DIV/0!</v>
      </c>
      <c r="H61" s="20" t="e">
        <f t="shared" si="18"/>
        <v>#DIV/0!</v>
      </c>
      <c r="I61" s="20" t="e">
        <f t="shared" si="18"/>
        <v>#DIV/0!</v>
      </c>
      <c r="J61" s="20" t="e">
        <f t="shared" si="18"/>
        <v>#DIV/0!</v>
      </c>
      <c r="K61" s="20" t="e">
        <f t="shared" si="18"/>
        <v>#DIV/0!</v>
      </c>
      <c r="L61" t="e">
        <f t="shared" si="18"/>
        <v>#DIV/0!</v>
      </c>
      <c r="M61" t="e">
        <f t="shared" si="18"/>
        <v>#DIV/0!</v>
      </c>
    </row>
    <row r="62" spans="1:13" x14ac:dyDescent="0.25">
      <c r="A62" s="7" t="s">
        <v>834</v>
      </c>
      <c r="C62" s="20">
        <f t="shared" ref="C62:M62" si="19">C61-C60</f>
        <v>-0.26</v>
      </c>
      <c r="D62" s="20">
        <f t="shared" si="19"/>
        <v>-0.26</v>
      </c>
      <c r="E62" s="20">
        <f t="shared" si="19"/>
        <v>-0.26</v>
      </c>
      <c r="F62" s="20">
        <f t="shared" si="19"/>
        <v>-0.26</v>
      </c>
      <c r="G62" s="20" t="e">
        <f t="shared" si="19"/>
        <v>#DIV/0!</v>
      </c>
      <c r="H62" s="20" t="e">
        <f t="shared" si="19"/>
        <v>#DIV/0!</v>
      </c>
      <c r="I62" s="20" t="e">
        <f t="shared" si="19"/>
        <v>#DIV/0!</v>
      </c>
      <c r="J62" s="20" t="e">
        <f t="shared" si="19"/>
        <v>#DIV/0!</v>
      </c>
      <c r="K62" s="20" t="e">
        <f t="shared" si="19"/>
        <v>#DIV/0!</v>
      </c>
      <c r="L62" t="e">
        <f t="shared" si="19"/>
        <v>#DIV/0!</v>
      </c>
      <c r="M62" t="e">
        <f t="shared" si="19"/>
        <v>#DIV/0!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0.21099999999999999</v>
      </c>
      <c r="D65" s="20">
        <v>0.21099999999999999</v>
      </c>
      <c r="E65" s="20">
        <v>0.21099999999999999</v>
      </c>
      <c r="F65" s="20">
        <v>0.21099999999999999</v>
      </c>
      <c r="G65" s="20">
        <v>0.21099999999999999</v>
      </c>
      <c r="H65" s="20">
        <v>0.21099999999999999</v>
      </c>
      <c r="I65" s="20">
        <v>0.21099999999999999</v>
      </c>
      <c r="J65" s="20">
        <v>0.21099999999999999</v>
      </c>
      <c r="K65" s="20">
        <v>0.21099999999999999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3.4000000000000002E-2</v>
      </c>
      <c r="D69" s="20">
        <v>3.4000000000000002E-2</v>
      </c>
      <c r="E69" s="20">
        <v>3.4000000000000002E-2</v>
      </c>
      <c r="F69" s="20">
        <v>3.4000000000000002E-2</v>
      </c>
      <c r="G69" s="20">
        <v>3.4000000000000002E-2</v>
      </c>
      <c r="H69" s="20">
        <v>3.4000000000000002E-2</v>
      </c>
      <c r="I69" s="20">
        <v>3.4000000000000002E-2</v>
      </c>
      <c r="J69" s="20">
        <v>3.4000000000000002E-2</v>
      </c>
      <c r="K69" s="20">
        <v>3.4000000000000002E-2</v>
      </c>
    </row>
    <row r="70" spans="1:13" x14ac:dyDescent="0.25">
      <c r="A70" s="7" t="s">
        <v>824</v>
      </c>
      <c r="C70" s="20">
        <f t="shared" ref="C70:M70" si="20">-C45/C19</f>
        <v>0</v>
      </c>
      <c r="D70" s="20">
        <f t="shared" si="20"/>
        <v>0</v>
      </c>
      <c r="E70" s="20">
        <f t="shared" si="20"/>
        <v>0</v>
      </c>
      <c r="F70" s="20">
        <f t="shared" si="20"/>
        <v>0</v>
      </c>
      <c r="G70" s="20" t="e">
        <f t="shared" si="20"/>
        <v>#DIV/0!</v>
      </c>
      <c r="H70" s="20" t="e">
        <f t="shared" si="20"/>
        <v>#DIV/0!</v>
      </c>
      <c r="I70" s="20" t="e">
        <f t="shared" si="20"/>
        <v>#DIV/0!</v>
      </c>
      <c r="J70" s="20" t="e">
        <f t="shared" si="20"/>
        <v>#DIV/0!</v>
      </c>
      <c r="K70" s="20" t="e">
        <f t="shared" si="20"/>
        <v>#DIV/0!</v>
      </c>
      <c r="L70" t="e">
        <f t="shared" si="20"/>
        <v>#DIV/0!</v>
      </c>
      <c r="M70" t="e">
        <f t="shared" si="20"/>
        <v>#DIV/0!</v>
      </c>
    </row>
    <row r="71" spans="1:13" x14ac:dyDescent="0.25">
      <c r="A71" s="7" t="s">
        <v>835</v>
      </c>
      <c r="C71" s="20">
        <f t="shared" ref="C71:M71" si="21">C70-C69</f>
        <v>-3.4000000000000002E-2</v>
      </c>
      <c r="D71" s="20">
        <f t="shared" si="21"/>
        <v>-3.4000000000000002E-2</v>
      </c>
      <c r="E71" s="20">
        <f t="shared" si="21"/>
        <v>-3.4000000000000002E-2</v>
      </c>
      <c r="F71" s="20">
        <f t="shared" si="21"/>
        <v>-3.4000000000000002E-2</v>
      </c>
      <c r="G71" s="20" t="e">
        <f t="shared" si="21"/>
        <v>#DIV/0!</v>
      </c>
      <c r="H71" s="20" t="e">
        <f t="shared" si="21"/>
        <v>#DIV/0!</v>
      </c>
      <c r="I71" s="20" t="e">
        <f t="shared" si="21"/>
        <v>#DIV/0!</v>
      </c>
      <c r="J71" s="20" t="e">
        <f t="shared" si="21"/>
        <v>#DIV/0!</v>
      </c>
      <c r="K71" s="20" t="e">
        <f t="shared" si="21"/>
        <v>#DIV/0!</v>
      </c>
      <c r="L71" t="e">
        <f t="shared" si="21"/>
        <v>#DIV/0!</v>
      </c>
      <c r="M71" t="e">
        <f t="shared" si="21"/>
        <v>#DIV/0!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83"/>
  <sheetViews>
    <sheetView topLeftCell="A28" workbookViewId="0">
      <selection activeCell="C32" sqref="C32"/>
    </sheetView>
  </sheetViews>
  <sheetFormatPr defaultRowHeight="15" x14ac:dyDescent="0.25"/>
  <cols>
    <col min="1" max="1" width="62.7109375" bestFit="1" customWidth="1"/>
  </cols>
  <sheetData>
    <row r="1" spans="1:13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3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s="7" t="s">
        <v>839</v>
      </c>
    </row>
    <row r="3" spans="1:13" x14ac:dyDescent="0.25">
      <c r="A3" s="6" t="s">
        <v>9</v>
      </c>
    </row>
    <row r="4" spans="1:13" x14ac:dyDescent="0.25">
      <c r="A4" s="6" t="s">
        <v>278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279</v>
      </c>
      <c r="C8" s="10">
        <v>59</v>
      </c>
      <c r="D8" s="10">
        <v>216</v>
      </c>
      <c r="E8" s="10">
        <v>199</v>
      </c>
      <c r="F8" s="10">
        <v>185</v>
      </c>
      <c r="G8" s="10">
        <v>176</v>
      </c>
      <c r="H8" s="10">
        <v>166</v>
      </c>
      <c r="I8" s="10">
        <v>157</v>
      </c>
      <c r="J8" s="10">
        <v>149</v>
      </c>
      <c r="K8" s="10">
        <v>142</v>
      </c>
      <c r="L8" s="10">
        <v>131</v>
      </c>
      <c r="M8" s="10">
        <v>122</v>
      </c>
    </row>
    <row r="9" spans="1:13" x14ac:dyDescent="0.25">
      <c r="A9" s="7" t="s">
        <v>280</v>
      </c>
      <c r="D9" s="10">
        <v>6</v>
      </c>
      <c r="E9" s="10">
        <v>7</v>
      </c>
      <c r="F9" s="10">
        <v>11</v>
      </c>
      <c r="G9" s="10">
        <v>8</v>
      </c>
      <c r="H9" s="10">
        <v>8</v>
      </c>
      <c r="I9" s="10">
        <v>9</v>
      </c>
      <c r="J9" s="10">
        <v>9</v>
      </c>
      <c r="K9" s="10">
        <v>4</v>
      </c>
      <c r="L9" s="10">
        <v>4</v>
      </c>
      <c r="M9" s="10">
        <v>4</v>
      </c>
    </row>
    <row r="10" spans="1:13" x14ac:dyDescent="0.25">
      <c r="A10" s="7" t="s">
        <v>281</v>
      </c>
      <c r="B10" s="20">
        <v>0.1</v>
      </c>
      <c r="C10" s="19">
        <v>-6</v>
      </c>
      <c r="D10" s="19">
        <v>-22</v>
      </c>
      <c r="E10" s="19">
        <v>-21</v>
      </c>
      <c r="F10" s="19">
        <v>-20</v>
      </c>
      <c r="G10" s="19">
        <v>-18</v>
      </c>
      <c r="H10" s="19">
        <v>-17</v>
      </c>
      <c r="I10" s="19">
        <v>-17</v>
      </c>
      <c r="J10" s="19">
        <v>-16</v>
      </c>
      <c r="K10" s="19">
        <v>-15</v>
      </c>
      <c r="L10" s="19">
        <v>-14</v>
      </c>
      <c r="M10" s="19">
        <v>-13</v>
      </c>
    </row>
    <row r="11" spans="1:13" x14ac:dyDescent="0.25">
      <c r="A11" s="7" t="s">
        <v>208</v>
      </c>
      <c r="C11" s="10">
        <v>53</v>
      </c>
      <c r="D11" s="10">
        <v>199</v>
      </c>
      <c r="E11" s="10">
        <v>185</v>
      </c>
      <c r="F11" s="10">
        <v>176</v>
      </c>
      <c r="G11" s="10">
        <v>166</v>
      </c>
      <c r="H11" s="10">
        <v>157</v>
      </c>
      <c r="I11" s="10">
        <v>149</v>
      </c>
      <c r="J11" s="10">
        <v>142</v>
      </c>
      <c r="K11" s="10">
        <v>131</v>
      </c>
      <c r="L11" s="10">
        <v>122</v>
      </c>
      <c r="M11" s="10">
        <v>113</v>
      </c>
    </row>
    <row r="12" spans="1:13" x14ac:dyDescent="0.25">
      <c r="A12" s="7" t="s">
        <v>815</v>
      </c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</row>
    <row r="13" spans="1:13" x14ac:dyDescent="0.25">
      <c r="A13" s="7" t="s">
        <v>826</v>
      </c>
      <c r="C13" s="10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s="10" t="e">
        <f t="shared" si="0"/>
        <v>#NAME?</v>
      </c>
      <c r="M13" s="10" t="e">
        <f t="shared" si="0"/>
        <v>#NAME?</v>
      </c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7" t="s">
        <v>282</v>
      </c>
      <c r="C15" s="10">
        <v>56</v>
      </c>
      <c r="D15" s="10">
        <v>208</v>
      </c>
      <c r="E15" s="10">
        <v>192</v>
      </c>
      <c r="F15" s="10">
        <v>181</v>
      </c>
      <c r="G15" s="10">
        <v>171</v>
      </c>
      <c r="H15" s="10">
        <v>162</v>
      </c>
      <c r="I15" s="10">
        <v>153</v>
      </c>
      <c r="J15" s="10">
        <v>145</v>
      </c>
      <c r="K15" s="10">
        <v>137</v>
      </c>
      <c r="L15" s="10">
        <v>127</v>
      </c>
      <c r="M15" s="10">
        <v>117</v>
      </c>
    </row>
    <row r="16" spans="1:13" x14ac:dyDescent="0.25">
      <c r="A16" s="7" t="s">
        <v>283</v>
      </c>
      <c r="C16" s="19">
        <v>-16</v>
      </c>
      <c r="D16" s="19">
        <v>-10</v>
      </c>
      <c r="E16" s="19">
        <v>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</row>
    <row r="17" spans="1:13" x14ac:dyDescent="0.25">
      <c r="A17" s="6" t="s">
        <v>284</v>
      </c>
      <c r="C17" s="13">
        <v>40</v>
      </c>
      <c r="D17" s="13">
        <v>198</v>
      </c>
      <c r="E17" s="13">
        <v>192</v>
      </c>
      <c r="F17" s="13">
        <v>181</v>
      </c>
      <c r="G17" s="13">
        <v>171</v>
      </c>
      <c r="H17" s="13">
        <v>162</v>
      </c>
      <c r="I17" s="13">
        <v>153</v>
      </c>
      <c r="J17" s="13">
        <v>145</v>
      </c>
      <c r="K17" s="13">
        <v>137</v>
      </c>
      <c r="L17" s="13">
        <v>127</v>
      </c>
      <c r="M17" s="13">
        <v>117</v>
      </c>
    </row>
    <row r="18" spans="1:13" x14ac:dyDescent="0.25">
      <c r="A18" s="6" t="s">
        <v>106</v>
      </c>
      <c r="C18" s="13">
        <v>10</v>
      </c>
      <c r="D18" s="13">
        <v>51</v>
      </c>
      <c r="E18" s="13">
        <v>51</v>
      </c>
      <c r="F18" s="13">
        <v>50</v>
      </c>
      <c r="G18" s="13">
        <v>49</v>
      </c>
      <c r="H18" s="13">
        <v>47</v>
      </c>
      <c r="I18" s="13">
        <v>46</v>
      </c>
      <c r="J18" s="13">
        <v>44</v>
      </c>
      <c r="K18" s="13">
        <v>42</v>
      </c>
      <c r="L18" s="13">
        <v>39</v>
      </c>
      <c r="M18" s="13">
        <v>36</v>
      </c>
    </row>
    <row r="19" spans="1:13" x14ac:dyDescent="0.25">
      <c r="A19" s="7" t="s">
        <v>107</v>
      </c>
      <c r="C19" s="19">
        <v>-1</v>
      </c>
      <c r="D19" s="19">
        <v>-7</v>
      </c>
      <c r="E19" s="19">
        <v>-7</v>
      </c>
      <c r="F19" s="19">
        <v>-9</v>
      </c>
      <c r="G19" s="19">
        <v>-9</v>
      </c>
      <c r="H19" s="19">
        <v>-9</v>
      </c>
      <c r="I19" s="19">
        <v>-8</v>
      </c>
      <c r="J19" s="19">
        <v>-7</v>
      </c>
      <c r="K19" s="19">
        <v>-7</v>
      </c>
      <c r="L19" s="19">
        <v>-6</v>
      </c>
      <c r="M19" s="19">
        <v>-6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6" t="s">
        <v>211</v>
      </c>
      <c r="C23" s="13">
        <v>9</v>
      </c>
      <c r="D23" s="13">
        <v>44</v>
      </c>
      <c r="E23" s="13">
        <v>45</v>
      </c>
      <c r="F23" s="13">
        <v>41</v>
      </c>
      <c r="G23" s="13">
        <v>39</v>
      </c>
      <c r="H23" s="13">
        <v>38</v>
      </c>
      <c r="I23" s="13">
        <v>38</v>
      </c>
      <c r="J23" s="13">
        <v>37</v>
      </c>
      <c r="K23" s="13">
        <v>35</v>
      </c>
      <c r="L23" s="13">
        <v>32</v>
      </c>
      <c r="M23" s="13">
        <v>30</v>
      </c>
    </row>
    <row r="24" spans="1:13" x14ac:dyDescent="0.25">
      <c r="A24" s="6" t="s">
        <v>816</v>
      </c>
      <c r="C24" s="13">
        <f t="shared" ref="C24:M24" si="1">SUM(C18,C19)</f>
        <v>9</v>
      </c>
      <c r="D24" s="13">
        <f t="shared" si="1"/>
        <v>44</v>
      </c>
      <c r="E24" s="13">
        <f t="shared" si="1"/>
        <v>44</v>
      </c>
      <c r="F24" s="13">
        <f t="shared" si="1"/>
        <v>41</v>
      </c>
      <c r="G24" s="13">
        <f t="shared" si="1"/>
        <v>40</v>
      </c>
      <c r="H24" s="13">
        <f t="shared" si="1"/>
        <v>38</v>
      </c>
      <c r="I24" s="13">
        <f t="shared" si="1"/>
        <v>38</v>
      </c>
      <c r="J24" s="13">
        <f t="shared" si="1"/>
        <v>37</v>
      </c>
      <c r="K24" s="13">
        <f t="shared" si="1"/>
        <v>35</v>
      </c>
      <c r="L24" s="13">
        <f t="shared" si="1"/>
        <v>33</v>
      </c>
      <c r="M24" s="13">
        <f t="shared" si="1"/>
        <v>30</v>
      </c>
    </row>
    <row r="25" spans="1:13" x14ac:dyDescent="0.25">
      <c r="A25" s="6" t="s">
        <v>827</v>
      </c>
      <c r="C25" s="13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 s="13">
        <f t="shared" ca="1" si="2"/>
        <v>0</v>
      </c>
      <c r="M25" s="13">
        <f t="shared" ca="1" si="2"/>
        <v>0</v>
      </c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x14ac:dyDescent="0.25">
      <c r="A27" s="7" t="s">
        <v>210</v>
      </c>
      <c r="B27" s="20">
        <v>1.4999999999999999E-2</v>
      </c>
      <c r="C27" s="19">
        <v>-1</v>
      </c>
      <c r="D27" s="19">
        <v>-3</v>
      </c>
      <c r="E27" s="19">
        <v>-3</v>
      </c>
      <c r="F27" s="19">
        <v>-3</v>
      </c>
      <c r="G27" s="19">
        <v>-3</v>
      </c>
      <c r="H27" s="19">
        <v>-2</v>
      </c>
      <c r="I27" s="19">
        <v>-2</v>
      </c>
      <c r="J27" s="19">
        <v>-2</v>
      </c>
      <c r="K27" s="19">
        <v>-2</v>
      </c>
      <c r="L27" s="19">
        <v>-2</v>
      </c>
      <c r="M27" s="19">
        <v>-2</v>
      </c>
    </row>
    <row r="28" spans="1:13" x14ac:dyDescent="0.25">
      <c r="A28" s="7" t="s">
        <v>820</v>
      </c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</row>
    <row r="29" spans="1:13" x14ac:dyDescent="0.25">
      <c r="A29" s="7" t="s">
        <v>831</v>
      </c>
      <c r="B29" s="20"/>
      <c r="C29" s="19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s="19" t="e">
        <f t="shared" si="3"/>
        <v>#NAME?</v>
      </c>
      <c r="M29" s="19" t="e">
        <f t="shared" si="3"/>
        <v>#NAME?</v>
      </c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7" t="s">
        <v>285</v>
      </c>
      <c r="B31" s="20">
        <v>0.15</v>
      </c>
      <c r="C31" s="19">
        <v>-6</v>
      </c>
      <c r="D31" s="19">
        <v>-30</v>
      </c>
      <c r="E31" s="19">
        <v>-29</v>
      </c>
      <c r="F31" s="19">
        <v>-27</v>
      </c>
      <c r="G31" s="19">
        <v>-26</v>
      </c>
      <c r="H31" s="19">
        <v>-24</v>
      </c>
      <c r="I31" s="19">
        <v>-23</v>
      </c>
      <c r="J31" s="19">
        <v>-22</v>
      </c>
      <c r="K31" s="19">
        <v>-20</v>
      </c>
      <c r="L31" s="19">
        <v>-19</v>
      </c>
      <c r="M31" s="19">
        <v>-18</v>
      </c>
    </row>
    <row r="32" spans="1:13" x14ac:dyDescent="0.25">
      <c r="A32" s="6" t="s">
        <v>108</v>
      </c>
      <c r="C32" s="13">
        <v>2</v>
      </c>
      <c r="D32" s="13">
        <v>11</v>
      </c>
      <c r="E32" s="13">
        <v>13</v>
      </c>
      <c r="F32" s="13">
        <v>11</v>
      </c>
      <c r="G32" s="13">
        <v>11</v>
      </c>
      <c r="H32" s="13">
        <v>12</v>
      </c>
      <c r="I32" s="13">
        <v>13</v>
      </c>
      <c r="J32" s="13">
        <v>13</v>
      </c>
      <c r="K32" s="13">
        <v>12</v>
      </c>
      <c r="L32" s="13">
        <v>11</v>
      </c>
      <c r="M32" s="13">
        <v>11</v>
      </c>
    </row>
    <row r="33" spans="1:13" x14ac:dyDescent="0.25">
      <c r="A33" s="6" t="s">
        <v>817</v>
      </c>
      <c r="C33" s="13">
        <f t="shared" ref="C33:M33" si="4">SUM(C23,C27)</f>
        <v>8</v>
      </c>
      <c r="D33" s="13">
        <f t="shared" si="4"/>
        <v>41</v>
      </c>
      <c r="E33" s="13">
        <f t="shared" si="4"/>
        <v>42</v>
      </c>
      <c r="F33" s="13">
        <f t="shared" si="4"/>
        <v>38</v>
      </c>
      <c r="G33" s="13">
        <f t="shared" si="4"/>
        <v>36</v>
      </c>
      <c r="H33" s="13">
        <f t="shared" si="4"/>
        <v>36</v>
      </c>
      <c r="I33" s="13">
        <f t="shared" si="4"/>
        <v>36</v>
      </c>
      <c r="J33" s="13">
        <f t="shared" si="4"/>
        <v>35</v>
      </c>
      <c r="K33" s="13">
        <f t="shared" si="4"/>
        <v>33</v>
      </c>
      <c r="L33" s="13">
        <f t="shared" si="4"/>
        <v>30</v>
      </c>
      <c r="M33" s="13">
        <f t="shared" si="4"/>
        <v>28</v>
      </c>
    </row>
    <row r="34" spans="1:13" x14ac:dyDescent="0.25">
      <c r="A34" s="6" t="s">
        <v>828</v>
      </c>
      <c r="C34" s="13">
        <f t="shared" ref="C34:M34" si="5">C33-C32</f>
        <v>6</v>
      </c>
      <c r="D34" s="13">
        <f t="shared" si="5"/>
        <v>30</v>
      </c>
      <c r="E34" s="13">
        <f t="shared" si="5"/>
        <v>29</v>
      </c>
      <c r="F34" s="13">
        <f t="shared" si="5"/>
        <v>27</v>
      </c>
      <c r="G34" s="13">
        <f t="shared" si="5"/>
        <v>25</v>
      </c>
      <c r="H34" s="13">
        <f t="shared" si="5"/>
        <v>24</v>
      </c>
      <c r="I34" s="13">
        <f t="shared" si="5"/>
        <v>23</v>
      </c>
      <c r="J34" s="13">
        <f t="shared" si="5"/>
        <v>22</v>
      </c>
      <c r="K34" s="13">
        <f t="shared" si="5"/>
        <v>21</v>
      </c>
      <c r="L34" s="13">
        <f t="shared" si="5"/>
        <v>19</v>
      </c>
      <c r="M34" s="13">
        <f t="shared" si="5"/>
        <v>17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7" t="s">
        <v>212</v>
      </c>
      <c r="B36" s="20">
        <v>0.218</v>
      </c>
      <c r="C36" s="31">
        <v>-1</v>
      </c>
      <c r="D36" s="19">
        <v>-2</v>
      </c>
      <c r="E36" s="19">
        <v>-3</v>
      </c>
      <c r="F36" s="19">
        <v>-2</v>
      </c>
      <c r="G36" s="19">
        <v>-2</v>
      </c>
      <c r="H36" s="19">
        <v>-3</v>
      </c>
      <c r="I36" s="19">
        <v>-3</v>
      </c>
      <c r="J36" s="19">
        <v>-3</v>
      </c>
      <c r="K36" s="19">
        <v>-3</v>
      </c>
      <c r="L36" s="19">
        <v>-2</v>
      </c>
      <c r="M36" s="19">
        <v>-2</v>
      </c>
    </row>
    <row r="37" spans="1:13" x14ac:dyDescent="0.25">
      <c r="A37" s="7" t="s">
        <v>821</v>
      </c>
      <c r="B37" s="20"/>
      <c r="C37" s="31">
        <f>C32*B36</f>
        <v>0.436</v>
      </c>
      <c r="D37" s="19">
        <f>D32*B36</f>
        <v>2.3980000000000001</v>
      </c>
      <c r="E37" s="19">
        <f>E32*B36</f>
        <v>2.8340000000000001</v>
      </c>
      <c r="F37" s="19">
        <f>F32*B36</f>
        <v>2.3980000000000001</v>
      </c>
      <c r="G37" s="19">
        <f>G32*B36</f>
        <v>2.3980000000000001</v>
      </c>
      <c r="H37" s="19">
        <f>H32*B36</f>
        <v>2.6160000000000001</v>
      </c>
      <c r="I37" s="19">
        <f>I32*B36</f>
        <v>2.8340000000000001</v>
      </c>
      <c r="J37" s="19">
        <f>J32*B36</f>
        <v>2.8340000000000001</v>
      </c>
      <c r="K37" s="19">
        <f>K32*B36</f>
        <v>2.6160000000000001</v>
      </c>
      <c r="L37" s="19">
        <f>L32*B36</f>
        <v>2.3980000000000001</v>
      </c>
      <c r="M37" s="19">
        <f>M32*B36</f>
        <v>2.3980000000000001</v>
      </c>
    </row>
    <row r="38" spans="1:13" x14ac:dyDescent="0.25">
      <c r="A38" s="7" t="s">
        <v>832</v>
      </c>
      <c r="B38" s="20"/>
      <c r="C38" s="31">
        <f t="shared" ref="C38:M38" si="6">C37-C36</f>
        <v>1.4359999999999999</v>
      </c>
      <c r="D38" s="19">
        <f t="shared" si="6"/>
        <v>4.3979999999999997</v>
      </c>
      <c r="E38" s="19">
        <f t="shared" si="6"/>
        <v>5.8339999999999996</v>
      </c>
      <c r="F38" s="19">
        <f t="shared" si="6"/>
        <v>4.3979999999999997</v>
      </c>
      <c r="G38" s="19">
        <f t="shared" si="6"/>
        <v>4.3979999999999997</v>
      </c>
      <c r="H38" s="19">
        <f t="shared" si="6"/>
        <v>5.6159999999999997</v>
      </c>
      <c r="I38" s="19">
        <f t="shared" si="6"/>
        <v>5.8339999999999996</v>
      </c>
      <c r="J38" s="19">
        <f t="shared" si="6"/>
        <v>5.8339999999999996</v>
      </c>
      <c r="K38" s="19">
        <f t="shared" si="6"/>
        <v>5.6159999999999997</v>
      </c>
      <c r="L38" s="19">
        <f t="shared" si="6"/>
        <v>4.3979999999999997</v>
      </c>
      <c r="M38" s="19">
        <f t="shared" si="6"/>
        <v>4.3979999999999997</v>
      </c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6" t="s">
        <v>213</v>
      </c>
      <c r="C40" s="13">
        <v>2</v>
      </c>
      <c r="D40" s="13">
        <v>9</v>
      </c>
      <c r="E40" s="13">
        <v>10</v>
      </c>
      <c r="F40" s="13">
        <v>9</v>
      </c>
      <c r="G40" s="13">
        <v>9</v>
      </c>
      <c r="H40" s="13">
        <v>9</v>
      </c>
      <c r="I40" s="13">
        <v>10</v>
      </c>
      <c r="J40" s="13">
        <v>10</v>
      </c>
      <c r="K40" s="13">
        <v>10</v>
      </c>
      <c r="L40" s="13">
        <v>9</v>
      </c>
      <c r="M40" s="13">
        <v>8</v>
      </c>
    </row>
    <row r="41" spans="1:13" x14ac:dyDescent="0.25">
      <c r="A41" s="6" t="s">
        <v>819</v>
      </c>
      <c r="C41" s="13">
        <f t="shared" ref="C41:M41" si="7">C32-C36</f>
        <v>3</v>
      </c>
      <c r="D41" s="13">
        <f t="shared" si="7"/>
        <v>13</v>
      </c>
      <c r="E41" s="13">
        <f t="shared" si="7"/>
        <v>16</v>
      </c>
      <c r="F41" s="13">
        <f t="shared" si="7"/>
        <v>13</v>
      </c>
      <c r="G41" s="13">
        <f t="shared" si="7"/>
        <v>13</v>
      </c>
      <c r="H41" s="13">
        <f t="shared" si="7"/>
        <v>15</v>
      </c>
      <c r="I41" s="13">
        <f t="shared" si="7"/>
        <v>16</v>
      </c>
      <c r="J41" s="13">
        <f t="shared" si="7"/>
        <v>16</v>
      </c>
      <c r="K41" s="13">
        <f t="shared" si="7"/>
        <v>15</v>
      </c>
      <c r="L41" s="13">
        <f t="shared" si="7"/>
        <v>13</v>
      </c>
      <c r="M41" s="13">
        <f t="shared" si="7"/>
        <v>13</v>
      </c>
    </row>
    <row r="42" spans="1:13" x14ac:dyDescent="0.25">
      <c r="A42" s="6" t="s">
        <v>830</v>
      </c>
      <c r="C42" s="13">
        <f t="shared" ref="C42:M42" si="8">C41-C40</f>
        <v>1</v>
      </c>
      <c r="D42" s="13">
        <f t="shared" si="8"/>
        <v>4</v>
      </c>
      <c r="E42" s="13">
        <f t="shared" si="8"/>
        <v>6</v>
      </c>
      <c r="F42" s="13">
        <f t="shared" si="8"/>
        <v>4</v>
      </c>
      <c r="G42" s="13">
        <f t="shared" si="8"/>
        <v>4</v>
      </c>
      <c r="H42" s="13">
        <f t="shared" si="8"/>
        <v>6</v>
      </c>
      <c r="I42" s="13">
        <f t="shared" si="8"/>
        <v>6</v>
      </c>
      <c r="J42" s="13">
        <f t="shared" si="8"/>
        <v>6</v>
      </c>
      <c r="K42" s="13">
        <f t="shared" si="8"/>
        <v>5</v>
      </c>
      <c r="L42" s="13">
        <f t="shared" si="8"/>
        <v>4</v>
      </c>
      <c r="M42" s="13">
        <f t="shared" si="8"/>
        <v>5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7" t="s">
        <v>214</v>
      </c>
      <c r="C44" s="10">
        <v>0</v>
      </c>
      <c r="D44" s="10">
        <v>1</v>
      </c>
      <c r="E44" s="10">
        <v>1</v>
      </c>
      <c r="F44" s="10">
        <v>1</v>
      </c>
      <c r="G44" s="10">
        <v>1</v>
      </c>
      <c r="H44" s="10">
        <v>1</v>
      </c>
      <c r="I44" s="10">
        <v>1</v>
      </c>
      <c r="J44" s="10">
        <v>1</v>
      </c>
      <c r="K44" s="10">
        <v>1</v>
      </c>
      <c r="L44" s="10">
        <v>1</v>
      </c>
      <c r="M44" s="10">
        <v>1</v>
      </c>
    </row>
    <row r="45" spans="1:13" x14ac:dyDescent="0.25">
      <c r="A45" s="6" t="s">
        <v>215</v>
      </c>
      <c r="C45" s="13">
        <v>2</v>
      </c>
      <c r="D45" s="13">
        <v>10</v>
      </c>
      <c r="E45" s="13">
        <v>11</v>
      </c>
      <c r="F45" s="13">
        <v>10</v>
      </c>
      <c r="G45" s="13">
        <v>9</v>
      </c>
      <c r="H45" s="13">
        <v>10</v>
      </c>
      <c r="I45" s="13">
        <v>11</v>
      </c>
      <c r="J45" s="13">
        <v>11</v>
      </c>
      <c r="K45" s="13">
        <v>10</v>
      </c>
      <c r="L45" s="13">
        <v>10</v>
      </c>
      <c r="M45" s="13">
        <v>9</v>
      </c>
    </row>
    <row r="46" spans="1:13" x14ac:dyDescent="0.25">
      <c r="A46" s="6" t="s">
        <v>818</v>
      </c>
      <c r="C46" s="13">
        <f t="shared" ref="C46:M46" si="9">SUM(C40,C44)</f>
        <v>2</v>
      </c>
      <c r="D46" s="13">
        <f t="shared" si="9"/>
        <v>10</v>
      </c>
      <c r="E46" s="13">
        <f t="shared" si="9"/>
        <v>11</v>
      </c>
      <c r="F46" s="13">
        <f t="shared" si="9"/>
        <v>10</v>
      </c>
      <c r="G46" s="13">
        <f t="shared" si="9"/>
        <v>10</v>
      </c>
      <c r="H46" s="13">
        <f t="shared" si="9"/>
        <v>10</v>
      </c>
      <c r="I46" s="13">
        <f t="shared" si="9"/>
        <v>11</v>
      </c>
      <c r="J46" s="13">
        <f t="shared" si="9"/>
        <v>11</v>
      </c>
      <c r="K46" s="13">
        <f t="shared" si="9"/>
        <v>11</v>
      </c>
      <c r="L46" s="13">
        <f t="shared" si="9"/>
        <v>10</v>
      </c>
      <c r="M46" s="13">
        <f t="shared" si="9"/>
        <v>9</v>
      </c>
    </row>
    <row r="47" spans="1:13" x14ac:dyDescent="0.25">
      <c r="A47" s="6" t="s">
        <v>829</v>
      </c>
      <c r="C47" s="13">
        <f t="shared" ref="C47:M47" si="10">C46-C45</f>
        <v>0</v>
      </c>
      <c r="D47" s="13">
        <f t="shared" si="10"/>
        <v>0</v>
      </c>
      <c r="E47" s="13">
        <f t="shared" si="10"/>
        <v>0</v>
      </c>
      <c r="F47" s="13">
        <f t="shared" si="10"/>
        <v>0</v>
      </c>
      <c r="G47" s="13">
        <f t="shared" si="10"/>
        <v>1</v>
      </c>
      <c r="H47" s="13">
        <f t="shared" si="10"/>
        <v>0</v>
      </c>
      <c r="I47" s="13">
        <f t="shared" si="10"/>
        <v>0</v>
      </c>
      <c r="J47" s="13">
        <f t="shared" si="10"/>
        <v>0</v>
      </c>
      <c r="K47" s="13">
        <f t="shared" si="10"/>
        <v>1</v>
      </c>
      <c r="L47" s="13">
        <f t="shared" si="10"/>
        <v>0</v>
      </c>
      <c r="M47" s="13">
        <f t="shared" si="10"/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7" t="s">
        <v>115</v>
      </c>
      <c r="B49" s="20">
        <v>0.11</v>
      </c>
      <c r="C49" s="23">
        <v>0.98740000000000006</v>
      </c>
      <c r="D49" s="23">
        <v>0.92530000000000001</v>
      </c>
      <c r="E49" s="23">
        <v>0.83360000000000001</v>
      </c>
      <c r="F49" s="24">
        <v>0.751</v>
      </c>
      <c r="G49" s="23">
        <v>0.67659999999999998</v>
      </c>
      <c r="H49" s="23">
        <v>0.60950000000000004</v>
      </c>
      <c r="I49" s="23">
        <v>0.54910000000000003</v>
      </c>
      <c r="J49" s="23">
        <v>0.49469999999999997</v>
      </c>
      <c r="K49" s="23">
        <v>0.44569999999999999</v>
      </c>
      <c r="L49" s="23">
        <v>0.40150000000000002</v>
      </c>
      <c r="M49" s="23">
        <v>0.36170000000000002</v>
      </c>
    </row>
    <row r="50" spans="1:13" x14ac:dyDescent="0.25">
      <c r="A50" s="6" t="s">
        <v>116</v>
      </c>
      <c r="C50" s="13">
        <v>2</v>
      </c>
      <c r="D50" s="13">
        <v>9</v>
      </c>
      <c r="E50" s="13">
        <v>9</v>
      </c>
      <c r="F50" s="13">
        <v>7</v>
      </c>
      <c r="G50" s="13">
        <v>6</v>
      </c>
      <c r="H50" s="13">
        <v>6</v>
      </c>
      <c r="I50" s="13">
        <v>6</v>
      </c>
      <c r="J50" s="13">
        <v>5</v>
      </c>
      <c r="K50" s="13">
        <v>5</v>
      </c>
      <c r="L50" s="13">
        <v>4</v>
      </c>
      <c r="M50" s="13">
        <v>3</v>
      </c>
    </row>
    <row r="51" spans="1:13" x14ac:dyDescent="0.25">
      <c r="A51" s="6" t="s">
        <v>822</v>
      </c>
      <c r="C51" s="13">
        <f t="shared" ref="C51:M51" si="11">C45*C49</f>
        <v>1.9748000000000001</v>
      </c>
      <c r="D51" s="13">
        <f t="shared" si="11"/>
        <v>9.2530000000000001</v>
      </c>
      <c r="E51" s="13">
        <f t="shared" si="11"/>
        <v>9.1696000000000009</v>
      </c>
      <c r="F51" s="13">
        <f t="shared" si="11"/>
        <v>7.51</v>
      </c>
      <c r="G51" s="13">
        <f t="shared" si="11"/>
        <v>6.0893999999999995</v>
      </c>
      <c r="H51" s="13">
        <f t="shared" si="11"/>
        <v>6.0950000000000006</v>
      </c>
      <c r="I51" s="13">
        <f t="shared" si="11"/>
        <v>6.0401000000000007</v>
      </c>
      <c r="J51" s="13">
        <f t="shared" si="11"/>
        <v>5.4417</v>
      </c>
      <c r="K51" s="13">
        <f t="shared" si="11"/>
        <v>4.4569999999999999</v>
      </c>
      <c r="L51" s="13">
        <f t="shared" si="11"/>
        <v>4.0150000000000006</v>
      </c>
      <c r="M51" s="13">
        <f t="shared" si="11"/>
        <v>3.2553000000000001</v>
      </c>
    </row>
    <row r="52" spans="1:13" x14ac:dyDescent="0.25">
      <c r="A52" s="6" t="s">
        <v>833</v>
      </c>
      <c r="C52" s="13">
        <f t="shared" ref="C52:M52" si="12">C51-C50</f>
        <v>-2.5199999999999889E-2</v>
      </c>
      <c r="D52" s="13">
        <f t="shared" si="12"/>
        <v>0.25300000000000011</v>
      </c>
      <c r="E52" s="13">
        <f t="shared" si="12"/>
        <v>0.16960000000000086</v>
      </c>
      <c r="F52" s="13">
        <f t="shared" si="12"/>
        <v>0.50999999999999979</v>
      </c>
      <c r="G52" s="13">
        <f t="shared" si="12"/>
        <v>8.939999999999948E-2</v>
      </c>
      <c r="H52" s="13">
        <f t="shared" si="12"/>
        <v>9.5000000000000639E-2</v>
      </c>
      <c r="I52" s="13">
        <f t="shared" si="12"/>
        <v>4.0100000000000691E-2</v>
      </c>
      <c r="J52" s="13">
        <f t="shared" si="12"/>
        <v>0.44169999999999998</v>
      </c>
      <c r="K52" s="13">
        <f t="shared" si="12"/>
        <v>-0.54300000000000015</v>
      </c>
      <c r="L52" s="13">
        <f t="shared" si="12"/>
        <v>1.5000000000000568E-2</v>
      </c>
      <c r="M52" s="13">
        <f t="shared" si="12"/>
        <v>0.25530000000000008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7" t="s">
        <v>216</v>
      </c>
      <c r="C54" s="10">
        <v>79</v>
      </c>
      <c r="G54" s="7" t="s">
        <v>286</v>
      </c>
    </row>
    <row r="55" spans="1:13" x14ac:dyDescent="0.25">
      <c r="F55" s="10">
        <v>80</v>
      </c>
      <c r="G55" s="15">
        <v>0.1</v>
      </c>
      <c r="H55" s="20">
        <v>0.125</v>
      </c>
      <c r="I55" s="20">
        <v>0.15</v>
      </c>
    </row>
    <row r="56" spans="1:13" x14ac:dyDescent="0.25">
      <c r="A56" s="6" t="s">
        <v>218</v>
      </c>
      <c r="C56" s="13">
        <v>79</v>
      </c>
      <c r="F56" s="15">
        <v>0.05</v>
      </c>
      <c r="G56" s="21">
        <v>200</v>
      </c>
      <c r="H56" s="21">
        <v>160</v>
      </c>
      <c r="I56" s="21">
        <v>120</v>
      </c>
    </row>
    <row r="57" spans="1:13" x14ac:dyDescent="0.25">
      <c r="A57" s="7" t="s">
        <v>121</v>
      </c>
      <c r="B57" s="7" t="s">
        <v>287</v>
      </c>
      <c r="C57" s="7" t="s">
        <v>223</v>
      </c>
      <c r="E57" s="7" t="s">
        <v>281</v>
      </c>
      <c r="F57" s="15">
        <v>0.1</v>
      </c>
      <c r="G57" s="21">
        <v>130</v>
      </c>
      <c r="H57" s="21">
        <v>100</v>
      </c>
      <c r="I57" s="21">
        <v>80</v>
      </c>
    </row>
    <row r="58" spans="1:13" x14ac:dyDescent="0.25">
      <c r="A58" s="6" t="s">
        <v>219</v>
      </c>
      <c r="C58" s="13">
        <v>80</v>
      </c>
      <c r="F58" s="15">
        <v>0.15</v>
      </c>
      <c r="G58" s="21">
        <v>90</v>
      </c>
      <c r="H58" s="21">
        <v>70</v>
      </c>
      <c r="I58" s="21">
        <v>50</v>
      </c>
    </row>
    <row r="59" spans="1:13" x14ac:dyDescent="0.25">
      <c r="A59" s="9" t="s">
        <v>221</v>
      </c>
    </row>
    <row r="60" spans="1:13" x14ac:dyDescent="0.25">
      <c r="A60" s="7" t="s">
        <v>222</v>
      </c>
      <c r="C60" s="7" t="s">
        <v>223</v>
      </c>
      <c r="D60" s="20">
        <v>2.5999999999999999E-2</v>
      </c>
      <c r="E60" s="20">
        <v>3.3000000000000002E-2</v>
      </c>
      <c r="F60" s="20">
        <v>5.7000000000000002E-2</v>
      </c>
      <c r="G60" s="20">
        <v>4.8000000000000001E-2</v>
      </c>
      <c r="H60" s="20">
        <v>4.7E-2</v>
      </c>
      <c r="I60" s="20">
        <v>5.7000000000000002E-2</v>
      </c>
      <c r="J60" s="20">
        <v>5.7000000000000002E-2</v>
      </c>
      <c r="K60" s="20">
        <v>0.03</v>
      </c>
      <c r="L60" s="20">
        <v>0.03</v>
      </c>
      <c r="M60" s="20">
        <v>0.03</v>
      </c>
    </row>
    <row r="61" spans="1:13" x14ac:dyDescent="0.25">
      <c r="A61" s="7"/>
      <c r="C61" s="7"/>
      <c r="D61" s="20" t="e">
        <f>(D0-C0)/C0</f>
        <v>#NAME?</v>
      </c>
      <c r="E61" s="20" t="e">
        <f>(E0-D0)/D0</f>
        <v>#NAME?</v>
      </c>
      <c r="F61" s="20" t="e">
        <f>(F0-E0)/E0</f>
        <v>#NAME?</v>
      </c>
      <c r="G61" s="20" t="e">
        <f>(G0-F0)/F0</f>
        <v>#NAME?</v>
      </c>
      <c r="H61" s="20" t="e">
        <f>(H0-G0)/G0</f>
        <v>#NAME?</v>
      </c>
      <c r="I61" s="20" t="e">
        <f>(I0-H0)/H0</f>
        <v>#NAME?</v>
      </c>
      <c r="J61" s="20" t="e">
        <f>(J0-I0)/I0</f>
        <v>#NAME?</v>
      </c>
      <c r="K61" s="20" t="e">
        <f>(K0-J0)/J0</f>
        <v>#NAME?</v>
      </c>
      <c r="L61" s="20" t="e">
        <f>(L0-K0)/K0</f>
        <v>#NAME?</v>
      </c>
      <c r="M61" s="20" t="e">
        <f>(M0-L0)/L0</f>
        <v>#NAME?</v>
      </c>
    </row>
    <row r="62" spans="1:13" x14ac:dyDescent="0.25">
      <c r="A62" s="7"/>
      <c r="C62" s="7" t="s">
        <v>838</v>
      </c>
      <c r="D62" s="20" t="e">
        <f t="shared" ref="D62:M62" si="13">D61-D60</f>
        <v>#NAME?</v>
      </c>
      <c r="E62" s="20" t="e">
        <f t="shared" si="13"/>
        <v>#NAME?</v>
      </c>
      <c r="F62" s="20" t="e">
        <f t="shared" si="13"/>
        <v>#NAME?</v>
      </c>
      <c r="G62" s="20" t="e">
        <f t="shared" si="13"/>
        <v>#NAME?</v>
      </c>
      <c r="H62" s="20" t="e">
        <f t="shared" si="13"/>
        <v>#NAME?</v>
      </c>
      <c r="I62" s="20" t="e">
        <f t="shared" si="13"/>
        <v>#NAME?</v>
      </c>
      <c r="J62" s="20" t="e">
        <f t="shared" si="13"/>
        <v>#NAME?</v>
      </c>
      <c r="K62" s="20" t="e">
        <f t="shared" si="13"/>
        <v>#NAME?</v>
      </c>
      <c r="L62" s="20" t="e">
        <f t="shared" si="13"/>
        <v>#NAME?</v>
      </c>
      <c r="M62" s="20" t="e">
        <f t="shared" si="13"/>
        <v>#NAME?</v>
      </c>
    </row>
    <row r="63" spans="1:13" x14ac:dyDescent="0.25">
      <c r="A63" s="7"/>
      <c r="C63" s="7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288</v>
      </c>
      <c r="C64" s="20">
        <v>0.06</v>
      </c>
      <c r="D64" s="20">
        <v>0.06</v>
      </c>
      <c r="E64" s="20">
        <v>0.06</v>
      </c>
      <c r="F64" s="20">
        <v>0.06</v>
      </c>
      <c r="G64" s="20">
        <v>0.06</v>
      </c>
      <c r="H64" s="20">
        <v>0.06</v>
      </c>
      <c r="I64" s="20">
        <v>0.06</v>
      </c>
      <c r="J64" s="20">
        <v>0.06</v>
      </c>
      <c r="K64" s="20">
        <v>0.06</v>
      </c>
      <c r="L64" s="20">
        <v>0.06</v>
      </c>
      <c r="M64" s="20">
        <v>0.06</v>
      </c>
    </row>
    <row r="65" spans="1:13" x14ac:dyDescent="0.25">
      <c r="A65" s="7" t="s">
        <v>224</v>
      </c>
      <c r="C65" s="20">
        <v>0.26200000000000001</v>
      </c>
      <c r="D65" s="20">
        <v>0.25600000000000001</v>
      </c>
      <c r="E65" s="20">
        <v>0.26800000000000002</v>
      </c>
      <c r="F65" s="20">
        <v>0.27700000000000002</v>
      </c>
      <c r="G65" s="20">
        <v>0.28499999999999998</v>
      </c>
      <c r="H65" s="20">
        <v>0.29099999999999998</v>
      </c>
      <c r="I65" s="20">
        <v>0.29799999999999999</v>
      </c>
      <c r="J65" s="20">
        <v>0.30399999999999999</v>
      </c>
      <c r="K65" s="20">
        <v>0.30399999999999999</v>
      </c>
      <c r="L65" s="20">
        <v>0.30399999999999999</v>
      </c>
      <c r="M65" s="20">
        <v>0.30399999999999999</v>
      </c>
    </row>
    <row r="66" spans="1:13" x14ac:dyDescent="0.25">
      <c r="A66" s="7" t="s">
        <v>823</v>
      </c>
      <c r="C66" s="20" t="e">
        <f>C18/C0</f>
        <v>#NAME?</v>
      </c>
      <c r="D66" s="20" t="e">
        <f>D18/D0</f>
        <v>#NAME?</v>
      </c>
      <c r="E66" s="20" t="e">
        <f>E18/E0</f>
        <v>#NAME?</v>
      </c>
      <c r="F66" s="20" t="e">
        <f>F18/F0</f>
        <v>#NAME?</v>
      </c>
      <c r="G66" s="20" t="e">
        <f>G18/G0</f>
        <v>#NAME?</v>
      </c>
      <c r="H66" s="20" t="e">
        <f>H18/H0</f>
        <v>#NAME?</v>
      </c>
      <c r="I66" s="20" t="e">
        <f>I18/I0</f>
        <v>#NAME?</v>
      </c>
      <c r="J66" s="20" t="e">
        <f>J18/J0</f>
        <v>#NAME?</v>
      </c>
      <c r="K66" s="20" t="e">
        <f>K18/K0</f>
        <v>#NAME?</v>
      </c>
      <c r="L66" s="20" t="e">
        <f>L18/L0</f>
        <v>#NAME?</v>
      </c>
      <c r="M66" s="20" t="e">
        <f>M18/M0</f>
        <v>#NAME?</v>
      </c>
    </row>
    <row r="67" spans="1:13" x14ac:dyDescent="0.25">
      <c r="A67" s="7" t="s">
        <v>834</v>
      </c>
      <c r="C67" s="20" t="e">
        <f t="shared" ref="C67:M67" si="14">C66-C65</f>
        <v>#NAME?</v>
      </c>
      <c r="D67" s="20" t="e">
        <f t="shared" si="14"/>
        <v>#NAME?</v>
      </c>
      <c r="E67" s="20" t="e">
        <f t="shared" si="14"/>
        <v>#NAME?</v>
      </c>
      <c r="F67" s="20" t="e">
        <f t="shared" si="14"/>
        <v>#NAME?</v>
      </c>
      <c r="G67" s="20" t="e">
        <f t="shared" si="14"/>
        <v>#NAME?</v>
      </c>
      <c r="H67" s="20" t="e">
        <f t="shared" si="14"/>
        <v>#NAME?</v>
      </c>
      <c r="I67" s="20" t="e">
        <f t="shared" si="14"/>
        <v>#NAME?</v>
      </c>
      <c r="J67" s="20" t="e">
        <f t="shared" si="14"/>
        <v>#NAME?</v>
      </c>
      <c r="K67" s="20" t="e">
        <f t="shared" si="14"/>
        <v>#NAME?</v>
      </c>
      <c r="L67" s="20" t="e">
        <f t="shared" si="14"/>
        <v>#NAME?</v>
      </c>
      <c r="M67" s="20" t="e">
        <f t="shared" si="14"/>
        <v>#NAME?</v>
      </c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107</v>
      </c>
      <c r="C69" s="20">
        <v>3.5999999999999997E-2</v>
      </c>
      <c r="D69" s="20">
        <v>3.4000000000000002E-2</v>
      </c>
      <c r="E69" s="20">
        <v>3.5000000000000003E-2</v>
      </c>
      <c r="F69" s="20">
        <v>0.05</v>
      </c>
      <c r="G69" s="20">
        <v>5.5E-2</v>
      </c>
      <c r="H69" s="20">
        <v>5.2999999999999999E-2</v>
      </c>
      <c r="I69" s="20">
        <v>5.0999999999999997E-2</v>
      </c>
      <c r="J69" s="20">
        <v>4.9000000000000002E-2</v>
      </c>
      <c r="K69" s="20">
        <v>4.9000000000000002E-2</v>
      </c>
      <c r="L69" s="20">
        <v>4.9000000000000002E-2</v>
      </c>
      <c r="M69" s="20">
        <v>4.9000000000000002E-2</v>
      </c>
    </row>
    <row r="70" spans="1:13" x14ac:dyDescent="0.25">
      <c r="A70" s="7" t="s">
        <v>225</v>
      </c>
      <c r="C70" s="20">
        <v>0.22600000000000001</v>
      </c>
      <c r="D70" s="20">
        <v>0.223</v>
      </c>
      <c r="E70" s="20">
        <v>0.23300000000000001</v>
      </c>
      <c r="F70" s="20">
        <v>0.22700000000000001</v>
      </c>
      <c r="G70" s="20">
        <v>0.23</v>
      </c>
      <c r="H70" s="20">
        <v>0.23799999999999999</v>
      </c>
      <c r="I70" s="20">
        <v>0.247</v>
      </c>
      <c r="J70" s="20">
        <v>0.255</v>
      </c>
      <c r="K70" s="20">
        <v>0.255</v>
      </c>
      <c r="L70" s="20">
        <v>0.255</v>
      </c>
      <c r="M70" s="20">
        <v>0.255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7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spans="1:13" x14ac:dyDescent="0.25">
      <c r="A74" s="7" t="s">
        <v>240</v>
      </c>
      <c r="C74" s="20">
        <v>-5.0000000000000001E-3</v>
      </c>
      <c r="D74" s="20">
        <v>-5.0000000000000001E-3</v>
      </c>
      <c r="E74" s="20">
        <v>-5.0000000000000001E-3</v>
      </c>
      <c r="F74" s="20">
        <v>-5.0000000000000001E-3</v>
      </c>
      <c r="G74" s="20">
        <v>-5.0000000000000001E-3</v>
      </c>
      <c r="H74" s="20">
        <v>-5.0000000000000001E-3</v>
      </c>
      <c r="I74" s="20">
        <v>-5.0000000000000001E-3</v>
      </c>
      <c r="J74" s="20">
        <v>-5.0000000000000001E-3</v>
      </c>
      <c r="K74" s="20">
        <v>-5.0000000000000001E-3</v>
      </c>
      <c r="L74" s="20">
        <v>-5.0000000000000001E-3</v>
      </c>
      <c r="M74" s="20">
        <v>-5.0000000000000001E-3</v>
      </c>
    </row>
    <row r="75" spans="1:13" x14ac:dyDescent="0.25">
      <c r="A75" s="7" t="s">
        <v>824</v>
      </c>
      <c r="C75" s="20" t="e">
        <f>-C44/C0</f>
        <v>#NAME?</v>
      </c>
      <c r="D75" s="20" t="e">
        <f>-D44/D0</f>
        <v>#NAME?</v>
      </c>
      <c r="E75" s="20" t="e">
        <f>-E44/E0</f>
        <v>#NAME?</v>
      </c>
      <c r="F75" s="20" t="e">
        <f>-F44/F0</f>
        <v>#NAME?</v>
      </c>
      <c r="G75" s="20" t="e">
        <f>-G44/G0</f>
        <v>#NAME?</v>
      </c>
      <c r="H75" s="20" t="e">
        <f>-H44/H0</f>
        <v>#NAME?</v>
      </c>
      <c r="I75" s="20" t="e">
        <f>-I44/I0</f>
        <v>#NAME?</v>
      </c>
      <c r="J75" s="20" t="e">
        <f>-J44/J0</f>
        <v>#NAME?</v>
      </c>
      <c r="K75" s="20" t="e">
        <f>-K44/K0</f>
        <v>#NAME?</v>
      </c>
      <c r="L75" s="20" t="e">
        <f>-L44/L0</f>
        <v>#NAME?</v>
      </c>
      <c r="M75" s="20" t="e">
        <f>-M44/M0</f>
        <v>#NAME?</v>
      </c>
    </row>
    <row r="76" spans="1:13" x14ac:dyDescent="0.25">
      <c r="A76" s="7" t="s">
        <v>835</v>
      </c>
      <c r="C76" s="20" t="e">
        <f t="shared" ref="C76:M76" si="15">C75-C74</f>
        <v>#NAME?</v>
      </c>
      <c r="D76" s="20" t="e">
        <f t="shared" si="15"/>
        <v>#NAME?</v>
      </c>
      <c r="E76" s="20" t="e">
        <f t="shared" si="15"/>
        <v>#NAME?</v>
      </c>
      <c r="F76" s="20" t="e">
        <f t="shared" si="15"/>
        <v>#NAME?</v>
      </c>
      <c r="G76" s="20" t="e">
        <f t="shared" si="15"/>
        <v>#NAME?</v>
      </c>
      <c r="H76" s="20" t="e">
        <f t="shared" si="15"/>
        <v>#NAME?</v>
      </c>
      <c r="I76" s="20" t="e">
        <f t="shared" si="15"/>
        <v>#NAME?</v>
      </c>
      <c r="J76" s="20" t="e">
        <f t="shared" si="15"/>
        <v>#NAME?</v>
      </c>
      <c r="K76" s="20" t="e">
        <f t="shared" si="15"/>
        <v>#NAME?</v>
      </c>
      <c r="L76" s="20" t="e">
        <f t="shared" si="15"/>
        <v>#NAME?</v>
      </c>
      <c r="M76" s="20" t="e">
        <f t="shared" si="15"/>
        <v>#NAME?</v>
      </c>
    </row>
    <row r="77" spans="1:13" x14ac:dyDescent="0.25">
      <c r="A77" s="7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spans="1:13" x14ac:dyDescent="0.25">
      <c r="A78" s="16" t="s">
        <v>127</v>
      </c>
    </row>
    <row r="79" spans="1:13" x14ac:dyDescent="0.25">
      <c r="A79" s="7" t="s">
        <v>289</v>
      </c>
    </row>
    <row r="80" spans="1:13" x14ac:dyDescent="0.25">
      <c r="A80" s="7" t="s">
        <v>290</v>
      </c>
    </row>
    <row r="81" spans="1:13" x14ac:dyDescent="0.25">
      <c r="A81" s="16" t="s">
        <v>61</v>
      </c>
    </row>
    <row r="82" spans="1:13" x14ac:dyDescent="0.25">
      <c r="A82" s="9" t="s">
        <v>62</v>
      </c>
      <c r="M82" s="32" t="s">
        <v>63</v>
      </c>
    </row>
    <row r="83" spans="1:13" x14ac:dyDescent="0.25">
      <c r="E83" s="5" t="s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78"/>
  <sheetViews>
    <sheetView topLeftCell="A49"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3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s="7" t="s">
        <v>839</v>
      </c>
    </row>
    <row r="3" spans="1:13" x14ac:dyDescent="0.25">
      <c r="A3" s="6" t="s">
        <v>9</v>
      </c>
    </row>
    <row r="4" spans="1:13" x14ac:dyDescent="0.25">
      <c r="A4" s="6" t="s">
        <v>278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279</v>
      </c>
      <c r="C8" s="10">
        <v>113</v>
      </c>
      <c r="D8" s="10">
        <v>105</v>
      </c>
      <c r="E8" s="10">
        <v>97</v>
      </c>
      <c r="F8" s="10">
        <v>90</v>
      </c>
      <c r="G8" s="10">
        <v>83</v>
      </c>
      <c r="H8" s="10">
        <v>77</v>
      </c>
      <c r="I8" s="10">
        <v>72</v>
      </c>
      <c r="J8" s="10">
        <v>66</v>
      </c>
      <c r="K8" s="10">
        <v>62</v>
      </c>
      <c r="L8" s="10">
        <v>57</v>
      </c>
      <c r="M8" s="10">
        <v>53</v>
      </c>
    </row>
    <row r="9" spans="1:13" x14ac:dyDescent="0.25">
      <c r="A9" s="7" t="s">
        <v>280</v>
      </c>
      <c r="C9" s="10">
        <v>3</v>
      </c>
      <c r="D9" s="10">
        <v>3</v>
      </c>
      <c r="E9" s="10">
        <v>3</v>
      </c>
      <c r="F9" s="10">
        <v>3</v>
      </c>
      <c r="G9" s="10">
        <v>3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3" x14ac:dyDescent="0.25">
      <c r="A10" s="7" t="s">
        <v>281</v>
      </c>
      <c r="B10" s="20">
        <v>0.1</v>
      </c>
      <c r="C10" s="19">
        <v>-12</v>
      </c>
      <c r="D10" s="19">
        <v>-11</v>
      </c>
      <c r="E10" s="19">
        <v>-10</v>
      </c>
      <c r="F10" s="19">
        <v>-9</v>
      </c>
      <c r="G10" s="19">
        <v>-9</v>
      </c>
      <c r="H10" s="19">
        <v>-8</v>
      </c>
      <c r="I10" s="19">
        <v>-7</v>
      </c>
      <c r="J10" s="19">
        <v>-7</v>
      </c>
      <c r="K10" s="19">
        <v>-6</v>
      </c>
      <c r="L10" s="19">
        <v>-6</v>
      </c>
      <c r="M10" s="19">
        <v>-5</v>
      </c>
    </row>
    <row r="11" spans="1:13" x14ac:dyDescent="0.25">
      <c r="A11" s="7" t="s">
        <v>208</v>
      </c>
      <c r="C11" s="10">
        <v>105</v>
      </c>
      <c r="D11" s="10">
        <v>97</v>
      </c>
      <c r="E11" s="10">
        <v>90</v>
      </c>
      <c r="F11" s="10">
        <v>83</v>
      </c>
      <c r="G11" s="10">
        <v>77</v>
      </c>
      <c r="H11" s="10">
        <v>72</v>
      </c>
      <c r="I11" s="10">
        <v>66</v>
      </c>
      <c r="J11" s="10">
        <v>62</v>
      </c>
      <c r="K11" s="10">
        <v>57</v>
      </c>
      <c r="L11" s="10">
        <v>53</v>
      </c>
      <c r="M11" s="10">
        <v>49</v>
      </c>
    </row>
    <row r="12" spans="1:13" x14ac:dyDescent="0.25">
      <c r="A12" s="7" t="s">
        <v>815</v>
      </c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</row>
    <row r="13" spans="1:13" x14ac:dyDescent="0.25">
      <c r="A13" s="7" t="s">
        <v>826</v>
      </c>
      <c r="C13" s="10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s="10" t="e">
        <f t="shared" si="0"/>
        <v>#NAME?</v>
      </c>
      <c r="M13" s="10" t="e">
        <f t="shared" si="0"/>
        <v>#NAME?</v>
      </c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7" t="s">
        <v>282</v>
      </c>
      <c r="C15" s="10">
        <v>109</v>
      </c>
      <c r="D15" s="10">
        <v>101</v>
      </c>
      <c r="E15" s="10">
        <v>94</v>
      </c>
      <c r="F15" s="10">
        <v>87</v>
      </c>
      <c r="G15" s="10">
        <v>80</v>
      </c>
      <c r="H15" s="10">
        <v>75</v>
      </c>
      <c r="I15" s="10">
        <v>69</v>
      </c>
      <c r="J15" s="10">
        <v>64</v>
      </c>
      <c r="K15" s="10">
        <v>59</v>
      </c>
      <c r="L15" s="10">
        <v>55</v>
      </c>
      <c r="M15" s="10">
        <v>51</v>
      </c>
    </row>
    <row r="16" spans="1:13" x14ac:dyDescent="0.25">
      <c r="A16" s="7" t="s">
        <v>283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</row>
    <row r="17" spans="1:13" x14ac:dyDescent="0.25">
      <c r="A17" s="7" t="s">
        <v>284</v>
      </c>
      <c r="C17" s="13">
        <v>109</v>
      </c>
      <c r="D17" s="13">
        <v>101</v>
      </c>
      <c r="E17" s="13">
        <v>94</v>
      </c>
      <c r="F17" s="13">
        <v>87</v>
      </c>
      <c r="G17" s="13">
        <v>80</v>
      </c>
      <c r="H17" s="13">
        <v>75</v>
      </c>
      <c r="I17" s="13">
        <v>69</v>
      </c>
      <c r="J17" s="13">
        <v>64</v>
      </c>
      <c r="K17" s="13">
        <v>59</v>
      </c>
      <c r="L17" s="13">
        <v>55</v>
      </c>
      <c r="M17" s="13">
        <v>51</v>
      </c>
    </row>
    <row r="18" spans="1:13" x14ac:dyDescent="0.25">
      <c r="A18" s="6" t="s">
        <v>106</v>
      </c>
      <c r="C18" s="13">
        <v>33</v>
      </c>
      <c r="D18" s="13">
        <v>31</v>
      </c>
      <c r="E18" s="13">
        <v>28</v>
      </c>
      <c r="F18" s="13">
        <v>26</v>
      </c>
      <c r="G18" s="13">
        <v>24</v>
      </c>
      <c r="H18" s="13">
        <v>23</v>
      </c>
      <c r="I18" s="13">
        <v>21</v>
      </c>
      <c r="J18" s="13">
        <v>19</v>
      </c>
      <c r="K18" s="13">
        <v>18</v>
      </c>
      <c r="L18" s="13">
        <v>17</v>
      </c>
      <c r="M18" s="13">
        <v>16</v>
      </c>
    </row>
    <row r="19" spans="1:13" x14ac:dyDescent="0.25">
      <c r="A19" s="7" t="s">
        <v>107</v>
      </c>
      <c r="C19" s="19">
        <v>-5</v>
      </c>
      <c r="D19" s="19">
        <v>-5</v>
      </c>
      <c r="E19" s="19">
        <v>-5</v>
      </c>
      <c r="F19" s="19">
        <v>-4</v>
      </c>
      <c r="G19" s="19">
        <v>-4</v>
      </c>
      <c r="H19" s="19">
        <v>-4</v>
      </c>
      <c r="I19" s="19">
        <v>-3</v>
      </c>
      <c r="J19" s="19">
        <v>-3</v>
      </c>
      <c r="K19" s="19">
        <v>-3</v>
      </c>
      <c r="L19" s="19">
        <v>-3</v>
      </c>
      <c r="M19" s="19">
        <v>-2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6" t="s">
        <v>211</v>
      </c>
      <c r="C23" s="13">
        <v>28</v>
      </c>
      <c r="D23" s="13">
        <v>26</v>
      </c>
      <c r="E23" s="13">
        <v>24</v>
      </c>
      <c r="F23" s="13">
        <v>22</v>
      </c>
      <c r="G23" s="13">
        <v>21</v>
      </c>
      <c r="H23" s="13">
        <v>19</v>
      </c>
      <c r="I23" s="13">
        <v>18</v>
      </c>
      <c r="J23" s="13">
        <v>16</v>
      </c>
      <c r="K23" s="13">
        <v>15</v>
      </c>
      <c r="L23" s="13">
        <v>14</v>
      </c>
      <c r="M23" s="13">
        <v>13</v>
      </c>
    </row>
    <row r="24" spans="1:13" x14ac:dyDescent="0.25">
      <c r="A24" s="6" t="s">
        <v>816</v>
      </c>
      <c r="C24" s="13">
        <f t="shared" ref="C24:M24" si="1">SUM(C18,C19)</f>
        <v>28</v>
      </c>
      <c r="D24" s="13">
        <f t="shared" si="1"/>
        <v>26</v>
      </c>
      <c r="E24" s="13">
        <f t="shared" si="1"/>
        <v>23</v>
      </c>
      <c r="F24" s="13">
        <f t="shared" si="1"/>
        <v>22</v>
      </c>
      <c r="G24" s="13">
        <f t="shared" si="1"/>
        <v>20</v>
      </c>
      <c r="H24" s="13">
        <f t="shared" si="1"/>
        <v>19</v>
      </c>
      <c r="I24" s="13">
        <f t="shared" si="1"/>
        <v>18</v>
      </c>
      <c r="J24" s="13">
        <f t="shared" si="1"/>
        <v>16</v>
      </c>
      <c r="K24" s="13">
        <f t="shared" si="1"/>
        <v>15</v>
      </c>
      <c r="L24" s="13">
        <f t="shared" si="1"/>
        <v>14</v>
      </c>
      <c r="M24" s="13">
        <f t="shared" si="1"/>
        <v>14</v>
      </c>
    </row>
    <row r="25" spans="1:13" x14ac:dyDescent="0.25">
      <c r="A25" s="6" t="s">
        <v>827</v>
      </c>
      <c r="C25" s="13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 s="13">
        <f t="shared" ca="1" si="2"/>
        <v>0</v>
      </c>
      <c r="M25" s="13">
        <f t="shared" ca="1" si="2"/>
        <v>0</v>
      </c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x14ac:dyDescent="0.25">
      <c r="A27" s="7" t="s">
        <v>210</v>
      </c>
      <c r="B27" s="20">
        <v>1.4999999999999999E-2</v>
      </c>
      <c r="C27" s="19">
        <v>-2</v>
      </c>
      <c r="D27" s="19">
        <v>-2</v>
      </c>
      <c r="E27" s="19">
        <v>-1</v>
      </c>
      <c r="F27" s="19">
        <v>-1</v>
      </c>
      <c r="G27" s="19">
        <v>-1</v>
      </c>
      <c r="H27" s="19">
        <v>-1</v>
      </c>
      <c r="I27" s="19">
        <v>-1</v>
      </c>
      <c r="J27" s="19">
        <v>-1</v>
      </c>
      <c r="K27" s="19">
        <v>-1</v>
      </c>
      <c r="L27" s="19">
        <v>-1</v>
      </c>
      <c r="M27" s="19">
        <v>-1</v>
      </c>
    </row>
    <row r="28" spans="1:13" x14ac:dyDescent="0.25">
      <c r="A28" s="7" t="s">
        <v>820</v>
      </c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</row>
    <row r="29" spans="1:13" x14ac:dyDescent="0.25">
      <c r="A29" s="7" t="s">
        <v>831</v>
      </c>
      <c r="B29" s="20"/>
      <c r="C29" s="19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s="19" t="e">
        <f t="shared" si="3"/>
        <v>#NAME?</v>
      </c>
      <c r="M29" s="19" t="e">
        <f t="shared" si="3"/>
        <v>#NAME?</v>
      </c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7" t="s">
        <v>285</v>
      </c>
      <c r="B31" s="20">
        <v>0.15</v>
      </c>
      <c r="C31" s="19">
        <v>-16</v>
      </c>
      <c r="D31" s="19">
        <v>-15</v>
      </c>
      <c r="E31" s="19">
        <v>-14</v>
      </c>
      <c r="F31" s="19">
        <v>-13</v>
      </c>
      <c r="G31" s="19">
        <v>-12</v>
      </c>
      <c r="H31" s="19">
        <v>-11</v>
      </c>
      <c r="I31" s="19">
        <v>-10</v>
      </c>
      <c r="J31" s="19">
        <v>-10</v>
      </c>
      <c r="K31" s="19">
        <v>-9</v>
      </c>
      <c r="L31" s="19">
        <v>-8</v>
      </c>
      <c r="M31" s="19">
        <v>-8</v>
      </c>
    </row>
    <row r="32" spans="1:13" x14ac:dyDescent="0.25">
      <c r="A32" s="6" t="s">
        <v>108</v>
      </c>
      <c r="C32" s="13">
        <v>10</v>
      </c>
      <c r="D32" s="13">
        <v>9</v>
      </c>
      <c r="E32" s="13">
        <v>8</v>
      </c>
      <c r="F32" s="13">
        <v>8</v>
      </c>
      <c r="G32" s="13">
        <v>7</v>
      </c>
      <c r="H32" s="13">
        <v>7</v>
      </c>
      <c r="I32" s="13">
        <v>6</v>
      </c>
      <c r="J32" s="13">
        <v>6</v>
      </c>
      <c r="K32" s="13">
        <v>5</v>
      </c>
      <c r="L32" s="13">
        <v>5</v>
      </c>
      <c r="M32" s="13">
        <v>5</v>
      </c>
    </row>
    <row r="33" spans="1:13" x14ac:dyDescent="0.25">
      <c r="A33" s="6" t="s">
        <v>817</v>
      </c>
      <c r="C33" s="13">
        <f t="shared" ref="C33:M33" si="4">SUM(C23,C27)</f>
        <v>26</v>
      </c>
      <c r="D33" s="13">
        <f t="shared" si="4"/>
        <v>24</v>
      </c>
      <c r="E33" s="13">
        <f t="shared" si="4"/>
        <v>23</v>
      </c>
      <c r="F33" s="13">
        <f t="shared" si="4"/>
        <v>21</v>
      </c>
      <c r="G33" s="13">
        <f t="shared" si="4"/>
        <v>20</v>
      </c>
      <c r="H33" s="13">
        <f t="shared" si="4"/>
        <v>18</v>
      </c>
      <c r="I33" s="13">
        <f t="shared" si="4"/>
        <v>17</v>
      </c>
      <c r="J33" s="13">
        <f t="shared" si="4"/>
        <v>15</v>
      </c>
      <c r="K33" s="13">
        <f t="shared" si="4"/>
        <v>14</v>
      </c>
      <c r="L33" s="13">
        <f t="shared" si="4"/>
        <v>13</v>
      </c>
      <c r="M33" s="13">
        <f t="shared" si="4"/>
        <v>12</v>
      </c>
    </row>
    <row r="34" spans="1:13" x14ac:dyDescent="0.25">
      <c r="A34" s="6" t="s">
        <v>828</v>
      </c>
      <c r="C34" s="13">
        <f t="shared" ref="C34:M34" si="5">C33-C32</f>
        <v>16</v>
      </c>
      <c r="D34" s="13">
        <f t="shared" si="5"/>
        <v>15</v>
      </c>
      <c r="E34" s="13">
        <f t="shared" si="5"/>
        <v>15</v>
      </c>
      <c r="F34" s="13">
        <f t="shared" si="5"/>
        <v>13</v>
      </c>
      <c r="G34" s="13">
        <f t="shared" si="5"/>
        <v>13</v>
      </c>
      <c r="H34" s="13">
        <f t="shared" si="5"/>
        <v>11</v>
      </c>
      <c r="I34" s="13">
        <f t="shared" si="5"/>
        <v>11</v>
      </c>
      <c r="J34" s="13">
        <f t="shared" si="5"/>
        <v>9</v>
      </c>
      <c r="K34" s="13">
        <f t="shared" si="5"/>
        <v>9</v>
      </c>
      <c r="L34" s="13">
        <f t="shared" si="5"/>
        <v>8</v>
      </c>
      <c r="M34" s="13">
        <f t="shared" si="5"/>
        <v>7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7" t="s">
        <v>212</v>
      </c>
      <c r="B36" s="20">
        <v>0.218</v>
      </c>
      <c r="C36" s="19">
        <v>-2</v>
      </c>
      <c r="D36" s="19">
        <v>-2</v>
      </c>
      <c r="E36" s="19">
        <v>-2</v>
      </c>
      <c r="F36" s="19">
        <v>-2</v>
      </c>
      <c r="G36" s="19">
        <v>-2</v>
      </c>
      <c r="H36" s="19">
        <v>-1</v>
      </c>
      <c r="I36" s="19">
        <v>-1</v>
      </c>
      <c r="J36" s="19">
        <v>-1</v>
      </c>
      <c r="K36" s="19">
        <v>-1</v>
      </c>
      <c r="L36" s="19">
        <v>-1</v>
      </c>
      <c r="M36" s="19">
        <v>-1</v>
      </c>
    </row>
    <row r="37" spans="1:13" x14ac:dyDescent="0.25">
      <c r="A37" s="7" t="s">
        <v>821</v>
      </c>
      <c r="B37" s="20"/>
      <c r="C37" s="19">
        <f>C32*B36</f>
        <v>2.1800000000000002</v>
      </c>
      <c r="D37" s="19">
        <f>D32*B36</f>
        <v>1.962</v>
      </c>
      <c r="E37" s="19">
        <f>E32*B36</f>
        <v>1.744</v>
      </c>
      <c r="F37" s="19">
        <f>F32*B36</f>
        <v>1.744</v>
      </c>
      <c r="G37" s="19">
        <f>G32*B36</f>
        <v>1.526</v>
      </c>
      <c r="H37" s="19">
        <f>H32*B36</f>
        <v>1.526</v>
      </c>
      <c r="I37" s="19">
        <f>I32*B36</f>
        <v>1.3080000000000001</v>
      </c>
      <c r="J37" s="19">
        <f>J32*B36</f>
        <v>1.3080000000000001</v>
      </c>
      <c r="K37" s="19">
        <f>K32*B36</f>
        <v>1.0900000000000001</v>
      </c>
      <c r="L37" s="19">
        <f>L32*B36</f>
        <v>1.0900000000000001</v>
      </c>
      <c r="M37" s="19">
        <f>M32*B36</f>
        <v>1.0900000000000001</v>
      </c>
    </row>
    <row r="38" spans="1:13" x14ac:dyDescent="0.25">
      <c r="A38" s="7" t="s">
        <v>832</v>
      </c>
      <c r="B38" s="20"/>
      <c r="C38" s="19">
        <f t="shared" ref="C38:M38" si="6">C37-C36</f>
        <v>4.18</v>
      </c>
      <c r="D38" s="19">
        <f t="shared" si="6"/>
        <v>3.9619999999999997</v>
      </c>
      <c r="E38" s="19">
        <f t="shared" si="6"/>
        <v>3.7439999999999998</v>
      </c>
      <c r="F38" s="19">
        <f t="shared" si="6"/>
        <v>3.7439999999999998</v>
      </c>
      <c r="G38" s="19">
        <f t="shared" si="6"/>
        <v>3.5259999999999998</v>
      </c>
      <c r="H38" s="19">
        <f t="shared" si="6"/>
        <v>2.5259999999999998</v>
      </c>
      <c r="I38" s="19">
        <f t="shared" si="6"/>
        <v>2.3079999999999998</v>
      </c>
      <c r="J38" s="19">
        <f t="shared" si="6"/>
        <v>2.3079999999999998</v>
      </c>
      <c r="K38" s="19">
        <f t="shared" si="6"/>
        <v>2.09</v>
      </c>
      <c r="L38" s="19">
        <f t="shared" si="6"/>
        <v>2.09</v>
      </c>
      <c r="M38" s="19">
        <f t="shared" si="6"/>
        <v>2.09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6" t="s">
        <v>213</v>
      </c>
      <c r="C40" s="13">
        <v>8</v>
      </c>
      <c r="D40" s="13">
        <v>7</v>
      </c>
      <c r="E40" s="13">
        <v>7</v>
      </c>
      <c r="F40" s="13">
        <v>6</v>
      </c>
      <c r="G40" s="13">
        <v>6</v>
      </c>
      <c r="H40" s="13">
        <v>5</v>
      </c>
      <c r="I40" s="13">
        <v>5</v>
      </c>
      <c r="J40" s="13">
        <v>5</v>
      </c>
      <c r="K40" s="13">
        <v>4</v>
      </c>
      <c r="L40" s="13">
        <v>4</v>
      </c>
      <c r="M40" s="13">
        <v>4</v>
      </c>
    </row>
    <row r="41" spans="1:13" x14ac:dyDescent="0.25">
      <c r="A41" s="6" t="s">
        <v>819</v>
      </c>
      <c r="C41" s="13">
        <f t="shared" ref="C41:M41" si="7">C32-C36</f>
        <v>12</v>
      </c>
      <c r="D41" s="13">
        <f t="shared" si="7"/>
        <v>11</v>
      </c>
      <c r="E41" s="13">
        <f t="shared" si="7"/>
        <v>10</v>
      </c>
      <c r="F41" s="13">
        <f t="shared" si="7"/>
        <v>10</v>
      </c>
      <c r="G41" s="13">
        <f t="shared" si="7"/>
        <v>9</v>
      </c>
      <c r="H41" s="13">
        <f t="shared" si="7"/>
        <v>8</v>
      </c>
      <c r="I41" s="13">
        <f t="shared" si="7"/>
        <v>7</v>
      </c>
      <c r="J41" s="13">
        <f t="shared" si="7"/>
        <v>7</v>
      </c>
      <c r="K41" s="13">
        <f t="shared" si="7"/>
        <v>6</v>
      </c>
      <c r="L41" s="13">
        <f t="shared" si="7"/>
        <v>6</v>
      </c>
      <c r="M41" s="13">
        <f t="shared" si="7"/>
        <v>6</v>
      </c>
    </row>
    <row r="42" spans="1:13" x14ac:dyDescent="0.25">
      <c r="A42" s="6" t="s">
        <v>830</v>
      </c>
      <c r="C42" s="13">
        <f t="shared" ref="C42:M42" si="8">C41-C40</f>
        <v>4</v>
      </c>
      <c r="D42" s="13">
        <f t="shared" si="8"/>
        <v>4</v>
      </c>
      <c r="E42" s="13">
        <f t="shared" si="8"/>
        <v>3</v>
      </c>
      <c r="F42" s="13">
        <f t="shared" si="8"/>
        <v>4</v>
      </c>
      <c r="G42" s="13">
        <f t="shared" si="8"/>
        <v>3</v>
      </c>
      <c r="H42" s="13">
        <f t="shared" si="8"/>
        <v>3</v>
      </c>
      <c r="I42" s="13">
        <f t="shared" si="8"/>
        <v>2</v>
      </c>
      <c r="J42" s="13">
        <f t="shared" si="8"/>
        <v>2</v>
      </c>
      <c r="K42" s="13">
        <f t="shared" si="8"/>
        <v>2</v>
      </c>
      <c r="L42" s="13">
        <f t="shared" si="8"/>
        <v>2</v>
      </c>
      <c r="M42" s="13">
        <f t="shared" si="8"/>
        <v>2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7" t="s">
        <v>214</v>
      </c>
      <c r="C44" s="10">
        <v>1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</row>
    <row r="45" spans="1:13" x14ac:dyDescent="0.25">
      <c r="A45" s="6" t="s">
        <v>215</v>
      </c>
      <c r="C45" s="13">
        <v>8</v>
      </c>
      <c r="D45" s="13">
        <v>8</v>
      </c>
      <c r="E45" s="13">
        <v>7</v>
      </c>
      <c r="F45" s="13">
        <v>7</v>
      </c>
      <c r="G45" s="13">
        <v>6</v>
      </c>
      <c r="H45" s="13">
        <v>6</v>
      </c>
      <c r="I45" s="13">
        <v>5</v>
      </c>
      <c r="J45" s="13">
        <v>5</v>
      </c>
      <c r="K45" s="13">
        <v>4</v>
      </c>
      <c r="L45" s="13">
        <v>4</v>
      </c>
      <c r="M45" s="13">
        <v>4</v>
      </c>
    </row>
    <row r="46" spans="1:13" x14ac:dyDescent="0.25">
      <c r="A46" s="6" t="s">
        <v>818</v>
      </c>
      <c r="C46" s="13">
        <f t="shared" ref="C46:M46" si="9">SUM(C40,C44)</f>
        <v>9</v>
      </c>
      <c r="D46" s="13">
        <f t="shared" si="9"/>
        <v>7</v>
      </c>
      <c r="E46" s="13">
        <f t="shared" si="9"/>
        <v>7</v>
      </c>
      <c r="F46" s="13">
        <f t="shared" si="9"/>
        <v>6</v>
      </c>
      <c r="G46" s="13">
        <f t="shared" si="9"/>
        <v>6</v>
      </c>
      <c r="H46" s="13">
        <f t="shared" si="9"/>
        <v>5</v>
      </c>
      <c r="I46" s="13">
        <f t="shared" si="9"/>
        <v>5</v>
      </c>
      <c r="J46" s="13">
        <f t="shared" si="9"/>
        <v>5</v>
      </c>
      <c r="K46" s="13">
        <f t="shared" si="9"/>
        <v>4</v>
      </c>
      <c r="L46" s="13">
        <f t="shared" si="9"/>
        <v>4</v>
      </c>
      <c r="M46" s="13">
        <f t="shared" si="9"/>
        <v>4</v>
      </c>
    </row>
    <row r="47" spans="1:13" x14ac:dyDescent="0.25">
      <c r="A47" s="6" t="s">
        <v>829</v>
      </c>
      <c r="C47" s="13">
        <f t="shared" ref="C47:M47" si="10">C46-C45</f>
        <v>1</v>
      </c>
      <c r="D47" s="13">
        <f t="shared" si="10"/>
        <v>-1</v>
      </c>
      <c r="E47" s="13">
        <f t="shared" si="10"/>
        <v>0</v>
      </c>
      <c r="F47" s="13">
        <f t="shared" si="10"/>
        <v>-1</v>
      </c>
      <c r="G47" s="13">
        <f t="shared" si="10"/>
        <v>0</v>
      </c>
      <c r="H47" s="13">
        <f t="shared" si="10"/>
        <v>-1</v>
      </c>
      <c r="I47" s="13">
        <f t="shared" si="10"/>
        <v>0</v>
      </c>
      <c r="J47" s="13">
        <f t="shared" si="10"/>
        <v>0</v>
      </c>
      <c r="K47" s="13">
        <f t="shared" si="10"/>
        <v>0</v>
      </c>
      <c r="L47" s="13">
        <f t="shared" si="10"/>
        <v>0</v>
      </c>
      <c r="M47" s="13">
        <f t="shared" si="10"/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7" t="s">
        <v>115</v>
      </c>
      <c r="B49" s="20">
        <v>0.11</v>
      </c>
      <c r="C49" s="23">
        <v>0.32590000000000002</v>
      </c>
      <c r="D49" s="23">
        <v>0.29360000000000003</v>
      </c>
      <c r="E49" s="23">
        <v>0.26450000000000001</v>
      </c>
      <c r="F49" s="23">
        <v>0.23830000000000001</v>
      </c>
      <c r="G49" s="23">
        <v>0.2147</v>
      </c>
      <c r="H49" s="23">
        <v>0.19339999999999999</v>
      </c>
      <c r="I49" s="23">
        <v>0.17419999999999999</v>
      </c>
      <c r="J49" s="24">
        <v>0.157</v>
      </c>
      <c r="K49" s="23">
        <v>0.1414</v>
      </c>
      <c r="L49" s="23">
        <v>0.12740000000000001</v>
      </c>
      <c r="M49" s="23">
        <v>0.1148</v>
      </c>
    </row>
    <row r="50" spans="1:13" x14ac:dyDescent="0.25">
      <c r="A50" s="6" t="s">
        <v>116</v>
      </c>
      <c r="C50" s="13">
        <v>3</v>
      </c>
      <c r="D50" s="13">
        <v>2</v>
      </c>
      <c r="E50" s="13">
        <v>2</v>
      </c>
      <c r="F50" s="13">
        <v>2</v>
      </c>
      <c r="G50" s="13">
        <v>1</v>
      </c>
      <c r="H50" s="13">
        <v>1</v>
      </c>
      <c r="I50" s="13">
        <v>1</v>
      </c>
      <c r="J50" s="13">
        <v>1</v>
      </c>
      <c r="K50" s="13">
        <v>1</v>
      </c>
      <c r="L50" s="13">
        <v>1</v>
      </c>
      <c r="M50" s="13">
        <v>0</v>
      </c>
    </row>
    <row r="51" spans="1:13" x14ac:dyDescent="0.25">
      <c r="A51" s="6" t="s">
        <v>822</v>
      </c>
      <c r="C51" s="13">
        <f t="shared" ref="C51:M51" si="11">C45*C49</f>
        <v>2.6072000000000002</v>
      </c>
      <c r="D51" s="13">
        <f t="shared" si="11"/>
        <v>2.3488000000000002</v>
      </c>
      <c r="E51" s="13">
        <f t="shared" si="11"/>
        <v>1.8515000000000001</v>
      </c>
      <c r="F51" s="13">
        <f t="shared" si="11"/>
        <v>1.6681000000000001</v>
      </c>
      <c r="G51" s="13">
        <f t="shared" si="11"/>
        <v>1.2882</v>
      </c>
      <c r="H51" s="13">
        <f t="shared" si="11"/>
        <v>1.1603999999999999</v>
      </c>
      <c r="I51" s="13">
        <f t="shared" si="11"/>
        <v>0.871</v>
      </c>
      <c r="J51" s="13">
        <f t="shared" si="11"/>
        <v>0.78500000000000003</v>
      </c>
      <c r="K51" s="13">
        <f t="shared" si="11"/>
        <v>0.56559999999999999</v>
      </c>
      <c r="L51" s="13">
        <f t="shared" si="11"/>
        <v>0.50960000000000005</v>
      </c>
      <c r="M51" s="13">
        <f t="shared" si="11"/>
        <v>0.4592</v>
      </c>
    </row>
    <row r="52" spans="1:13" x14ac:dyDescent="0.25">
      <c r="A52" s="6" t="s">
        <v>833</v>
      </c>
      <c r="C52" s="13">
        <f t="shared" ref="C52:M52" si="12">C51-C50</f>
        <v>-0.39279999999999982</v>
      </c>
      <c r="D52" s="13">
        <f t="shared" si="12"/>
        <v>0.34880000000000022</v>
      </c>
      <c r="E52" s="13">
        <f t="shared" si="12"/>
        <v>-0.14849999999999985</v>
      </c>
      <c r="F52" s="13">
        <f t="shared" si="12"/>
        <v>-0.33189999999999986</v>
      </c>
      <c r="G52" s="13">
        <f t="shared" si="12"/>
        <v>0.28820000000000001</v>
      </c>
      <c r="H52" s="13">
        <f t="shared" si="12"/>
        <v>0.16039999999999988</v>
      </c>
      <c r="I52" s="13">
        <f t="shared" si="12"/>
        <v>-0.129</v>
      </c>
      <c r="J52" s="13">
        <f t="shared" si="12"/>
        <v>-0.21499999999999997</v>
      </c>
      <c r="K52" s="13">
        <f t="shared" si="12"/>
        <v>-0.43440000000000001</v>
      </c>
      <c r="L52" s="13">
        <f t="shared" si="12"/>
        <v>-0.49039999999999995</v>
      </c>
      <c r="M52" s="13">
        <f t="shared" si="12"/>
        <v>0.4592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9" t="s">
        <v>221</v>
      </c>
    </row>
    <row r="55" spans="1:13" x14ac:dyDescent="0.25">
      <c r="A55" s="7" t="s">
        <v>222</v>
      </c>
      <c r="C55" s="20">
        <v>0.03</v>
      </c>
      <c r="D55" s="20">
        <v>0.03</v>
      </c>
      <c r="E55" s="20">
        <v>0.03</v>
      </c>
      <c r="F55" s="20">
        <v>0.03</v>
      </c>
      <c r="G55" s="20">
        <v>0.03</v>
      </c>
      <c r="H55" s="20">
        <v>0.03</v>
      </c>
      <c r="I55" s="20">
        <v>0.03</v>
      </c>
      <c r="J55" s="20">
        <v>0.03</v>
      </c>
      <c r="K55" s="20">
        <v>0.03</v>
      </c>
      <c r="L55" s="20">
        <v>0.03</v>
      </c>
      <c r="M55" s="20">
        <v>0.03</v>
      </c>
    </row>
    <row r="56" spans="1:13" x14ac:dyDescent="0.25">
      <c r="A56" s="7"/>
      <c r="C56" s="20"/>
      <c r="D56" s="20" t="e">
        <f>(D0-C0)/C0</f>
        <v>#NAME?</v>
      </c>
      <c r="E56" s="20" t="e">
        <f>(E0-D0)/D0</f>
        <v>#NAME?</v>
      </c>
      <c r="F56" s="20" t="e">
        <f>(F0-E0)/E0</f>
        <v>#NAME?</v>
      </c>
      <c r="G56" s="20" t="e">
        <f>(G0-F0)/F0</f>
        <v>#NAME?</v>
      </c>
      <c r="H56" s="20" t="e">
        <f>(H0-G0)/G0</f>
        <v>#NAME?</v>
      </c>
      <c r="I56" s="20" t="e">
        <f>(I0-H0)/H0</f>
        <v>#NAME?</v>
      </c>
      <c r="J56" s="20" t="e">
        <f>(J0-I0)/I0</f>
        <v>#NAME?</v>
      </c>
      <c r="K56" s="20" t="e">
        <f>(K0-J0)/J0</f>
        <v>#NAME?</v>
      </c>
      <c r="L56" s="20" t="e">
        <f>(L0-K0)/K0</f>
        <v>#NAME?</v>
      </c>
      <c r="M56" s="20" t="e">
        <f>(M0-L0)/L0</f>
        <v>#NAME?</v>
      </c>
    </row>
    <row r="57" spans="1:13" x14ac:dyDescent="0.25">
      <c r="A57" s="7"/>
      <c r="C57" s="20">
        <f t="shared" ref="C57:M57" si="13">C56-C55</f>
        <v>-0.03</v>
      </c>
      <c r="D57" s="20" t="e">
        <f t="shared" si="13"/>
        <v>#NAME?</v>
      </c>
      <c r="E57" s="20" t="e">
        <f t="shared" si="13"/>
        <v>#NAME?</v>
      </c>
      <c r="F57" s="20" t="e">
        <f t="shared" si="13"/>
        <v>#NAME?</v>
      </c>
      <c r="G57" s="20" t="e">
        <f t="shared" si="13"/>
        <v>#NAME?</v>
      </c>
      <c r="H57" s="20" t="e">
        <f t="shared" si="13"/>
        <v>#NAME?</v>
      </c>
      <c r="I57" s="20" t="e">
        <f t="shared" si="13"/>
        <v>#NAME?</v>
      </c>
      <c r="J57" s="20" t="e">
        <f t="shared" si="13"/>
        <v>#NAME?</v>
      </c>
      <c r="K57" s="20" t="e">
        <f t="shared" si="13"/>
        <v>#NAME?</v>
      </c>
      <c r="L57" s="20" t="e">
        <f t="shared" si="13"/>
        <v>#NAME?</v>
      </c>
      <c r="M57" s="20" t="e">
        <f t="shared" si="13"/>
        <v>#NAME?</v>
      </c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 t="s">
        <v>288</v>
      </c>
      <c r="C59" s="20">
        <v>0.06</v>
      </c>
      <c r="D59" s="20">
        <v>0.06</v>
      </c>
      <c r="E59" s="20">
        <v>0.06</v>
      </c>
      <c r="F59" s="20">
        <v>0.06</v>
      </c>
      <c r="G59" s="20">
        <v>0.06</v>
      </c>
      <c r="H59" s="20">
        <v>0.06</v>
      </c>
      <c r="I59" s="20">
        <v>0.06</v>
      </c>
      <c r="J59" s="20">
        <v>0.06</v>
      </c>
      <c r="K59" s="20">
        <v>0.06</v>
      </c>
      <c r="L59" s="20">
        <v>0.06</v>
      </c>
      <c r="M59" s="20">
        <v>0.06</v>
      </c>
    </row>
    <row r="60" spans="1:13" x14ac:dyDescent="0.25">
      <c r="A60" s="7" t="s">
        <v>224</v>
      </c>
      <c r="C60" s="20">
        <v>0.30399999999999999</v>
      </c>
      <c r="D60" s="20">
        <v>0.30399999999999999</v>
      </c>
      <c r="E60" s="20">
        <v>0.30399999999999999</v>
      </c>
      <c r="F60" s="20">
        <v>0.30399999999999999</v>
      </c>
      <c r="G60" s="20">
        <v>0.30399999999999999</v>
      </c>
      <c r="H60" s="20">
        <v>0.30399999999999999</v>
      </c>
      <c r="I60" s="20">
        <v>0.30399999999999999</v>
      </c>
      <c r="J60" s="20">
        <v>0.30399999999999999</v>
      </c>
      <c r="K60" s="20">
        <v>0.30399999999999999</v>
      </c>
      <c r="L60" s="20">
        <v>0.30399999999999999</v>
      </c>
      <c r="M60" s="20">
        <v>0.30399999999999999</v>
      </c>
    </row>
    <row r="61" spans="1:13" x14ac:dyDescent="0.25">
      <c r="A61" s="7" t="s">
        <v>823</v>
      </c>
      <c r="C61" s="20" t="e">
        <f>C18/C0</f>
        <v>#NAME?</v>
      </c>
      <c r="D61" s="20" t="e">
        <f>D18/D0</f>
        <v>#NAME?</v>
      </c>
      <c r="E61" s="20" t="e">
        <f>E18/E0</f>
        <v>#NAME?</v>
      </c>
      <c r="F61" s="20" t="e">
        <f>F18/F0</f>
        <v>#NAME?</v>
      </c>
      <c r="G61" s="20" t="e">
        <f>G18/G0</f>
        <v>#NAME?</v>
      </c>
      <c r="H61" s="20" t="e">
        <f>H18/H0</f>
        <v>#NAME?</v>
      </c>
      <c r="I61" s="20" t="e">
        <f>I18/I0</f>
        <v>#NAME?</v>
      </c>
      <c r="J61" s="20" t="e">
        <f>J18/J0</f>
        <v>#NAME?</v>
      </c>
      <c r="K61" s="20" t="e">
        <f>K18/K0</f>
        <v>#NAME?</v>
      </c>
      <c r="L61" s="20" t="e">
        <f>L18/L0</f>
        <v>#NAME?</v>
      </c>
      <c r="M61" s="20" t="e">
        <f>M18/M0</f>
        <v>#NAME?</v>
      </c>
    </row>
    <row r="62" spans="1:13" x14ac:dyDescent="0.25">
      <c r="A62" s="7" t="s">
        <v>834</v>
      </c>
      <c r="C62" s="20" t="e">
        <f t="shared" ref="C62:M62" si="14">C61-C60</f>
        <v>#NAME?</v>
      </c>
      <c r="D62" s="20" t="e">
        <f t="shared" si="14"/>
        <v>#NAME?</v>
      </c>
      <c r="E62" s="20" t="e">
        <f t="shared" si="14"/>
        <v>#NAME?</v>
      </c>
      <c r="F62" s="20" t="e">
        <f t="shared" si="14"/>
        <v>#NAME?</v>
      </c>
      <c r="G62" s="20" t="e">
        <f t="shared" si="14"/>
        <v>#NAME?</v>
      </c>
      <c r="H62" s="20" t="e">
        <f t="shared" si="14"/>
        <v>#NAME?</v>
      </c>
      <c r="I62" s="20" t="e">
        <f t="shared" si="14"/>
        <v>#NAME?</v>
      </c>
      <c r="J62" s="20" t="e">
        <f t="shared" si="14"/>
        <v>#NAME?</v>
      </c>
      <c r="K62" s="20" t="e">
        <f t="shared" si="14"/>
        <v>#NAME?</v>
      </c>
      <c r="L62" s="20" t="e">
        <f t="shared" si="14"/>
        <v>#NAME?</v>
      </c>
      <c r="M62" s="20" t="e">
        <f t="shared" si="14"/>
        <v>#NAME?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0.255</v>
      </c>
      <c r="D65" s="20">
        <v>0.255</v>
      </c>
      <c r="E65" s="20">
        <v>0.255</v>
      </c>
      <c r="F65" s="20">
        <v>0.255</v>
      </c>
      <c r="G65" s="20">
        <v>0.255</v>
      </c>
      <c r="H65" s="20">
        <v>0.255</v>
      </c>
      <c r="I65" s="20">
        <v>0.255</v>
      </c>
      <c r="J65" s="20">
        <v>0.255</v>
      </c>
      <c r="K65" s="20">
        <v>0.255</v>
      </c>
      <c r="L65" s="20">
        <v>0.255</v>
      </c>
      <c r="M65" s="20">
        <v>0.255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-5.0000000000000001E-3</v>
      </c>
      <c r="D69" s="20">
        <v>-5.0000000000000001E-3</v>
      </c>
      <c r="E69" s="20">
        <v>-5.0000000000000001E-3</v>
      </c>
      <c r="F69" s="20">
        <v>-5.0000000000000001E-3</v>
      </c>
      <c r="G69" s="20">
        <v>-5.0000000000000001E-3</v>
      </c>
      <c r="H69" s="20">
        <v>-5.0000000000000001E-3</v>
      </c>
      <c r="I69" s="20">
        <v>-5.0000000000000001E-3</v>
      </c>
      <c r="J69" s="20">
        <v>-5.0000000000000001E-3</v>
      </c>
      <c r="K69" s="20">
        <v>-5.0000000000000001E-3</v>
      </c>
      <c r="L69" s="20">
        <v>-5.0000000000000001E-3</v>
      </c>
      <c r="M69" s="20">
        <v>-5.0000000000000001E-3</v>
      </c>
    </row>
    <row r="70" spans="1:13" x14ac:dyDescent="0.25">
      <c r="A70" s="7" t="s">
        <v>824</v>
      </c>
      <c r="C70" s="20" t="e">
        <f>-C44/C0</f>
        <v>#NAME?</v>
      </c>
      <c r="D70" s="20" t="e">
        <f>-D44/D0</f>
        <v>#NAME?</v>
      </c>
      <c r="E70" s="20" t="e">
        <f>-E44/E0</f>
        <v>#NAME?</v>
      </c>
      <c r="F70" s="20" t="e">
        <f>-F44/F0</f>
        <v>#NAME?</v>
      </c>
      <c r="G70" s="20" t="e">
        <f>-G44/G0</f>
        <v>#NAME?</v>
      </c>
      <c r="H70" s="20" t="e">
        <f>-H44/H0</f>
        <v>#NAME?</v>
      </c>
      <c r="I70" s="20" t="e">
        <f>-I44/I0</f>
        <v>#NAME?</v>
      </c>
      <c r="J70" s="20" t="e">
        <f>-J44/J0</f>
        <v>#NAME?</v>
      </c>
      <c r="K70" s="20" t="e">
        <f>-K44/K0</f>
        <v>#NAME?</v>
      </c>
      <c r="L70" s="20" t="e">
        <f>-L44/L0</f>
        <v>#NAME?</v>
      </c>
      <c r="M70" s="20" t="e">
        <f>-M44/M0</f>
        <v>#NAME?</v>
      </c>
    </row>
    <row r="71" spans="1:13" x14ac:dyDescent="0.25">
      <c r="A71" s="7" t="s">
        <v>835</v>
      </c>
      <c r="C71" s="20" t="e">
        <f t="shared" ref="C71:M71" si="15">C70-C69</f>
        <v>#NAME?</v>
      </c>
      <c r="D71" s="20" t="e">
        <f t="shared" si="15"/>
        <v>#NAME?</v>
      </c>
      <c r="E71" s="20" t="e">
        <f t="shared" si="15"/>
        <v>#NAME?</v>
      </c>
      <c r="F71" s="20" t="e">
        <f t="shared" si="15"/>
        <v>#NAME?</v>
      </c>
      <c r="G71" s="20" t="e">
        <f t="shared" si="15"/>
        <v>#NAME?</v>
      </c>
      <c r="H71" s="20" t="e">
        <f t="shared" si="15"/>
        <v>#NAME?</v>
      </c>
      <c r="I71" s="20" t="e">
        <f t="shared" si="15"/>
        <v>#NAME?</v>
      </c>
      <c r="J71" s="20" t="e">
        <f t="shared" si="15"/>
        <v>#NAME?</v>
      </c>
      <c r="K71" s="20" t="e">
        <f t="shared" si="15"/>
        <v>#NAME?</v>
      </c>
      <c r="L71" s="20" t="e">
        <f t="shared" si="15"/>
        <v>#NAME?</v>
      </c>
      <c r="M71" s="20" t="e">
        <f t="shared" si="15"/>
        <v>#NAME?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289</v>
      </c>
    </row>
    <row r="75" spans="1:13" x14ac:dyDescent="0.25">
      <c r="A75" s="7" t="s">
        <v>290</v>
      </c>
    </row>
    <row r="76" spans="1:13" x14ac:dyDescent="0.25">
      <c r="A76" s="16" t="s">
        <v>61</v>
      </c>
    </row>
    <row r="77" spans="1:13" x14ac:dyDescent="0.25">
      <c r="A77" s="9" t="s">
        <v>62</v>
      </c>
      <c r="M77" s="32" t="s">
        <v>63</v>
      </c>
    </row>
    <row r="78" spans="1:13" x14ac:dyDescent="0.25">
      <c r="F78" s="5" t="s">
        <v>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78"/>
  <sheetViews>
    <sheetView workbookViewId="0">
      <selection activeCell="E12" sqref="E12"/>
    </sheetView>
  </sheetViews>
  <sheetFormatPr defaultRowHeight="15" x14ac:dyDescent="0.25"/>
  <cols>
    <col min="1" max="1" width="62.7109375" bestFit="1" customWidth="1"/>
  </cols>
  <sheetData>
    <row r="1" spans="1:13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3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s="7" t="s">
        <v>839</v>
      </c>
    </row>
    <row r="3" spans="1:13" x14ac:dyDescent="0.25">
      <c r="A3" s="6" t="s">
        <v>9</v>
      </c>
    </row>
    <row r="4" spans="1:13" x14ac:dyDescent="0.25">
      <c r="A4" s="6" t="s">
        <v>278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279</v>
      </c>
      <c r="C8" s="10">
        <v>49</v>
      </c>
      <c r="D8" s="10">
        <v>45</v>
      </c>
      <c r="E8" s="10">
        <v>42</v>
      </c>
      <c r="F8" s="10">
        <v>39</v>
      </c>
      <c r="G8" s="10">
        <v>36</v>
      </c>
      <c r="H8" s="10">
        <v>34</v>
      </c>
      <c r="I8" s="10">
        <v>31</v>
      </c>
      <c r="J8" s="10">
        <v>29</v>
      </c>
      <c r="K8" s="10">
        <v>27</v>
      </c>
    </row>
    <row r="9" spans="1:13" x14ac:dyDescent="0.25">
      <c r="A9" s="7" t="s">
        <v>280</v>
      </c>
      <c r="C9" s="10">
        <v>1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</row>
    <row r="10" spans="1:13" x14ac:dyDescent="0.25">
      <c r="A10" s="7" t="s">
        <v>281</v>
      </c>
      <c r="B10" s="20">
        <v>0.1</v>
      </c>
      <c r="C10" s="19">
        <v>-5</v>
      </c>
      <c r="D10" s="19">
        <v>-5</v>
      </c>
      <c r="E10" s="19">
        <v>-4</v>
      </c>
      <c r="F10" s="19">
        <v>-4</v>
      </c>
      <c r="G10" s="19">
        <v>-4</v>
      </c>
      <c r="H10" s="19">
        <v>-3</v>
      </c>
      <c r="I10" s="19">
        <v>-3</v>
      </c>
      <c r="J10" s="19">
        <v>-3</v>
      </c>
      <c r="K10" s="19">
        <v>-3</v>
      </c>
    </row>
    <row r="11" spans="1:13" x14ac:dyDescent="0.25">
      <c r="A11" s="7" t="s">
        <v>208</v>
      </c>
      <c r="C11" s="10">
        <v>45</v>
      </c>
      <c r="D11" s="10">
        <v>42</v>
      </c>
      <c r="E11" s="10">
        <v>39</v>
      </c>
      <c r="F11" s="10">
        <v>36</v>
      </c>
      <c r="G11" s="10">
        <v>34</v>
      </c>
      <c r="H11" s="10">
        <v>31</v>
      </c>
      <c r="I11" s="10">
        <v>29</v>
      </c>
      <c r="J11" s="10">
        <v>27</v>
      </c>
      <c r="K11" s="10">
        <v>25</v>
      </c>
    </row>
    <row r="12" spans="1:13" x14ac:dyDescent="0.25">
      <c r="A12" s="7" t="s">
        <v>815</v>
      </c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t="e">
        <f>SUM(L0,L0)</f>
        <v>#NAME?</v>
      </c>
      <c r="M12" t="e">
        <f>SUM(M0,M0)</f>
        <v>#NAME?</v>
      </c>
    </row>
    <row r="13" spans="1:13" x14ac:dyDescent="0.25">
      <c r="A13" s="7" t="s">
        <v>826</v>
      </c>
      <c r="C13" s="10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t="e">
        <f t="shared" si="0"/>
        <v>#NAME?</v>
      </c>
      <c r="M13" t="e">
        <f t="shared" si="0"/>
        <v>#NAME?</v>
      </c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</row>
    <row r="15" spans="1:13" x14ac:dyDescent="0.25">
      <c r="A15" s="7" t="s">
        <v>282</v>
      </c>
      <c r="C15" s="10">
        <v>47</v>
      </c>
      <c r="D15" s="10">
        <v>44</v>
      </c>
      <c r="E15" s="10">
        <v>41</v>
      </c>
      <c r="F15" s="10">
        <v>38</v>
      </c>
      <c r="G15" s="10">
        <v>35</v>
      </c>
      <c r="H15" s="10">
        <v>32</v>
      </c>
      <c r="I15" s="10">
        <v>30</v>
      </c>
      <c r="J15" s="10">
        <v>28</v>
      </c>
      <c r="K15" s="10">
        <v>26</v>
      </c>
    </row>
    <row r="16" spans="1:13" x14ac:dyDescent="0.25">
      <c r="A16" s="7" t="s">
        <v>283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</row>
    <row r="17" spans="1:13" x14ac:dyDescent="0.25">
      <c r="A17" s="7" t="s">
        <v>284</v>
      </c>
      <c r="C17" s="13">
        <v>47</v>
      </c>
      <c r="D17" s="13">
        <v>44</v>
      </c>
      <c r="E17" s="13">
        <v>41</v>
      </c>
      <c r="F17" s="13">
        <v>38</v>
      </c>
      <c r="G17" s="13">
        <v>35</v>
      </c>
      <c r="H17" s="13">
        <v>32</v>
      </c>
      <c r="I17" s="13">
        <v>30</v>
      </c>
      <c r="J17" s="13">
        <v>28</v>
      </c>
      <c r="K17" s="13">
        <v>26</v>
      </c>
    </row>
    <row r="18" spans="1:13" x14ac:dyDescent="0.25">
      <c r="A18" s="6" t="s">
        <v>106</v>
      </c>
      <c r="C18" s="13">
        <v>14</v>
      </c>
      <c r="D18" s="13">
        <v>13</v>
      </c>
      <c r="E18" s="13">
        <v>12</v>
      </c>
      <c r="F18" s="13">
        <v>11</v>
      </c>
      <c r="G18" s="13">
        <v>11</v>
      </c>
      <c r="H18" s="13">
        <v>10</v>
      </c>
      <c r="I18" s="13">
        <v>9</v>
      </c>
      <c r="J18" s="13">
        <v>8</v>
      </c>
      <c r="K18" s="13">
        <v>8</v>
      </c>
    </row>
    <row r="19" spans="1:13" x14ac:dyDescent="0.25">
      <c r="A19" s="7" t="s">
        <v>107</v>
      </c>
      <c r="C19" s="19">
        <v>-2</v>
      </c>
      <c r="D19" s="19">
        <v>-2</v>
      </c>
      <c r="E19" s="19">
        <v>-2</v>
      </c>
      <c r="F19" s="19">
        <v>-2</v>
      </c>
      <c r="G19" s="19">
        <v>-2</v>
      </c>
      <c r="H19" s="19">
        <v>-2</v>
      </c>
      <c r="I19" s="19">
        <v>-1</v>
      </c>
      <c r="J19" s="19">
        <v>-1</v>
      </c>
      <c r="K19" s="19">
        <v>-1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6" t="s">
        <v>211</v>
      </c>
      <c r="C23" s="13">
        <v>12</v>
      </c>
      <c r="D23" s="13">
        <v>11</v>
      </c>
      <c r="E23" s="13">
        <v>10</v>
      </c>
      <c r="F23" s="13">
        <v>10</v>
      </c>
      <c r="G23" s="13">
        <v>9</v>
      </c>
      <c r="H23" s="13">
        <v>8</v>
      </c>
      <c r="I23" s="13">
        <v>8</v>
      </c>
      <c r="J23" s="13">
        <v>7</v>
      </c>
      <c r="K23" s="13">
        <v>7</v>
      </c>
    </row>
    <row r="24" spans="1:13" x14ac:dyDescent="0.25">
      <c r="A24" s="6" t="s">
        <v>816</v>
      </c>
      <c r="C24" s="13">
        <f t="shared" ref="C24:M24" si="1">SUM(C18,C19)</f>
        <v>12</v>
      </c>
      <c r="D24" s="13">
        <f t="shared" si="1"/>
        <v>11</v>
      </c>
      <c r="E24" s="13">
        <f t="shared" si="1"/>
        <v>10</v>
      </c>
      <c r="F24" s="13">
        <f t="shared" si="1"/>
        <v>9</v>
      </c>
      <c r="G24" s="13">
        <f t="shared" si="1"/>
        <v>9</v>
      </c>
      <c r="H24" s="13">
        <f t="shared" si="1"/>
        <v>8</v>
      </c>
      <c r="I24" s="13">
        <f t="shared" si="1"/>
        <v>8</v>
      </c>
      <c r="J24" s="13">
        <f t="shared" si="1"/>
        <v>7</v>
      </c>
      <c r="K24" s="13">
        <f t="shared" si="1"/>
        <v>7</v>
      </c>
      <c r="L24">
        <f t="shared" si="1"/>
        <v>0</v>
      </c>
      <c r="M24">
        <f t="shared" si="1"/>
        <v>0</v>
      </c>
    </row>
    <row r="25" spans="1:13" x14ac:dyDescent="0.25">
      <c r="A25" s="6" t="s">
        <v>827</v>
      </c>
      <c r="C25" s="13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>
        <f t="shared" ca="1" si="2"/>
        <v>0</v>
      </c>
      <c r="M25">
        <f t="shared" ca="1" si="2"/>
        <v>0</v>
      </c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</row>
    <row r="27" spans="1:13" x14ac:dyDescent="0.25">
      <c r="A27" s="7" t="s">
        <v>210</v>
      </c>
      <c r="B27" s="20">
        <v>1.4999999999999999E-2</v>
      </c>
      <c r="C27" s="19">
        <v>-1</v>
      </c>
      <c r="D27" s="19">
        <v>-1</v>
      </c>
      <c r="E27" s="19">
        <v>-1</v>
      </c>
      <c r="F27" s="19">
        <v>-1</v>
      </c>
      <c r="G27" s="19">
        <v>-1</v>
      </c>
      <c r="H27" s="19">
        <v>0</v>
      </c>
      <c r="I27" s="19">
        <v>0</v>
      </c>
      <c r="J27" s="19">
        <v>0</v>
      </c>
      <c r="K27" s="19">
        <v>0</v>
      </c>
    </row>
    <row r="28" spans="1:13" x14ac:dyDescent="0.25">
      <c r="A28" s="7" t="s">
        <v>820</v>
      </c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t="e">
        <f>L0*B27</f>
        <v>#NAME?</v>
      </c>
      <c r="M28" t="e">
        <f>M0*B27</f>
        <v>#NAME?</v>
      </c>
    </row>
    <row r="29" spans="1:13" x14ac:dyDescent="0.25">
      <c r="A29" s="7" t="s">
        <v>831</v>
      </c>
      <c r="B29" s="20"/>
      <c r="C29" s="19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t="e">
        <f t="shared" si="3"/>
        <v>#NAME?</v>
      </c>
      <c r="M29" t="e">
        <f t="shared" si="3"/>
        <v>#NAME?</v>
      </c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</row>
    <row r="31" spans="1:13" x14ac:dyDescent="0.25">
      <c r="A31" s="7" t="s">
        <v>285</v>
      </c>
      <c r="B31" s="20">
        <v>0.15</v>
      </c>
      <c r="C31" s="19">
        <v>-7</v>
      </c>
      <c r="D31" s="19">
        <v>-7</v>
      </c>
      <c r="E31" s="19">
        <v>-6</v>
      </c>
      <c r="F31" s="19">
        <v>-6</v>
      </c>
      <c r="G31" s="19">
        <v>-5</v>
      </c>
      <c r="H31" s="19">
        <v>-5</v>
      </c>
      <c r="I31" s="19">
        <v>-5</v>
      </c>
      <c r="J31" s="19">
        <v>-4</v>
      </c>
      <c r="K31" s="19">
        <v>-4</v>
      </c>
    </row>
    <row r="32" spans="1:13" x14ac:dyDescent="0.25">
      <c r="A32" s="6" t="s">
        <v>108</v>
      </c>
      <c r="C32" s="13">
        <v>4</v>
      </c>
      <c r="D32" s="13">
        <v>4</v>
      </c>
      <c r="E32" s="13">
        <v>4</v>
      </c>
      <c r="F32" s="13">
        <v>3</v>
      </c>
      <c r="G32" s="13">
        <v>3</v>
      </c>
      <c r="H32" s="13">
        <v>3</v>
      </c>
      <c r="I32" s="13">
        <v>3</v>
      </c>
      <c r="J32" s="13">
        <v>3</v>
      </c>
      <c r="K32" s="13">
        <v>2</v>
      </c>
    </row>
    <row r="33" spans="1:13" x14ac:dyDescent="0.25">
      <c r="A33" s="6" t="s">
        <v>817</v>
      </c>
      <c r="C33" s="13">
        <f t="shared" ref="C33:M33" si="4">SUM(C23,C27)</f>
        <v>11</v>
      </c>
      <c r="D33" s="13">
        <f t="shared" si="4"/>
        <v>10</v>
      </c>
      <c r="E33" s="13">
        <f t="shared" si="4"/>
        <v>9</v>
      </c>
      <c r="F33" s="13">
        <f t="shared" si="4"/>
        <v>9</v>
      </c>
      <c r="G33" s="13">
        <f t="shared" si="4"/>
        <v>8</v>
      </c>
      <c r="H33" s="13">
        <f t="shared" si="4"/>
        <v>8</v>
      </c>
      <c r="I33" s="13">
        <f t="shared" si="4"/>
        <v>8</v>
      </c>
      <c r="J33" s="13">
        <f t="shared" si="4"/>
        <v>7</v>
      </c>
      <c r="K33" s="13">
        <f t="shared" si="4"/>
        <v>7</v>
      </c>
      <c r="L33">
        <f t="shared" si="4"/>
        <v>0</v>
      </c>
      <c r="M33">
        <f t="shared" si="4"/>
        <v>0</v>
      </c>
    </row>
    <row r="34" spans="1:13" x14ac:dyDescent="0.25">
      <c r="A34" s="6" t="s">
        <v>828</v>
      </c>
      <c r="C34" s="13">
        <f t="shared" ref="C34:M34" si="5">C33-C32</f>
        <v>7</v>
      </c>
      <c r="D34" s="13">
        <f t="shared" si="5"/>
        <v>6</v>
      </c>
      <c r="E34" s="13">
        <f t="shared" si="5"/>
        <v>5</v>
      </c>
      <c r="F34" s="13">
        <f t="shared" si="5"/>
        <v>6</v>
      </c>
      <c r="G34" s="13">
        <f t="shared" si="5"/>
        <v>5</v>
      </c>
      <c r="H34" s="13">
        <f t="shared" si="5"/>
        <v>5</v>
      </c>
      <c r="I34" s="13">
        <f t="shared" si="5"/>
        <v>5</v>
      </c>
      <c r="J34" s="13">
        <f t="shared" si="5"/>
        <v>4</v>
      </c>
      <c r="K34" s="13">
        <f t="shared" si="5"/>
        <v>5</v>
      </c>
      <c r="L34">
        <f t="shared" si="5"/>
        <v>0</v>
      </c>
      <c r="M34">
        <f t="shared" si="5"/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7" t="s">
        <v>212</v>
      </c>
      <c r="B36" s="20">
        <v>0.218</v>
      </c>
      <c r="C36" s="19">
        <v>-1</v>
      </c>
      <c r="D36" s="19">
        <v>-1</v>
      </c>
      <c r="E36" s="19">
        <v>-1</v>
      </c>
      <c r="F36" s="19">
        <v>-1</v>
      </c>
      <c r="G36" s="19">
        <v>-1</v>
      </c>
      <c r="H36" s="19">
        <v>-1</v>
      </c>
      <c r="I36" s="19">
        <v>-1</v>
      </c>
      <c r="J36" s="19">
        <v>-1</v>
      </c>
      <c r="K36" s="19">
        <v>-1</v>
      </c>
    </row>
    <row r="37" spans="1:13" x14ac:dyDescent="0.25">
      <c r="A37" s="7" t="s">
        <v>821</v>
      </c>
      <c r="B37" s="20"/>
      <c r="C37" s="19">
        <f>C32*B36</f>
        <v>0.872</v>
      </c>
      <c r="D37" s="19">
        <f>D32*B36</f>
        <v>0.872</v>
      </c>
      <c r="E37" s="19">
        <f>E32*B36</f>
        <v>0.872</v>
      </c>
      <c r="F37" s="19">
        <f>F32*B36</f>
        <v>0.65400000000000003</v>
      </c>
      <c r="G37" s="19">
        <f>G32*B36</f>
        <v>0.65400000000000003</v>
      </c>
      <c r="H37" s="19">
        <f>H32*B36</f>
        <v>0.65400000000000003</v>
      </c>
      <c r="I37" s="19">
        <f>I32*B36</f>
        <v>0.65400000000000003</v>
      </c>
      <c r="J37" s="19">
        <f>J32*B36</f>
        <v>0.65400000000000003</v>
      </c>
      <c r="K37" s="19">
        <f>K32*B36</f>
        <v>0.436</v>
      </c>
      <c r="L37">
        <f>L32*B36</f>
        <v>0</v>
      </c>
      <c r="M37">
        <f>M32*B36</f>
        <v>0</v>
      </c>
    </row>
    <row r="38" spans="1:13" x14ac:dyDescent="0.25">
      <c r="A38" s="7" t="s">
        <v>832</v>
      </c>
      <c r="B38" s="20"/>
      <c r="C38" s="19">
        <f t="shared" ref="C38:M38" si="6">C37-C36</f>
        <v>1.8719999999999999</v>
      </c>
      <c r="D38" s="19">
        <f t="shared" si="6"/>
        <v>1.8719999999999999</v>
      </c>
      <c r="E38" s="19">
        <f t="shared" si="6"/>
        <v>1.8719999999999999</v>
      </c>
      <c r="F38" s="19">
        <f t="shared" si="6"/>
        <v>1.6539999999999999</v>
      </c>
      <c r="G38" s="19">
        <f t="shared" si="6"/>
        <v>1.6539999999999999</v>
      </c>
      <c r="H38" s="19">
        <f t="shared" si="6"/>
        <v>1.6539999999999999</v>
      </c>
      <c r="I38" s="19">
        <f t="shared" si="6"/>
        <v>1.6539999999999999</v>
      </c>
      <c r="J38" s="19">
        <f t="shared" si="6"/>
        <v>1.6539999999999999</v>
      </c>
      <c r="K38" s="19">
        <f t="shared" si="6"/>
        <v>1.4359999999999999</v>
      </c>
      <c r="L38">
        <f t="shared" si="6"/>
        <v>0</v>
      </c>
      <c r="M38">
        <f t="shared" si="6"/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6" t="s">
        <v>213</v>
      </c>
      <c r="C40" s="13">
        <v>3</v>
      </c>
      <c r="D40" s="13">
        <v>3</v>
      </c>
      <c r="E40" s="13">
        <v>3</v>
      </c>
      <c r="F40" s="13">
        <v>3</v>
      </c>
      <c r="G40" s="13">
        <v>2</v>
      </c>
      <c r="H40" s="13">
        <v>2</v>
      </c>
      <c r="I40" s="13">
        <v>2</v>
      </c>
      <c r="J40" s="13">
        <v>2</v>
      </c>
      <c r="K40" s="13">
        <v>2</v>
      </c>
    </row>
    <row r="41" spans="1:13" x14ac:dyDescent="0.25">
      <c r="A41" s="6" t="s">
        <v>819</v>
      </c>
      <c r="C41" s="13">
        <f t="shared" ref="C41:M41" si="7">C32-C36</f>
        <v>5</v>
      </c>
      <c r="D41" s="13">
        <f t="shared" si="7"/>
        <v>5</v>
      </c>
      <c r="E41" s="13">
        <f t="shared" si="7"/>
        <v>5</v>
      </c>
      <c r="F41" s="13">
        <f t="shared" si="7"/>
        <v>4</v>
      </c>
      <c r="G41" s="13">
        <f t="shared" si="7"/>
        <v>4</v>
      </c>
      <c r="H41" s="13">
        <f t="shared" si="7"/>
        <v>4</v>
      </c>
      <c r="I41" s="13">
        <f t="shared" si="7"/>
        <v>4</v>
      </c>
      <c r="J41" s="13">
        <f t="shared" si="7"/>
        <v>4</v>
      </c>
      <c r="K41" s="13">
        <f t="shared" si="7"/>
        <v>3</v>
      </c>
      <c r="L41">
        <f t="shared" si="7"/>
        <v>0</v>
      </c>
      <c r="M41">
        <f t="shared" si="7"/>
        <v>0</v>
      </c>
    </row>
    <row r="42" spans="1:13" x14ac:dyDescent="0.25">
      <c r="A42" s="6" t="s">
        <v>830</v>
      </c>
      <c r="C42" s="13">
        <f t="shared" ref="C42:M42" si="8">C41-C40</f>
        <v>2</v>
      </c>
      <c r="D42" s="13">
        <f t="shared" si="8"/>
        <v>2</v>
      </c>
      <c r="E42" s="13">
        <f t="shared" si="8"/>
        <v>2</v>
      </c>
      <c r="F42" s="13">
        <f t="shared" si="8"/>
        <v>1</v>
      </c>
      <c r="G42" s="13">
        <f t="shared" si="8"/>
        <v>2</v>
      </c>
      <c r="H42" s="13">
        <f t="shared" si="8"/>
        <v>2</v>
      </c>
      <c r="I42" s="13">
        <f t="shared" si="8"/>
        <v>2</v>
      </c>
      <c r="J42" s="13">
        <f t="shared" si="8"/>
        <v>2</v>
      </c>
      <c r="K42" s="13">
        <f t="shared" si="8"/>
        <v>1</v>
      </c>
      <c r="L42">
        <f t="shared" si="8"/>
        <v>0</v>
      </c>
      <c r="M42">
        <f t="shared" si="8"/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7" t="s">
        <v>214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</row>
    <row r="45" spans="1:13" x14ac:dyDescent="0.25">
      <c r="A45" s="6" t="s">
        <v>215</v>
      </c>
      <c r="C45" s="13">
        <v>4</v>
      </c>
      <c r="D45" s="13">
        <v>3</v>
      </c>
      <c r="E45" s="13">
        <v>3</v>
      </c>
      <c r="F45" s="13">
        <v>3</v>
      </c>
      <c r="G45" s="13">
        <v>3</v>
      </c>
      <c r="H45" s="13">
        <v>2</v>
      </c>
      <c r="I45" s="13">
        <v>2</v>
      </c>
      <c r="J45" s="13">
        <v>2</v>
      </c>
      <c r="K45" s="13">
        <v>2</v>
      </c>
    </row>
    <row r="46" spans="1:13" x14ac:dyDescent="0.25">
      <c r="A46" s="6" t="s">
        <v>818</v>
      </c>
      <c r="C46" s="13">
        <f t="shared" ref="C46:M46" si="9">SUM(C40,C44)</f>
        <v>3</v>
      </c>
      <c r="D46" s="13">
        <f t="shared" si="9"/>
        <v>3</v>
      </c>
      <c r="E46" s="13">
        <f t="shared" si="9"/>
        <v>3</v>
      </c>
      <c r="F46" s="13">
        <f t="shared" si="9"/>
        <v>3</v>
      </c>
      <c r="G46" s="13">
        <f t="shared" si="9"/>
        <v>2</v>
      </c>
      <c r="H46" s="13">
        <f t="shared" si="9"/>
        <v>2</v>
      </c>
      <c r="I46" s="13">
        <f t="shared" si="9"/>
        <v>2</v>
      </c>
      <c r="J46" s="13">
        <f t="shared" si="9"/>
        <v>2</v>
      </c>
      <c r="K46" s="13">
        <f t="shared" si="9"/>
        <v>2</v>
      </c>
      <c r="L46">
        <f t="shared" si="9"/>
        <v>0</v>
      </c>
      <c r="M46">
        <f t="shared" si="9"/>
        <v>0</v>
      </c>
    </row>
    <row r="47" spans="1:13" x14ac:dyDescent="0.25">
      <c r="A47" s="6" t="s">
        <v>829</v>
      </c>
      <c r="C47" s="13">
        <f t="shared" ref="C47:M47" si="10">C46-C45</f>
        <v>-1</v>
      </c>
      <c r="D47" s="13">
        <f t="shared" si="10"/>
        <v>0</v>
      </c>
      <c r="E47" s="13">
        <f t="shared" si="10"/>
        <v>0</v>
      </c>
      <c r="F47" s="13">
        <f t="shared" si="10"/>
        <v>0</v>
      </c>
      <c r="G47" s="13">
        <f t="shared" si="10"/>
        <v>-1</v>
      </c>
      <c r="H47" s="13">
        <f t="shared" si="10"/>
        <v>0</v>
      </c>
      <c r="I47" s="13">
        <f t="shared" si="10"/>
        <v>0</v>
      </c>
      <c r="J47" s="13">
        <f t="shared" si="10"/>
        <v>0</v>
      </c>
      <c r="K47" s="13">
        <f t="shared" si="10"/>
        <v>0</v>
      </c>
      <c r="L47">
        <f t="shared" si="10"/>
        <v>0</v>
      </c>
      <c r="M47">
        <f t="shared" si="10"/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7" t="s">
        <v>115</v>
      </c>
      <c r="B49" s="20">
        <v>0.11</v>
      </c>
      <c r="C49" s="23">
        <v>0.10340000000000001</v>
      </c>
      <c r="D49" s="23">
        <v>9.3100000000000002E-2</v>
      </c>
      <c r="E49" s="23">
        <v>8.3900000000000002E-2</v>
      </c>
      <c r="F49" s="23">
        <v>7.5600000000000001E-2</v>
      </c>
      <c r="G49" s="23">
        <v>6.8099999999999994E-2</v>
      </c>
      <c r="H49" s="23">
        <v>6.1400000000000003E-2</v>
      </c>
      <c r="I49" s="23">
        <v>5.5300000000000002E-2</v>
      </c>
      <c r="J49" s="23">
        <v>4.9799999999999997E-2</v>
      </c>
      <c r="K49" s="23">
        <v>4.4900000000000002E-2</v>
      </c>
    </row>
    <row r="50" spans="1:13" x14ac:dyDescent="0.25">
      <c r="A50" s="6" t="s">
        <v>116</v>
      </c>
      <c r="C50" s="13">
        <v>0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1:13" x14ac:dyDescent="0.25">
      <c r="A51" s="6" t="s">
        <v>822</v>
      </c>
      <c r="C51" s="13">
        <f t="shared" ref="C51:M51" si="11">C45*C49</f>
        <v>0.41360000000000002</v>
      </c>
      <c r="D51" s="13">
        <f t="shared" si="11"/>
        <v>0.27929999999999999</v>
      </c>
      <c r="E51" s="13">
        <f t="shared" si="11"/>
        <v>0.25170000000000003</v>
      </c>
      <c r="F51" s="13">
        <f t="shared" si="11"/>
        <v>0.2268</v>
      </c>
      <c r="G51" s="13">
        <f t="shared" si="11"/>
        <v>0.20429999999999998</v>
      </c>
      <c r="H51" s="13">
        <f t="shared" si="11"/>
        <v>0.12280000000000001</v>
      </c>
      <c r="I51" s="13">
        <f t="shared" si="11"/>
        <v>0.1106</v>
      </c>
      <c r="J51" s="13">
        <f t="shared" si="11"/>
        <v>9.9599999999999994E-2</v>
      </c>
      <c r="K51" s="13">
        <f t="shared" si="11"/>
        <v>8.9800000000000005E-2</v>
      </c>
      <c r="L51">
        <f t="shared" si="11"/>
        <v>0</v>
      </c>
      <c r="M51">
        <f t="shared" si="11"/>
        <v>0</v>
      </c>
    </row>
    <row r="52" spans="1:13" x14ac:dyDescent="0.25">
      <c r="A52" s="6" t="s">
        <v>833</v>
      </c>
      <c r="C52" s="13">
        <f t="shared" ref="C52:M52" si="12">C51-C50</f>
        <v>0.41360000000000002</v>
      </c>
      <c r="D52" s="13">
        <f t="shared" si="12"/>
        <v>0.27929999999999999</v>
      </c>
      <c r="E52" s="13">
        <f t="shared" si="12"/>
        <v>0.25170000000000003</v>
      </c>
      <c r="F52" s="13">
        <f t="shared" si="12"/>
        <v>0.2268</v>
      </c>
      <c r="G52" s="13">
        <f t="shared" si="12"/>
        <v>0.20429999999999998</v>
      </c>
      <c r="H52" s="13">
        <f t="shared" si="12"/>
        <v>0.12280000000000001</v>
      </c>
      <c r="I52" s="13">
        <f t="shared" si="12"/>
        <v>0.1106</v>
      </c>
      <c r="J52" s="13">
        <f t="shared" si="12"/>
        <v>9.9599999999999994E-2</v>
      </c>
      <c r="K52" s="13">
        <f t="shared" si="12"/>
        <v>8.9800000000000005E-2</v>
      </c>
      <c r="L52">
        <f t="shared" si="12"/>
        <v>0</v>
      </c>
      <c r="M52">
        <f t="shared" si="12"/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9" t="s">
        <v>221</v>
      </c>
    </row>
    <row r="55" spans="1:13" x14ac:dyDescent="0.25">
      <c r="A55" s="7" t="s">
        <v>222</v>
      </c>
      <c r="C55" s="20">
        <v>0.03</v>
      </c>
      <c r="D55" s="20">
        <v>0.03</v>
      </c>
      <c r="E55" s="20">
        <v>0.03</v>
      </c>
      <c r="F55" s="20">
        <v>0.03</v>
      </c>
      <c r="G55" s="20">
        <v>0.03</v>
      </c>
      <c r="H55" s="20">
        <v>0.03</v>
      </c>
      <c r="I55" s="20">
        <v>0.03</v>
      </c>
      <c r="J55" s="20">
        <v>0.03</v>
      </c>
      <c r="K55" s="20">
        <v>0.03</v>
      </c>
    </row>
    <row r="56" spans="1:13" x14ac:dyDescent="0.25">
      <c r="A56" s="7"/>
      <c r="C56" s="20"/>
      <c r="D56" s="20" t="e">
        <f>(D0-C0)/C0</f>
        <v>#NAME?</v>
      </c>
      <c r="E56" s="20" t="e">
        <f>(E0-D0)/D0</f>
        <v>#NAME?</v>
      </c>
      <c r="F56" s="20" t="e">
        <f>(F0-E0)/E0</f>
        <v>#NAME?</v>
      </c>
      <c r="G56" s="20" t="e">
        <f>(G0-F0)/F0</f>
        <v>#NAME?</v>
      </c>
      <c r="H56" s="20" t="e">
        <f>(H0-G0)/G0</f>
        <v>#NAME?</v>
      </c>
      <c r="I56" s="20" t="e">
        <f>(I0-H0)/H0</f>
        <v>#NAME?</v>
      </c>
      <c r="J56" s="20" t="e">
        <f>(J0-I0)/I0</f>
        <v>#NAME?</v>
      </c>
      <c r="K56" s="20" t="e">
        <f>(K0-J0)/J0</f>
        <v>#NAME?</v>
      </c>
      <c r="L56" t="e">
        <f>(L0-K0)/K0</f>
        <v>#NAME?</v>
      </c>
      <c r="M56" t="e">
        <f>(M0-L0)/L0</f>
        <v>#NAME?</v>
      </c>
    </row>
    <row r="57" spans="1:13" x14ac:dyDescent="0.25">
      <c r="A57" s="7"/>
      <c r="C57" s="20">
        <f t="shared" ref="C57:M57" si="13">C56-C55</f>
        <v>-0.03</v>
      </c>
      <c r="D57" s="20" t="e">
        <f t="shared" si="13"/>
        <v>#NAME?</v>
      </c>
      <c r="E57" s="20" t="e">
        <f t="shared" si="13"/>
        <v>#NAME?</v>
      </c>
      <c r="F57" s="20" t="e">
        <f t="shared" si="13"/>
        <v>#NAME?</v>
      </c>
      <c r="G57" s="20" t="e">
        <f t="shared" si="13"/>
        <v>#NAME?</v>
      </c>
      <c r="H57" s="20" t="e">
        <f t="shared" si="13"/>
        <v>#NAME?</v>
      </c>
      <c r="I57" s="20" t="e">
        <f t="shared" si="13"/>
        <v>#NAME?</v>
      </c>
      <c r="J57" s="20" t="e">
        <f t="shared" si="13"/>
        <v>#NAME?</v>
      </c>
      <c r="K57" s="20" t="e">
        <f t="shared" si="13"/>
        <v>#NAME?</v>
      </c>
      <c r="L57" t="e">
        <f t="shared" si="13"/>
        <v>#NAME?</v>
      </c>
      <c r="M57" t="e">
        <f t="shared" si="13"/>
        <v>#NAME?</v>
      </c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 t="s">
        <v>288</v>
      </c>
      <c r="C59" s="20">
        <v>0.06</v>
      </c>
      <c r="D59" s="20">
        <v>0.06</v>
      </c>
      <c r="E59" s="20">
        <v>0.06</v>
      </c>
      <c r="F59" s="20">
        <v>0.06</v>
      </c>
      <c r="G59" s="20">
        <v>0.06</v>
      </c>
      <c r="H59" s="20">
        <v>0.06</v>
      </c>
      <c r="I59" s="20">
        <v>0.06</v>
      </c>
      <c r="J59" s="20">
        <v>0.06</v>
      </c>
      <c r="K59" s="20">
        <v>0.06</v>
      </c>
    </row>
    <row r="60" spans="1:13" x14ac:dyDescent="0.25">
      <c r="A60" s="7" t="s">
        <v>224</v>
      </c>
      <c r="C60" s="20">
        <v>0.30399999999999999</v>
      </c>
      <c r="D60" s="20">
        <v>0.30399999999999999</v>
      </c>
      <c r="E60" s="20">
        <v>0.30399999999999999</v>
      </c>
      <c r="F60" s="20">
        <v>0.30399999999999999</v>
      </c>
      <c r="G60" s="20">
        <v>0.30399999999999999</v>
      </c>
      <c r="H60" s="20">
        <v>0.30399999999999999</v>
      </c>
      <c r="I60" s="20">
        <v>0.30399999999999999</v>
      </c>
      <c r="J60" s="20">
        <v>0.30399999999999999</v>
      </c>
      <c r="K60" s="20">
        <v>0.30399999999999999</v>
      </c>
    </row>
    <row r="61" spans="1:13" x14ac:dyDescent="0.25">
      <c r="A61" s="7" t="s">
        <v>823</v>
      </c>
      <c r="C61" s="20" t="e">
        <f>C18/C0</f>
        <v>#NAME?</v>
      </c>
      <c r="D61" s="20" t="e">
        <f>D18/D0</f>
        <v>#NAME?</v>
      </c>
      <c r="E61" s="20" t="e">
        <f>E18/E0</f>
        <v>#NAME?</v>
      </c>
      <c r="F61" s="20" t="e">
        <f>F18/F0</f>
        <v>#NAME?</v>
      </c>
      <c r="G61" s="20" t="e">
        <f>G18/G0</f>
        <v>#NAME?</v>
      </c>
      <c r="H61" s="20" t="e">
        <f>H18/H0</f>
        <v>#NAME?</v>
      </c>
      <c r="I61" s="20" t="e">
        <f>I18/I0</f>
        <v>#NAME?</v>
      </c>
      <c r="J61" s="20" t="e">
        <f>J18/J0</f>
        <v>#NAME?</v>
      </c>
      <c r="K61" s="20" t="e">
        <f>K18/K0</f>
        <v>#NAME?</v>
      </c>
      <c r="L61" t="e">
        <f>L18/L0</f>
        <v>#NAME?</v>
      </c>
      <c r="M61" t="e">
        <f>M18/M0</f>
        <v>#NAME?</v>
      </c>
    </row>
    <row r="62" spans="1:13" x14ac:dyDescent="0.25">
      <c r="A62" s="7" t="s">
        <v>834</v>
      </c>
      <c r="C62" s="20" t="e">
        <f t="shared" ref="C62:M62" si="14">C61-C60</f>
        <v>#NAME?</v>
      </c>
      <c r="D62" s="20" t="e">
        <f t="shared" si="14"/>
        <v>#NAME?</v>
      </c>
      <c r="E62" s="20" t="e">
        <f t="shared" si="14"/>
        <v>#NAME?</v>
      </c>
      <c r="F62" s="20" t="e">
        <f t="shared" si="14"/>
        <v>#NAME?</v>
      </c>
      <c r="G62" s="20" t="e">
        <f t="shared" si="14"/>
        <v>#NAME?</v>
      </c>
      <c r="H62" s="20" t="e">
        <f t="shared" si="14"/>
        <v>#NAME?</v>
      </c>
      <c r="I62" s="20" t="e">
        <f t="shared" si="14"/>
        <v>#NAME?</v>
      </c>
      <c r="J62" s="20" t="e">
        <f t="shared" si="14"/>
        <v>#NAME?</v>
      </c>
      <c r="K62" s="20" t="e">
        <f t="shared" si="14"/>
        <v>#NAME?</v>
      </c>
      <c r="L62" t="e">
        <f t="shared" si="14"/>
        <v>#NAME?</v>
      </c>
      <c r="M62" t="e">
        <f t="shared" si="14"/>
        <v>#NAME?</v>
      </c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0.255</v>
      </c>
      <c r="D65" s="20">
        <v>0.255</v>
      </c>
      <c r="E65" s="20">
        <v>0.255</v>
      </c>
      <c r="F65" s="20">
        <v>0.255</v>
      </c>
      <c r="G65" s="20">
        <v>0.255</v>
      </c>
      <c r="H65" s="20">
        <v>0.255</v>
      </c>
      <c r="I65" s="20">
        <v>0.255</v>
      </c>
      <c r="J65" s="20">
        <v>0.255</v>
      </c>
      <c r="K65" s="20">
        <v>0.255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-5.0000000000000001E-3</v>
      </c>
      <c r="D69" s="20">
        <v>-5.0000000000000001E-3</v>
      </c>
      <c r="E69" s="20">
        <v>-5.0000000000000001E-3</v>
      </c>
      <c r="F69" s="20">
        <v>-5.0000000000000001E-3</v>
      </c>
      <c r="G69" s="20">
        <v>-5.0000000000000001E-3</v>
      </c>
      <c r="H69" s="20">
        <v>-5.0000000000000001E-3</v>
      </c>
      <c r="I69" s="20">
        <v>-5.0000000000000001E-3</v>
      </c>
      <c r="J69" s="20">
        <v>-5.0000000000000001E-3</v>
      </c>
      <c r="K69" s="20">
        <v>-5.0000000000000001E-3</v>
      </c>
    </row>
    <row r="70" spans="1:13" x14ac:dyDescent="0.25">
      <c r="A70" s="7" t="s">
        <v>824</v>
      </c>
      <c r="C70" s="20" t="e">
        <f>-C44/C0</f>
        <v>#NAME?</v>
      </c>
      <c r="D70" s="20" t="e">
        <f>-D44/D0</f>
        <v>#NAME?</v>
      </c>
      <c r="E70" s="20" t="e">
        <f>-E44/E0</f>
        <v>#NAME?</v>
      </c>
      <c r="F70" s="20" t="e">
        <f>-F44/F0</f>
        <v>#NAME?</v>
      </c>
      <c r="G70" s="20" t="e">
        <f>-G44/G0</f>
        <v>#NAME?</v>
      </c>
      <c r="H70" s="20" t="e">
        <f>-H44/H0</f>
        <v>#NAME?</v>
      </c>
      <c r="I70" s="20" t="e">
        <f>-I44/I0</f>
        <v>#NAME?</v>
      </c>
      <c r="J70" s="20" t="e">
        <f>-J44/J0</f>
        <v>#NAME?</v>
      </c>
      <c r="K70" s="20" t="e">
        <f>-K44/K0</f>
        <v>#NAME?</v>
      </c>
      <c r="L70" t="e">
        <f>-L44/L0</f>
        <v>#NAME?</v>
      </c>
      <c r="M70" t="e">
        <f>-M44/M0</f>
        <v>#NAME?</v>
      </c>
    </row>
    <row r="71" spans="1:13" x14ac:dyDescent="0.25">
      <c r="A71" s="7" t="s">
        <v>835</v>
      </c>
      <c r="C71" s="20" t="e">
        <f t="shared" ref="C71:M71" si="15">C70-C69</f>
        <v>#NAME?</v>
      </c>
      <c r="D71" s="20" t="e">
        <f t="shared" si="15"/>
        <v>#NAME?</v>
      </c>
      <c r="E71" s="20" t="e">
        <f t="shared" si="15"/>
        <v>#NAME?</v>
      </c>
      <c r="F71" s="20" t="e">
        <f t="shared" si="15"/>
        <v>#NAME?</v>
      </c>
      <c r="G71" s="20" t="e">
        <f t="shared" si="15"/>
        <v>#NAME?</v>
      </c>
      <c r="H71" s="20" t="e">
        <f t="shared" si="15"/>
        <v>#NAME?</v>
      </c>
      <c r="I71" s="20" t="e">
        <f t="shared" si="15"/>
        <v>#NAME?</v>
      </c>
      <c r="J71" s="20" t="e">
        <f t="shared" si="15"/>
        <v>#NAME?</v>
      </c>
      <c r="K71" s="20" t="e">
        <f t="shared" si="15"/>
        <v>#NAME?</v>
      </c>
      <c r="L71" t="e">
        <f t="shared" si="15"/>
        <v>#NAME?</v>
      </c>
      <c r="M71" t="e">
        <f t="shared" si="15"/>
        <v>#NAME?</v>
      </c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289</v>
      </c>
    </row>
    <row r="75" spans="1:13" x14ac:dyDescent="0.25">
      <c r="A75" s="7" t="s">
        <v>290</v>
      </c>
    </row>
    <row r="76" spans="1:13" x14ac:dyDescent="0.25">
      <c r="A76" s="16" t="s">
        <v>61</v>
      </c>
    </row>
    <row r="77" spans="1:13" x14ac:dyDescent="0.25">
      <c r="A77" s="9" t="s">
        <v>62</v>
      </c>
      <c r="M77" s="32" t="s">
        <v>63</v>
      </c>
    </row>
    <row r="78" spans="1:13" x14ac:dyDescent="0.25">
      <c r="F78" s="5" t="s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N82"/>
  <sheetViews>
    <sheetView workbookViewId="0">
      <selection activeCell="F24" sqref="F24"/>
    </sheetView>
  </sheetViews>
  <sheetFormatPr defaultRowHeight="15" x14ac:dyDescent="0.25"/>
  <cols>
    <col min="1" max="1" width="62.7109375" bestFit="1" customWidth="1"/>
  </cols>
  <sheetData>
    <row r="1" spans="1:14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4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291</v>
      </c>
    </row>
    <row r="3" spans="1:14" x14ac:dyDescent="0.25">
      <c r="A3" s="6" t="s">
        <v>9</v>
      </c>
    </row>
    <row r="4" spans="1:14" x14ac:dyDescent="0.25">
      <c r="A4" s="6" t="s">
        <v>292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293</v>
      </c>
      <c r="D8" s="10">
        <v>11</v>
      </c>
      <c r="E8" s="10">
        <v>39</v>
      </c>
      <c r="F8" s="10">
        <v>36</v>
      </c>
      <c r="G8" s="10">
        <v>35</v>
      </c>
      <c r="H8" s="10">
        <v>33</v>
      </c>
      <c r="I8" s="10">
        <v>32</v>
      </c>
      <c r="J8" s="10">
        <v>30</v>
      </c>
      <c r="K8" s="10">
        <v>28</v>
      </c>
      <c r="L8" s="10">
        <v>26</v>
      </c>
      <c r="M8" s="10">
        <v>24</v>
      </c>
      <c r="N8" s="10">
        <v>22</v>
      </c>
    </row>
    <row r="9" spans="1:14" x14ac:dyDescent="0.25">
      <c r="A9" s="7" t="s">
        <v>280</v>
      </c>
      <c r="E9" s="10">
        <v>2</v>
      </c>
      <c r="F9" s="10">
        <v>2</v>
      </c>
      <c r="G9" s="10">
        <v>2</v>
      </c>
      <c r="H9" s="10">
        <v>2</v>
      </c>
      <c r="I9" s="10">
        <v>1</v>
      </c>
      <c r="J9" s="10">
        <v>1</v>
      </c>
      <c r="K9" s="10">
        <v>1</v>
      </c>
      <c r="L9" s="10">
        <v>1</v>
      </c>
      <c r="M9" s="10">
        <v>1</v>
      </c>
      <c r="N9" s="10">
        <v>1</v>
      </c>
    </row>
    <row r="10" spans="1:14" x14ac:dyDescent="0.25">
      <c r="A10" s="7" t="s">
        <v>281</v>
      </c>
      <c r="C10" s="20">
        <v>0.1</v>
      </c>
      <c r="D10" s="19">
        <v>-1</v>
      </c>
      <c r="E10" s="19">
        <v>-4</v>
      </c>
      <c r="F10" s="19">
        <v>-4</v>
      </c>
      <c r="G10" s="19">
        <v>-4</v>
      </c>
      <c r="H10" s="19">
        <v>-4</v>
      </c>
      <c r="I10" s="19">
        <v>-3</v>
      </c>
      <c r="J10" s="19">
        <v>-3</v>
      </c>
      <c r="K10" s="19">
        <v>-3</v>
      </c>
      <c r="L10" s="19">
        <v>-3</v>
      </c>
      <c r="M10" s="19">
        <v>-2</v>
      </c>
      <c r="N10" s="19">
        <v>-2</v>
      </c>
    </row>
    <row r="11" spans="1:14" x14ac:dyDescent="0.25">
      <c r="A11" s="7" t="s">
        <v>208</v>
      </c>
      <c r="D11" s="10">
        <v>9</v>
      </c>
      <c r="E11" s="10">
        <v>36</v>
      </c>
      <c r="F11" s="10">
        <v>35</v>
      </c>
      <c r="G11" s="10">
        <v>33</v>
      </c>
      <c r="H11" s="10">
        <v>32</v>
      </c>
      <c r="I11" s="10">
        <v>30</v>
      </c>
      <c r="J11" s="10">
        <v>28</v>
      </c>
      <c r="K11" s="10">
        <v>26</v>
      </c>
      <c r="L11" s="10">
        <v>24</v>
      </c>
      <c r="M11" s="10">
        <v>22</v>
      </c>
      <c r="N11" s="10">
        <v>21</v>
      </c>
    </row>
    <row r="12" spans="1:14" x14ac:dyDescent="0.25">
      <c r="A12" s="7" t="s">
        <v>815</v>
      </c>
      <c r="C12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  <c r="N12" s="10"/>
    </row>
    <row r="13" spans="1:14" x14ac:dyDescent="0.25">
      <c r="A13" s="7" t="s">
        <v>826</v>
      </c>
      <c r="C13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s="10" t="e">
        <f t="shared" si="0"/>
        <v>#NAME?</v>
      </c>
      <c r="M13" s="10" t="e">
        <f t="shared" si="0"/>
        <v>#NAME?</v>
      </c>
      <c r="N13" s="10"/>
    </row>
    <row r="14" spans="1:14" x14ac:dyDescent="0.25">
      <c r="A14" s="7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25">
      <c r="A15" s="7" t="s">
        <v>282</v>
      </c>
      <c r="D15" s="10">
        <v>10</v>
      </c>
      <c r="E15" s="10">
        <v>38</v>
      </c>
      <c r="F15" s="10">
        <v>35</v>
      </c>
      <c r="G15" s="10">
        <v>34</v>
      </c>
      <c r="H15" s="10">
        <v>32</v>
      </c>
      <c r="I15" s="10">
        <v>31</v>
      </c>
      <c r="J15" s="10">
        <v>29</v>
      </c>
      <c r="K15" s="10">
        <v>27</v>
      </c>
      <c r="L15" s="10">
        <v>25</v>
      </c>
      <c r="M15" s="10">
        <v>23</v>
      </c>
      <c r="N15" s="10">
        <v>21</v>
      </c>
    </row>
    <row r="16" spans="1:14" x14ac:dyDescent="0.25">
      <c r="A16" s="7" t="s">
        <v>283</v>
      </c>
      <c r="D16" s="19">
        <v>-8</v>
      </c>
      <c r="E16" s="19">
        <v>-5</v>
      </c>
      <c r="F16" s="19">
        <v>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  <c r="N16" s="7" t="s">
        <v>90</v>
      </c>
    </row>
    <row r="17" spans="1:14" x14ac:dyDescent="0.25">
      <c r="A17" s="6" t="s">
        <v>294</v>
      </c>
      <c r="D17" s="13">
        <v>2</v>
      </c>
      <c r="E17" s="13">
        <v>33</v>
      </c>
      <c r="F17" s="13">
        <v>35</v>
      </c>
      <c r="G17" s="13">
        <v>34</v>
      </c>
      <c r="H17" s="13">
        <v>32</v>
      </c>
      <c r="I17" s="13">
        <v>31</v>
      </c>
      <c r="J17" s="13">
        <v>29</v>
      </c>
      <c r="K17" s="13">
        <v>27</v>
      </c>
      <c r="L17" s="13">
        <v>25</v>
      </c>
      <c r="M17" s="13">
        <v>23</v>
      </c>
      <c r="N17" s="13">
        <v>21</v>
      </c>
    </row>
    <row r="18" spans="1:14" x14ac:dyDescent="0.25">
      <c r="A18" s="6" t="s">
        <v>106</v>
      </c>
      <c r="D18" s="13">
        <v>1</v>
      </c>
      <c r="E18" s="13">
        <v>10</v>
      </c>
      <c r="F18" s="13">
        <v>11</v>
      </c>
      <c r="G18" s="13">
        <v>11</v>
      </c>
      <c r="H18" s="13">
        <v>10</v>
      </c>
      <c r="I18" s="13">
        <v>10</v>
      </c>
      <c r="J18" s="13">
        <v>9</v>
      </c>
      <c r="K18" s="13">
        <v>9</v>
      </c>
      <c r="L18" s="13">
        <v>8</v>
      </c>
      <c r="M18" s="13">
        <v>8</v>
      </c>
      <c r="N18" s="13">
        <v>7</v>
      </c>
    </row>
    <row r="19" spans="1:14" x14ac:dyDescent="0.25">
      <c r="A19" s="7" t="s">
        <v>107</v>
      </c>
      <c r="D19" s="19">
        <v>0</v>
      </c>
      <c r="E19" s="19">
        <v>-1</v>
      </c>
      <c r="F19" s="19">
        <v>-1</v>
      </c>
      <c r="G19" s="19">
        <v>-2</v>
      </c>
      <c r="H19" s="19">
        <v>-2</v>
      </c>
      <c r="I19" s="19">
        <v>-2</v>
      </c>
      <c r="J19" s="19">
        <v>-1</v>
      </c>
      <c r="K19" s="19">
        <v>-1</v>
      </c>
      <c r="L19" s="19">
        <v>-1</v>
      </c>
      <c r="M19" s="19">
        <v>-1</v>
      </c>
      <c r="N19" s="19">
        <v>-1</v>
      </c>
    </row>
    <row r="20" spans="1:14" x14ac:dyDescent="0.25">
      <c r="A20" s="7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14" x14ac:dyDescent="0.25">
      <c r="A21" s="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6" t="s">
        <v>211</v>
      </c>
      <c r="D23" s="13">
        <v>1</v>
      </c>
      <c r="E23" s="13">
        <v>8</v>
      </c>
      <c r="F23" s="13">
        <v>10</v>
      </c>
      <c r="G23" s="13">
        <v>9</v>
      </c>
      <c r="H23" s="13">
        <v>8</v>
      </c>
      <c r="I23" s="13">
        <v>8</v>
      </c>
      <c r="J23" s="13">
        <v>8</v>
      </c>
      <c r="K23" s="13">
        <v>7</v>
      </c>
      <c r="L23" s="13">
        <v>7</v>
      </c>
      <c r="M23" s="13">
        <v>6</v>
      </c>
      <c r="N23" s="13">
        <v>6</v>
      </c>
    </row>
    <row r="24" spans="1:14" x14ac:dyDescent="0.25">
      <c r="A24" s="6" t="s">
        <v>816</v>
      </c>
      <c r="C24">
        <f t="shared" ref="C24:M24" si="1">SUM(C18,C19)</f>
        <v>0</v>
      </c>
      <c r="D24" s="13">
        <f t="shared" si="1"/>
        <v>1</v>
      </c>
      <c r="E24" s="13">
        <f t="shared" si="1"/>
        <v>9</v>
      </c>
      <c r="F24" s="13">
        <f t="shared" si="1"/>
        <v>10</v>
      </c>
      <c r="G24" s="13">
        <f t="shared" si="1"/>
        <v>9</v>
      </c>
      <c r="H24" s="13">
        <f t="shared" si="1"/>
        <v>8</v>
      </c>
      <c r="I24" s="13">
        <f t="shared" si="1"/>
        <v>8</v>
      </c>
      <c r="J24" s="13">
        <f t="shared" si="1"/>
        <v>8</v>
      </c>
      <c r="K24" s="13">
        <f t="shared" si="1"/>
        <v>8</v>
      </c>
      <c r="L24" s="13">
        <f t="shared" si="1"/>
        <v>7</v>
      </c>
      <c r="M24" s="13">
        <f t="shared" si="1"/>
        <v>7</v>
      </c>
      <c r="N24" s="13"/>
    </row>
    <row r="25" spans="1:14" x14ac:dyDescent="0.25">
      <c r="A25" s="6" t="s">
        <v>827</v>
      </c>
      <c r="C25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 s="13">
        <f t="shared" ca="1" si="2"/>
        <v>0</v>
      </c>
      <c r="M25" s="13">
        <f t="shared" ca="1" si="2"/>
        <v>0</v>
      </c>
      <c r="N25" s="13"/>
    </row>
    <row r="26" spans="1:14" x14ac:dyDescent="0.25">
      <c r="A26" s="6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7" t="s">
        <v>210</v>
      </c>
      <c r="C27" s="20">
        <v>1.4999999999999999E-2</v>
      </c>
      <c r="D27" s="19">
        <v>0</v>
      </c>
      <c r="E27" s="19">
        <v>0</v>
      </c>
      <c r="F27" s="19">
        <v>-1</v>
      </c>
      <c r="G27" s="19">
        <v>-1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</row>
    <row r="28" spans="1:14" x14ac:dyDescent="0.25">
      <c r="A28" s="7" t="s">
        <v>820</v>
      </c>
      <c r="C28" s="20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  <c r="N28" s="19"/>
    </row>
    <row r="29" spans="1:14" x14ac:dyDescent="0.25">
      <c r="A29" s="7" t="s">
        <v>831</v>
      </c>
      <c r="C29" s="20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s="19" t="e">
        <f t="shared" si="3"/>
        <v>#NAME?</v>
      </c>
      <c r="M29" s="19" t="e">
        <f t="shared" si="3"/>
        <v>#NAME?</v>
      </c>
      <c r="N29" s="19"/>
    </row>
    <row r="30" spans="1:14" x14ac:dyDescent="0.25">
      <c r="A30" s="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x14ac:dyDescent="0.25">
      <c r="A31" s="6" t="s">
        <v>108</v>
      </c>
      <c r="D31" s="13">
        <v>1</v>
      </c>
      <c r="E31" s="13">
        <v>8</v>
      </c>
      <c r="F31" s="13">
        <v>9</v>
      </c>
      <c r="G31" s="13">
        <v>8</v>
      </c>
      <c r="H31" s="13">
        <v>8</v>
      </c>
      <c r="I31" s="13">
        <v>8</v>
      </c>
      <c r="J31" s="13">
        <v>7</v>
      </c>
      <c r="K31" s="13">
        <v>7</v>
      </c>
      <c r="L31" s="13">
        <v>7</v>
      </c>
      <c r="M31" s="13">
        <v>6</v>
      </c>
      <c r="N31" s="13">
        <v>6</v>
      </c>
    </row>
    <row r="32" spans="1:14" x14ac:dyDescent="0.25">
      <c r="A32" s="6" t="s">
        <v>817</v>
      </c>
      <c r="C32" s="60">
        <f t="shared" ref="C32:M32" si="4">SUM(C23,C27)</f>
        <v>1.4999999999999999E-2</v>
      </c>
      <c r="D32" s="13">
        <f t="shared" si="4"/>
        <v>1</v>
      </c>
      <c r="E32" s="13">
        <f t="shared" si="4"/>
        <v>8</v>
      </c>
      <c r="F32" s="13">
        <f t="shared" si="4"/>
        <v>9</v>
      </c>
      <c r="G32" s="13">
        <f t="shared" si="4"/>
        <v>8</v>
      </c>
      <c r="H32" s="13">
        <f t="shared" si="4"/>
        <v>8</v>
      </c>
      <c r="I32" s="13">
        <f t="shared" si="4"/>
        <v>8</v>
      </c>
      <c r="J32" s="13">
        <f t="shared" si="4"/>
        <v>8</v>
      </c>
      <c r="K32" s="13">
        <f t="shared" si="4"/>
        <v>7</v>
      </c>
      <c r="L32" s="13">
        <f t="shared" si="4"/>
        <v>7</v>
      </c>
      <c r="M32" s="13">
        <f t="shared" si="4"/>
        <v>6</v>
      </c>
      <c r="N32" s="13"/>
    </row>
    <row r="33" spans="1:14" x14ac:dyDescent="0.25">
      <c r="A33" s="6" t="s">
        <v>828</v>
      </c>
      <c r="C33" s="60">
        <f t="shared" ref="C33:M33" si="5">C32-C31</f>
        <v>1.4999999999999999E-2</v>
      </c>
      <c r="D33" s="13">
        <f t="shared" si="5"/>
        <v>0</v>
      </c>
      <c r="E33" s="13">
        <f t="shared" si="5"/>
        <v>0</v>
      </c>
      <c r="F33" s="13">
        <f t="shared" si="5"/>
        <v>0</v>
      </c>
      <c r="G33" s="13">
        <f t="shared" si="5"/>
        <v>0</v>
      </c>
      <c r="H33" s="13">
        <f t="shared" si="5"/>
        <v>0</v>
      </c>
      <c r="I33" s="13">
        <f t="shared" si="5"/>
        <v>0</v>
      </c>
      <c r="J33" s="13">
        <f t="shared" si="5"/>
        <v>1</v>
      </c>
      <c r="K33" s="13">
        <f t="shared" si="5"/>
        <v>0</v>
      </c>
      <c r="L33" s="13">
        <f t="shared" si="5"/>
        <v>0</v>
      </c>
      <c r="M33" s="13">
        <f t="shared" si="5"/>
        <v>0</v>
      </c>
      <c r="N33" s="13"/>
    </row>
    <row r="34" spans="1:14" x14ac:dyDescent="0.25">
      <c r="A34" s="6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7" t="s">
        <v>212</v>
      </c>
      <c r="C35" s="20">
        <v>0.218</v>
      </c>
      <c r="D35" s="31">
        <v>0</v>
      </c>
      <c r="E35" s="19">
        <v>-2</v>
      </c>
      <c r="F35" s="19">
        <v>-2</v>
      </c>
      <c r="G35" s="19">
        <v>-2</v>
      </c>
      <c r="H35" s="19">
        <v>-2</v>
      </c>
      <c r="I35" s="19">
        <v>-2</v>
      </c>
      <c r="J35" s="19">
        <v>-2</v>
      </c>
      <c r="K35" s="19">
        <v>-2</v>
      </c>
      <c r="L35" s="19">
        <v>-1</v>
      </c>
      <c r="M35" s="19">
        <v>-1</v>
      </c>
      <c r="N35" s="19">
        <v>-1</v>
      </c>
    </row>
    <row r="36" spans="1:14" x14ac:dyDescent="0.25">
      <c r="A36" s="7" t="s">
        <v>821</v>
      </c>
      <c r="C36" s="20">
        <f>C31*B35</f>
        <v>0</v>
      </c>
      <c r="D36" s="31">
        <f>D31*B35</f>
        <v>0</v>
      </c>
      <c r="E36" s="19">
        <f>E31*B35</f>
        <v>0</v>
      </c>
      <c r="F36" s="19">
        <f>F31*B35</f>
        <v>0</v>
      </c>
      <c r="G36" s="19">
        <f>G31*B35</f>
        <v>0</v>
      </c>
      <c r="H36" s="19">
        <f>H31*B35</f>
        <v>0</v>
      </c>
      <c r="I36" s="19">
        <f>I31*B35</f>
        <v>0</v>
      </c>
      <c r="J36" s="19">
        <f>J31*B35</f>
        <v>0</v>
      </c>
      <c r="K36" s="19">
        <f>K31*B35</f>
        <v>0</v>
      </c>
      <c r="L36" s="19">
        <f>L31*B35</f>
        <v>0</v>
      </c>
      <c r="M36" s="19">
        <f>M31*B35</f>
        <v>0</v>
      </c>
      <c r="N36" s="19"/>
    </row>
    <row r="37" spans="1:14" x14ac:dyDescent="0.25">
      <c r="A37" s="7" t="s">
        <v>832</v>
      </c>
      <c r="C37" s="20">
        <f t="shared" ref="C37:M37" si="6">C36-C35</f>
        <v>-0.218</v>
      </c>
      <c r="D37" s="31">
        <f t="shared" si="6"/>
        <v>0</v>
      </c>
      <c r="E37" s="19">
        <f t="shared" si="6"/>
        <v>2</v>
      </c>
      <c r="F37" s="19">
        <f t="shared" si="6"/>
        <v>2</v>
      </c>
      <c r="G37" s="19">
        <f t="shared" si="6"/>
        <v>2</v>
      </c>
      <c r="H37" s="19">
        <f t="shared" si="6"/>
        <v>2</v>
      </c>
      <c r="I37" s="19">
        <f t="shared" si="6"/>
        <v>2</v>
      </c>
      <c r="J37" s="19">
        <f t="shared" si="6"/>
        <v>2</v>
      </c>
      <c r="K37" s="19">
        <f t="shared" si="6"/>
        <v>2</v>
      </c>
      <c r="L37" s="19">
        <f t="shared" si="6"/>
        <v>1</v>
      </c>
      <c r="M37" s="19">
        <f t="shared" si="6"/>
        <v>1</v>
      </c>
      <c r="N37" s="19"/>
    </row>
    <row r="38" spans="1:14" x14ac:dyDescent="0.25">
      <c r="A38" s="7"/>
      <c r="C38" s="20"/>
      <c r="D38" s="31"/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1:14" x14ac:dyDescent="0.25">
      <c r="A39" s="6" t="s">
        <v>213</v>
      </c>
      <c r="D39" s="13">
        <v>0</v>
      </c>
      <c r="E39" s="13">
        <v>6</v>
      </c>
      <c r="F39" s="13">
        <v>7</v>
      </c>
      <c r="G39" s="13">
        <v>6</v>
      </c>
      <c r="H39" s="13">
        <v>6</v>
      </c>
      <c r="I39" s="13">
        <v>6</v>
      </c>
      <c r="J39" s="13">
        <v>6</v>
      </c>
      <c r="K39" s="13">
        <v>5</v>
      </c>
      <c r="L39" s="13">
        <v>5</v>
      </c>
      <c r="M39" s="13">
        <v>5</v>
      </c>
      <c r="N39" s="13">
        <v>4</v>
      </c>
    </row>
    <row r="40" spans="1:14" x14ac:dyDescent="0.25">
      <c r="A40" s="6" t="s">
        <v>819</v>
      </c>
      <c r="C40" s="60">
        <f t="shared" ref="C40:M40" si="7">C31-C35</f>
        <v>-0.218</v>
      </c>
      <c r="D40" s="13">
        <f t="shared" si="7"/>
        <v>1</v>
      </c>
      <c r="E40" s="13">
        <f t="shared" si="7"/>
        <v>10</v>
      </c>
      <c r="F40" s="13">
        <f t="shared" si="7"/>
        <v>11</v>
      </c>
      <c r="G40" s="13">
        <f t="shared" si="7"/>
        <v>10</v>
      </c>
      <c r="H40" s="13">
        <f t="shared" si="7"/>
        <v>10</v>
      </c>
      <c r="I40" s="13">
        <f t="shared" si="7"/>
        <v>10</v>
      </c>
      <c r="J40" s="13">
        <f t="shared" si="7"/>
        <v>9</v>
      </c>
      <c r="K40" s="13">
        <f t="shared" si="7"/>
        <v>9</v>
      </c>
      <c r="L40" s="13">
        <f t="shared" si="7"/>
        <v>8</v>
      </c>
      <c r="M40" s="13">
        <f t="shared" si="7"/>
        <v>7</v>
      </c>
      <c r="N40" s="13"/>
    </row>
    <row r="41" spans="1:14" x14ac:dyDescent="0.25">
      <c r="A41" s="6" t="s">
        <v>830</v>
      </c>
      <c r="C41" s="60">
        <f t="shared" ref="C41:M41" si="8">C40-C39</f>
        <v>-0.218</v>
      </c>
      <c r="D41" s="13">
        <f t="shared" si="8"/>
        <v>1</v>
      </c>
      <c r="E41" s="13">
        <f t="shared" si="8"/>
        <v>4</v>
      </c>
      <c r="F41" s="13">
        <f t="shared" si="8"/>
        <v>4</v>
      </c>
      <c r="G41" s="13">
        <f t="shared" si="8"/>
        <v>4</v>
      </c>
      <c r="H41" s="13">
        <f t="shared" si="8"/>
        <v>4</v>
      </c>
      <c r="I41" s="13">
        <f t="shared" si="8"/>
        <v>4</v>
      </c>
      <c r="J41" s="13">
        <f t="shared" si="8"/>
        <v>3</v>
      </c>
      <c r="K41" s="13">
        <f t="shared" si="8"/>
        <v>4</v>
      </c>
      <c r="L41" s="13">
        <f t="shared" si="8"/>
        <v>3</v>
      </c>
      <c r="M41" s="13">
        <f t="shared" si="8"/>
        <v>2</v>
      </c>
      <c r="N41" s="13"/>
    </row>
    <row r="42" spans="1:14" x14ac:dyDescent="0.25">
      <c r="A42" s="6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7" t="s">
        <v>214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5">
      <c r="A44" s="6" t="s">
        <v>215</v>
      </c>
      <c r="D44" s="13">
        <v>0</v>
      </c>
      <c r="E44" s="13">
        <v>6</v>
      </c>
      <c r="F44" s="13">
        <v>7</v>
      </c>
      <c r="G44" s="13">
        <v>7</v>
      </c>
      <c r="H44" s="13">
        <v>6</v>
      </c>
      <c r="I44" s="13">
        <v>6</v>
      </c>
      <c r="J44" s="13">
        <v>6</v>
      </c>
      <c r="K44" s="13">
        <v>6</v>
      </c>
      <c r="L44" s="13">
        <v>5</v>
      </c>
      <c r="M44" s="13">
        <v>5</v>
      </c>
      <c r="N44" s="13">
        <v>4</v>
      </c>
    </row>
    <row r="45" spans="1:14" x14ac:dyDescent="0.25">
      <c r="A45" s="6" t="s">
        <v>818</v>
      </c>
      <c r="C45">
        <f t="shared" ref="C45:M45" si="9">SUM(C39,C43)</f>
        <v>0</v>
      </c>
      <c r="D45" s="13">
        <f t="shared" si="9"/>
        <v>0</v>
      </c>
      <c r="E45" s="13">
        <f t="shared" si="9"/>
        <v>6</v>
      </c>
      <c r="F45" s="13">
        <f t="shared" si="9"/>
        <v>7</v>
      </c>
      <c r="G45" s="13">
        <f t="shared" si="9"/>
        <v>6</v>
      </c>
      <c r="H45" s="13">
        <f t="shared" si="9"/>
        <v>6</v>
      </c>
      <c r="I45" s="13">
        <f t="shared" si="9"/>
        <v>6</v>
      </c>
      <c r="J45" s="13">
        <f t="shared" si="9"/>
        <v>6</v>
      </c>
      <c r="K45" s="13">
        <f t="shared" si="9"/>
        <v>5</v>
      </c>
      <c r="L45" s="13">
        <f t="shared" si="9"/>
        <v>5</v>
      </c>
      <c r="M45" s="13">
        <f t="shared" si="9"/>
        <v>5</v>
      </c>
      <c r="N45" s="13"/>
    </row>
    <row r="46" spans="1:14" x14ac:dyDescent="0.25">
      <c r="A46" s="6" t="s">
        <v>829</v>
      </c>
      <c r="C46">
        <f t="shared" ref="C46:M46" si="10">C45-C44</f>
        <v>0</v>
      </c>
      <c r="D46" s="13">
        <f t="shared" si="10"/>
        <v>0</v>
      </c>
      <c r="E46" s="13">
        <f t="shared" si="10"/>
        <v>0</v>
      </c>
      <c r="F46" s="13">
        <f t="shared" si="10"/>
        <v>0</v>
      </c>
      <c r="G46" s="13">
        <f t="shared" si="10"/>
        <v>-1</v>
      </c>
      <c r="H46" s="13">
        <f t="shared" si="10"/>
        <v>0</v>
      </c>
      <c r="I46" s="13">
        <f t="shared" si="10"/>
        <v>0</v>
      </c>
      <c r="J46" s="13">
        <f t="shared" si="10"/>
        <v>0</v>
      </c>
      <c r="K46" s="13">
        <f t="shared" si="10"/>
        <v>-1</v>
      </c>
      <c r="L46" s="13">
        <f t="shared" si="10"/>
        <v>0</v>
      </c>
      <c r="M46" s="13">
        <f t="shared" si="10"/>
        <v>0</v>
      </c>
      <c r="N46" s="13"/>
    </row>
    <row r="47" spans="1:14" x14ac:dyDescent="0.25">
      <c r="A47" s="6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7" t="s">
        <v>115</v>
      </c>
      <c r="C48" s="20">
        <v>0.11</v>
      </c>
      <c r="D48" s="23">
        <v>0.98740000000000006</v>
      </c>
      <c r="E48" s="23">
        <v>0.92530000000000001</v>
      </c>
      <c r="F48" s="23">
        <v>0.83360000000000001</v>
      </c>
      <c r="G48" s="24">
        <v>0.751</v>
      </c>
      <c r="H48" s="23">
        <v>0.67659999999999998</v>
      </c>
      <c r="I48" s="23">
        <v>0.60950000000000004</v>
      </c>
      <c r="J48" s="23">
        <v>0.54910000000000003</v>
      </c>
      <c r="K48" s="23">
        <v>0.49469999999999997</v>
      </c>
      <c r="L48" s="23">
        <v>0.44569999999999999</v>
      </c>
      <c r="M48" s="23">
        <v>0.40150000000000002</v>
      </c>
      <c r="N48" s="23">
        <v>0.36170000000000002</v>
      </c>
    </row>
    <row r="49" spans="1:14" x14ac:dyDescent="0.25">
      <c r="A49" s="6" t="s">
        <v>116</v>
      </c>
      <c r="D49" s="13">
        <v>0</v>
      </c>
      <c r="E49" s="13">
        <v>6</v>
      </c>
      <c r="F49" s="13">
        <v>6</v>
      </c>
      <c r="G49" s="13">
        <v>5</v>
      </c>
      <c r="H49" s="13">
        <v>4</v>
      </c>
      <c r="I49" s="13">
        <v>4</v>
      </c>
      <c r="J49" s="13">
        <v>3</v>
      </c>
      <c r="K49" s="13">
        <v>3</v>
      </c>
      <c r="L49" s="13">
        <v>2</v>
      </c>
      <c r="M49" s="13">
        <v>2</v>
      </c>
      <c r="N49" s="13">
        <v>2</v>
      </c>
    </row>
    <row r="50" spans="1:14" x14ac:dyDescent="0.25">
      <c r="A50" s="6" t="s">
        <v>822</v>
      </c>
      <c r="C50">
        <f t="shared" ref="C50:M50" si="11">C44*C48</f>
        <v>0</v>
      </c>
      <c r="D50" s="13">
        <f t="shared" si="11"/>
        <v>0</v>
      </c>
      <c r="E50" s="13">
        <f t="shared" si="11"/>
        <v>5.5518000000000001</v>
      </c>
      <c r="F50" s="13">
        <f t="shared" si="11"/>
        <v>5.8352000000000004</v>
      </c>
      <c r="G50" s="13">
        <f t="shared" si="11"/>
        <v>5.2569999999999997</v>
      </c>
      <c r="H50" s="13">
        <f t="shared" si="11"/>
        <v>4.0595999999999997</v>
      </c>
      <c r="I50" s="13">
        <f t="shared" si="11"/>
        <v>3.657</v>
      </c>
      <c r="J50" s="13">
        <f t="shared" si="11"/>
        <v>3.2946</v>
      </c>
      <c r="K50" s="13">
        <f t="shared" si="11"/>
        <v>2.9681999999999999</v>
      </c>
      <c r="L50" s="13">
        <f t="shared" si="11"/>
        <v>2.2284999999999999</v>
      </c>
      <c r="M50" s="13">
        <f t="shared" si="11"/>
        <v>2.0075000000000003</v>
      </c>
      <c r="N50" s="13"/>
    </row>
    <row r="51" spans="1:14" x14ac:dyDescent="0.25">
      <c r="A51" s="6" t="s">
        <v>833</v>
      </c>
      <c r="C51">
        <f t="shared" ref="C51:M51" si="12">C50-C49</f>
        <v>0</v>
      </c>
      <c r="D51" s="13">
        <f t="shared" si="12"/>
        <v>0</v>
      </c>
      <c r="E51" s="13">
        <f t="shared" si="12"/>
        <v>-0.44819999999999993</v>
      </c>
      <c r="F51" s="13">
        <f t="shared" si="12"/>
        <v>-0.16479999999999961</v>
      </c>
      <c r="G51" s="13">
        <f t="shared" si="12"/>
        <v>0.25699999999999967</v>
      </c>
      <c r="H51" s="13">
        <f t="shared" si="12"/>
        <v>5.9599999999999653E-2</v>
      </c>
      <c r="I51" s="13">
        <f t="shared" si="12"/>
        <v>-0.34299999999999997</v>
      </c>
      <c r="J51" s="13">
        <f t="shared" si="12"/>
        <v>0.29459999999999997</v>
      </c>
      <c r="K51" s="13">
        <f t="shared" si="12"/>
        <v>-3.180000000000005E-2</v>
      </c>
      <c r="L51" s="13">
        <f t="shared" si="12"/>
        <v>0.22849999999999993</v>
      </c>
      <c r="M51" s="13">
        <f t="shared" si="12"/>
        <v>7.5000000000002842E-3</v>
      </c>
      <c r="N51" s="13"/>
    </row>
    <row r="52" spans="1:14" x14ac:dyDescent="0.25">
      <c r="A52" s="6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7" t="s">
        <v>216</v>
      </c>
      <c r="D53" s="10">
        <v>45</v>
      </c>
      <c r="I53" s="7" t="s">
        <v>295</v>
      </c>
    </row>
    <row r="54" spans="1:14" x14ac:dyDescent="0.25">
      <c r="G54" s="10">
        <v>50</v>
      </c>
      <c r="H54" s="15">
        <v>0.02</v>
      </c>
      <c r="I54" s="20">
        <v>2.5000000000000001E-2</v>
      </c>
      <c r="J54" s="20">
        <v>0.03</v>
      </c>
    </row>
    <row r="55" spans="1:14" x14ac:dyDescent="0.25">
      <c r="A55" s="6" t="s">
        <v>218</v>
      </c>
      <c r="D55" s="13">
        <v>45</v>
      </c>
      <c r="G55" s="15">
        <v>0.05</v>
      </c>
      <c r="H55" s="23">
        <v>66.599999999999994</v>
      </c>
      <c r="I55" s="23">
        <v>67.5</v>
      </c>
      <c r="J55" s="23">
        <v>68.400000000000006</v>
      </c>
    </row>
    <row r="56" spans="1:14" x14ac:dyDescent="0.25">
      <c r="A56" s="7" t="s">
        <v>121</v>
      </c>
      <c r="B56" s="7" t="s">
        <v>287</v>
      </c>
      <c r="D56" s="7" t="s">
        <v>223</v>
      </c>
      <c r="F56" s="7" t="s">
        <v>281</v>
      </c>
      <c r="G56" s="15">
        <v>0.1</v>
      </c>
      <c r="H56" s="23">
        <v>44.6</v>
      </c>
      <c r="I56" s="23">
        <v>44.9</v>
      </c>
      <c r="J56" s="23">
        <v>45.2</v>
      </c>
    </row>
    <row r="57" spans="1:14" x14ac:dyDescent="0.25">
      <c r="A57" s="6" t="s">
        <v>219</v>
      </c>
      <c r="D57" s="13">
        <v>50</v>
      </c>
      <c r="G57" s="15">
        <v>0.15</v>
      </c>
      <c r="H57" s="23">
        <v>31.6</v>
      </c>
      <c r="I57" s="23">
        <v>31.8</v>
      </c>
      <c r="J57" s="23">
        <v>31.9</v>
      </c>
    </row>
    <row r="58" spans="1:14" x14ac:dyDescent="0.25">
      <c r="A58" s="9" t="s">
        <v>221</v>
      </c>
    </row>
    <row r="59" spans="1:14" x14ac:dyDescent="0.25">
      <c r="A59" s="7" t="s">
        <v>222</v>
      </c>
      <c r="D59" s="7" t="s">
        <v>223</v>
      </c>
      <c r="E59" s="20">
        <v>4.3999999999999997E-2</v>
      </c>
      <c r="F59" s="20">
        <v>5.1999999999999998E-2</v>
      </c>
      <c r="G59" s="20">
        <v>0.06</v>
      </c>
      <c r="H59" s="20">
        <v>7.3999999999999996E-2</v>
      </c>
      <c r="I59" s="20">
        <v>3.5000000000000003E-2</v>
      </c>
      <c r="J59" s="20">
        <v>3.5000000000000003E-2</v>
      </c>
      <c r="K59" s="20">
        <v>3.5999999999999997E-2</v>
      </c>
      <c r="L59" s="20">
        <v>0.03</v>
      </c>
      <c r="M59" s="20">
        <v>0.03</v>
      </c>
      <c r="N59" s="20">
        <v>0.03</v>
      </c>
    </row>
    <row r="60" spans="1:14" x14ac:dyDescent="0.25">
      <c r="A60" s="7"/>
      <c r="D60" s="7" t="s">
        <v>807</v>
      </c>
      <c r="E60" s="20" t="e">
        <f>(E0-D0)/D0</f>
        <v>#NAME?</v>
      </c>
      <c r="F60" s="20" t="e">
        <f>(F0-E0)/E0</f>
        <v>#NAME?</v>
      </c>
      <c r="G60" s="20" t="e">
        <f>(G0-F0)/F0</f>
        <v>#NAME?</v>
      </c>
      <c r="H60" s="20" t="e">
        <f>(H0-G0)/G0</f>
        <v>#NAME?</v>
      </c>
      <c r="I60" s="20" t="e">
        <f>(I0-H0)/H0</f>
        <v>#NAME?</v>
      </c>
      <c r="J60" s="20" t="e">
        <f>(J0-I0)/I0</f>
        <v>#NAME?</v>
      </c>
      <c r="K60" s="20" t="e">
        <f>(K0-J0)/J0</f>
        <v>#NAME?</v>
      </c>
      <c r="L60" s="20" t="e">
        <f>(L0-K0)/K0</f>
        <v>#NAME?</v>
      </c>
      <c r="M60" s="20" t="e">
        <f>(M0-L0)/L0</f>
        <v>#NAME?</v>
      </c>
      <c r="N60" s="20"/>
    </row>
    <row r="61" spans="1:14" x14ac:dyDescent="0.25">
      <c r="A61" s="7"/>
      <c r="C61">
        <f>C60-C59</f>
        <v>0</v>
      </c>
      <c r="D61" s="7" t="s">
        <v>840</v>
      </c>
      <c r="E61" s="20" t="e">
        <f t="shared" ref="E61:M61" si="13">E60-E59</f>
        <v>#NAME?</v>
      </c>
      <c r="F61" s="20" t="e">
        <f t="shared" si="13"/>
        <v>#NAME?</v>
      </c>
      <c r="G61" s="20" t="e">
        <f t="shared" si="13"/>
        <v>#NAME?</v>
      </c>
      <c r="H61" s="20" t="e">
        <f t="shared" si="13"/>
        <v>#NAME?</v>
      </c>
      <c r="I61" s="20" t="e">
        <f t="shared" si="13"/>
        <v>#NAME?</v>
      </c>
      <c r="J61" s="20" t="e">
        <f t="shared" si="13"/>
        <v>#NAME?</v>
      </c>
      <c r="K61" s="20" t="e">
        <f t="shared" si="13"/>
        <v>#NAME?</v>
      </c>
      <c r="L61" s="20" t="e">
        <f t="shared" si="13"/>
        <v>#NAME?</v>
      </c>
      <c r="M61" s="20" t="e">
        <f t="shared" si="13"/>
        <v>#NAME?</v>
      </c>
      <c r="N61" s="20"/>
    </row>
    <row r="62" spans="1:14" x14ac:dyDescent="0.25">
      <c r="A62" s="7"/>
      <c r="D62" s="7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 t="s">
        <v>288</v>
      </c>
      <c r="D63" s="20">
        <v>5.7000000000000002E-2</v>
      </c>
      <c r="E63" s="20">
        <v>5.7000000000000002E-2</v>
      </c>
      <c r="F63" s="20">
        <v>5.5E-2</v>
      </c>
      <c r="G63" s="20">
        <v>5.2999999999999999E-2</v>
      </c>
      <c r="H63" s="20">
        <v>5.2999999999999999E-2</v>
      </c>
      <c r="I63" s="20">
        <v>5.1999999999999998E-2</v>
      </c>
      <c r="J63" s="20">
        <v>5.1999999999999998E-2</v>
      </c>
      <c r="K63" s="20">
        <v>5.0999999999999997E-2</v>
      </c>
      <c r="L63" s="20">
        <v>5.0999999999999997E-2</v>
      </c>
      <c r="M63" s="20">
        <v>5.0999999999999997E-2</v>
      </c>
      <c r="N63" s="20">
        <v>5.0999999999999997E-2</v>
      </c>
    </row>
    <row r="64" spans="1:14" x14ac:dyDescent="0.25">
      <c r="A64" s="7" t="s">
        <v>224</v>
      </c>
      <c r="D64" s="20">
        <v>0.29499999999999998</v>
      </c>
      <c r="E64" s="20">
        <v>0.29199999999999998</v>
      </c>
      <c r="F64" s="20">
        <v>0.30599999999999999</v>
      </c>
      <c r="G64" s="20">
        <v>0.312</v>
      </c>
      <c r="H64" s="20">
        <v>0.31</v>
      </c>
      <c r="I64" s="20">
        <v>0.316</v>
      </c>
      <c r="J64" s="20">
        <v>0.32100000000000001</v>
      </c>
      <c r="K64" s="20">
        <v>0.32600000000000001</v>
      </c>
      <c r="L64" s="20">
        <v>0.32600000000000001</v>
      </c>
      <c r="M64" s="20">
        <v>0.32600000000000001</v>
      </c>
      <c r="N64" s="20">
        <v>0.32600000000000001</v>
      </c>
    </row>
    <row r="65" spans="1:14" x14ac:dyDescent="0.25">
      <c r="A65" s="7" t="s">
        <v>823</v>
      </c>
      <c r="C65" t="e">
        <f>C18/C0</f>
        <v>#NAME?</v>
      </c>
      <c r="D65" s="20" t="e">
        <f>D18/D0</f>
        <v>#NAME?</v>
      </c>
      <c r="E65" s="20" t="e">
        <f>E18/E0</f>
        <v>#NAME?</v>
      </c>
      <c r="F65" s="20" t="e">
        <f>F18/F0</f>
        <v>#NAME?</v>
      </c>
      <c r="G65" s="20" t="e">
        <f>G18/G0</f>
        <v>#NAME?</v>
      </c>
      <c r="H65" s="20" t="e">
        <f>H18/H0</f>
        <v>#NAME?</v>
      </c>
      <c r="I65" s="20" t="e">
        <f>I18/I0</f>
        <v>#NAME?</v>
      </c>
      <c r="J65" s="20" t="e">
        <f>J18/J0</f>
        <v>#NAME?</v>
      </c>
      <c r="K65" s="20" t="e">
        <f>K18/K0</f>
        <v>#NAME?</v>
      </c>
      <c r="L65" s="20" t="e">
        <f>L18/L0</f>
        <v>#NAME?</v>
      </c>
      <c r="M65" s="20" t="e">
        <f>M18/M0</f>
        <v>#NAME?</v>
      </c>
      <c r="N65" s="20"/>
    </row>
    <row r="66" spans="1:14" x14ac:dyDescent="0.25">
      <c r="A66" s="7" t="s">
        <v>834</v>
      </c>
      <c r="C66" t="e">
        <f t="shared" ref="C66:M66" si="14">C65-C64</f>
        <v>#NAME?</v>
      </c>
      <c r="D66" s="20" t="e">
        <f t="shared" si="14"/>
        <v>#NAME?</v>
      </c>
      <c r="E66" s="20" t="e">
        <f t="shared" si="14"/>
        <v>#NAME?</v>
      </c>
      <c r="F66" s="20" t="e">
        <f t="shared" si="14"/>
        <v>#NAME?</v>
      </c>
      <c r="G66" s="20" t="e">
        <f t="shared" si="14"/>
        <v>#NAME?</v>
      </c>
      <c r="H66" s="20" t="e">
        <f t="shared" si="14"/>
        <v>#NAME?</v>
      </c>
      <c r="I66" s="20" t="e">
        <f t="shared" si="14"/>
        <v>#NAME?</v>
      </c>
      <c r="J66" s="20" t="e">
        <f t="shared" si="14"/>
        <v>#NAME?</v>
      </c>
      <c r="K66" s="20" t="e">
        <f t="shared" si="14"/>
        <v>#NAME?</v>
      </c>
      <c r="L66" s="20" t="e">
        <f t="shared" si="14"/>
        <v>#NAME?</v>
      </c>
      <c r="M66" s="20" t="e">
        <f t="shared" si="14"/>
        <v>#NAME?</v>
      </c>
      <c r="N66" s="20"/>
    </row>
    <row r="67" spans="1:14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107</v>
      </c>
      <c r="D68" s="20">
        <v>3.5999999999999997E-2</v>
      </c>
      <c r="E68" s="20">
        <v>3.4000000000000002E-2</v>
      </c>
      <c r="F68" s="20">
        <v>3.5000000000000003E-2</v>
      </c>
      <c r="G68" s="20">
        <v>0.05</v>
      </c>
      <c r="H68" s="20">
        <v>5.5E-2</v>
      </c>
      <c r="I68" s="20">
        <v>5.2999999999999999E-2</v>
      </c>
      <c r="J68" s="20">
        <v>5.0999999999999997E-2</v>
      </c>
      <c r="K68" s="20">
        <v>4.9000000000000002E-2</v>
      </c>
      <c r="L68" s="20">
        <v>4.9000000000000002E-2</v>
      </c>
      <c r="M68" s="20">
        <v>4.9000000000000002E-2</v>
      </c>
      <c r="N68" s="20">
        <v>4.9000000000000002E-2</v>
      </c>
    </row>
    <row r="69" spans="1:14" x14ac:dyDescent="0.25">
      <c r="A69" s="7" t="s">
        <v>225</v>
      </c>
      <c r="D69" s="20">
        <v>0.26</v>
      </c>
      <c r="E69" s="20">
        <v>0.25900000000000001</v>
      </c>
      <c r="F69" s="20">
        <v>0.27100000000000002</v>
      </c>
      <c r="G69" s="20">
        <v>0.26100000000000001</v>
      </c>
      <c r="H69" s="20">
        <v>0.255</v>
      </c>
      <c r="I69" s="20">
        <v>0.26300000000000001</v>
      </c>
      <c r="J69" s="20">
        <v>0.27100000000000002</v>
      </c>
      <c r="K69" s="20">
        <v>0.27700000000000002</v>
      </c>
      <c r="L69" s="20">
        <v>0.27700000000000002</v>
      </c>
      <c r="M69" s="20">
        <v>0.27700000000000002</v>
      </c>
      <c r="N69" s="20">
        <v>0.27700000000000002</v>
      </c>
    </row>
    <row r="70" spans="1:14" x14ac:dyDescent="0.25">
      <c r="A70" s="7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7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1:14" x14ac:dyDescent="0.25">
      <c r="A73" s="7" t="s">
        <v>240</v>
      </c>
      <c r="D73" s="20">
        <v>-5.0000000000000001E-3</v>
      </c>
      <c r="E73" s="20">
        <v>-5.0000000000000001E-3</v>
      </c>
      <c r="F73" s="20">
        <v>-5.0000000000000001E-3</v>
      </c>
      <c r="G73" s="20">
        <v>-5.0000000000000001E-3</v>
      </c>
      <c r="H73" s="20">
        <v>-5.0000000000000001E-3</v>
      </c>
      <c r="I73" s="20">
        <v>-5.0000000000000001E-3</v>
      </c>
      <c r="J73" s="20">
        <v>-5.0000000000000001E-3</v>
      </c>
      <c r="K73" s="20">
        <v>-5.0000000000000001E-3</v>
      </c>
      <c r="L73" s="20">
        <v>-5.0000000000000001E-3</v>
      </c>
      <c r="M73" s="20">
        <v>-5.0000000000000001E-3</v>
      </c>
      <c r="N73" s="20">
        <v>-5.0000000000000001E-3</v>
      </c>
    </row>
    <row r="74" spans="1:14" x14ac:dyDescent="0.25">
      <c r="A74" s="7" t="s">
        <v>824</v>
      </c>
      <c r="C74" t="e">
        <f>-C43/C0</f>
        <v>#NAME?</v>
      </c>
      <c r="D74" s="20" t="e">
        <f>-D43/D0</f>
        <v>#NAME?</v>
      </c>
      <c r="E74" s="20" t="e">
        <f>-E43/E0</f>
        <v>#NAME?</v>
      </c>
      <c r="F74" s="20" t="e">
        <f>-F43/F0</f>
        <v>#NAME?</v>
      </c>
      <c r="G74" s="20" t="e">
        <f>-G43/G0</f>
        <v>#NAME?</v>
      </c>
      <c r="H74" s="20" t="e">
        <f>-H43/H0</f>
        <v>#NAME?</v>
      </c>
      <c r="I74" s="20" t="e">
        <f>-I43/I0</f>
        <v>#NAME?</v>
      </c>
      <c r="J74" s="20" t="e">
        <f>-J43/J0</f>
        <v>#NAME?</v>
      </c>
      <c r="K74" s="20" t="e">
        <f>-K43/K0</f>
        <v>#NAME?</v>
      </c>
      <c r="L74" s="20" t="e">
        <f>-L43/L0</f>
        <v>#NAME?</v>
      </c>
      <c r="M74" s="20" t="e">
        <f>-M43/M0</f>
        <v>#NAME?</v>
      </c>
      <c r="N74" s="20"/>
    </row>
    <row r="75" spans="1:14" x14ac:dyDescent="0.25">
      <c r="A75" s="7" t="s">
        <v>835</v>
      </c>
      <c r="C75" t="e">
        <f t="shared" ref="C75:M75" si="15">C74-C73</f>
        <v>#NAME?</v>
      </c>
      <c r="D75" s="20" t="e">
        <f t="shared" si="15"/>
        <v>#NAME?</v>
      </c>
      <c r="E75" s="20" t="e">
        <f t="shared" si="15"/>
        <v>#NAME?</v>
      </c>
      <c r="F75" s="20" t="e">
        <f t="shared" si="15"/>
        <v>#NAME?</v>
      </c>
      <c r="G75" s="20" t="e">
        <f t="shared" si="15"/>
        <v>#NAME?</v>
      </c>
      <c r="H75" s="20" t="e">
        <f t="shared" si="15"/>
        <v>#NAME?</v>
      </c>
      <c r="I75" s="20" t="e">
        <f t="shared" si="15"/>
        <v>#NAME?</v>
      </c>
      <c r="J75" s="20" t="e">
        <f t="shared" si="15"/>
        <v>#NAME?</v>
      </c>
      <c r="K75" s="20" t="e">
        <f t="shared" si="15"/>
        <v>#NAME?</v>
      </c>
      <c r="L75" s="20" t="e">
        <f t="shared" si="15"/>
        <v>#NAME?</v>
      </c>
      <c r="M75" s="20" t="e">
        <f t="shared" si="15"/>
        <v>#NAME?</v>
      </c>
      <c r="N75" s="20"/>
    </row>
    <row r="76" spans="1:14" x14ac:dyDescent="0.25">
      <c r="A76" s="7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1:14" x14ac:dyDescent="0.25">
      <c r="A77" s="16" t="s">
        <v>127</v>
      </c>
    </row>
    <row r="78" spans="1:14" x14ac:dyDescent="0.25">
      <c r="A78" s="7" t="s">
        <v>289</v>
      </c>
    </row>
    <row r="79" spans="1:14" x14ac:dyDescent="0.25">
      <c r="A79" s="7" t="s">
        <v>290</v>
      </c>
    </row>
    <row r="80" spans="1:14" x14ac:dyDescent="0.25">
      <c r="A80" s="16" t="s">
        <v>61</v>
      </c>
    </row>
    <row r="81" spans="1:14" x14ac:dyDescent="0.25">
      <c r="A81" s="9" t="s">
        <v>62</v>
      </c>
      <c r="N81" s="32" t="s">
        <v>63</v>
      </c>
    </row>
    <row r="82" spans="1:14" x14ac:dyDescent="0.25">
      <c r="F82" s="5" t="s">
        <v>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N82"/>
  <sheetViews>
    <sheetView tabSelected="1" topLeftCell="A63" workbookViewId="0">
      <selection activeCell="C78" sqref="C78"/>
    </sheetView>
  </sheetViews>
  <sheetFormatPr defaultRowHeight="15" x14ac:dyDescent="0.25"/>
  <cols>
    <col min="1" max="1" width="62.7109375" bestFit="1" customWidth="1"/>
  </cols>
  <sheetData>
    <row r="1" spans="1:14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4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296</v>
      </c>
    </row>
    <row r="3" spans="1:14" x14ac:dyDescent="0.25">
      <c r="A3" s="6" t="s">
        <v>9</v>
      </c>
    </row>
    <row r="4" spans="1:14" x14ac:dyDescent="0.25">
      <c r="A4" s="6" t="s">
        <v>292</v>
      </c>
    </row>
    <row r="5" spans="1:14" x14ac:dyDescent="0.25">
      <c r="A5" s="6" t="s">
        <v>11</v>
      </c>
    </row>
    <row r="6" spans="1:14" x14ac:dyDescent="0.25">
      <c r="H6" s="9" t="s">
        <v>96</v>
      </c>
    </row>
    <row r="7" spans="1:14" x14ac:dyDescent="0.25">
      <c r="A7" s="8" t="s">
        <v>12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  <c r="M7" s="9" t="s">
        <v>238</v>
      </c>
      <c r="N7" s="9" t="s">
        <v>239</v>
      </c>
    </row>
    <row r="8" spans="1:14" x14ac:dyDescent="0.25">
      <c r="A8" s="7" t="s">
        <v>293</v>
      </c>
      <c r="D8" s="10">
        <v>21</v>
      </c>
      <c r="E8" s="10">
        <v>19</v>
      </c>
      <c r="F8" s="10">
        <v>18</v>
      </c>
      <c r="G8" s="10">
        <v>16</v>
      </c>
      <c r="H8" s="10">
        <v>15</v>
      </c>
      <c r="I8" s="10">
        <v>14</v>
      </c>
      <c r="J8" s="10">
        <v>13</v>
      </c>
      <c r="K8" s="10">
        <v>12</v>
      </c>
      <c r="L8" s="10">
        <v>11</v>
      </c>
      <c r="M8" s="10">
        <v>10</v>
      </c>
      <c r="N8" s="10">
        <v>10</v>
      </c>
    </row>
    <row r="9" spans="1:14" x14ac:dyDescent="0.25">
      <c r="A9" s="7" t="s">
        <v>280</v>
      </c>
      <c r="D9" s="10">
        <v>1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5">
      <c r="A10" s="7" t="s">
        <v>281</v>
      </c>
      <c r="C10" s="20">
        <v>0.1</v>
      </c>
      <c r="D10" s="19">
        <v>-2</v>
      </c>
      <c r="E10" s="19">
        <v>-2</v>
      </c>
      <c r="F10" s="19">
        <v>-2</v>
      </c>
      <c r="G10" s="19">
        <v>-2</v>
      </c>
      <c r="H10" s="19">
        <v>-2</v>
      </c>
      <c r="I10" s="19">
        <v>-1</v>
      </c>
      <c r="J10" s="19">
        <v>-1</v>
      </c>
      <c r="K10" s="19">
        <v>-1</v>
      </c>
      <c r="L10" s="19">
        <v>-1</v>
      </c>
      <c r="M10" s="19">
        <v>-1</v>
      </c>
      <c r="N10" s="19">
        <v>-1</v>
      </c>
    </row>
    <row r="11" spans="1:14" x14ac:dyDescent="0.25">
      <c r="A11" s="7" t="s">
        <v>208</v>
      </c>
      <c r="D11" s="10">
        <v>19</v>
      </c>
      <c r="E11" s="10">
        <v>18</v>
      </c>
      <c r="F11" s="10">
        <v>16</v>
      </c>
      <c r="G11" s="10">
        <v>15</v>
      </c>
      <c r="H11" s="10">
        <v>14</v>
      </c>
      <c r="I11" s="10">
        <v>13</v>
      </c>
      <c r="J11" s="10">
        <v>12</v>
      </c>
      <c r="K11" s="10">
        <v>11</v>
      </c>
      <c r="L11" s="10">
        <v>10</v>
      </c>
      <c r="M11" s="10">
        <v>10</v>
      </c>
      <c r="N11" s="10">
        <v>9</v>
      </c>
    </row>
    <row r="12" spans="1:14" x14ac:dyDescent="0.25">
      <c r="A12" s="7" t="s">
        <v>815</v>
      </c>
      <c r="C12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  <c r="N12" s="10"/>
    </row>
    <row r="13" spans="1:14" x14ac:dyDescent="0.25">
      <c r="A13" s="7" t="s">
        <v>826</v>
      </c>
      <c r="C13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s="10" t="e">
        <f t="shared" si="0"/>
        <v>#NAME?</v>
      </c>
      <c r="M13" s="10" t="e">
        <f t="shared" si="0"/>
        <v>#NAME?</v>
      </c>
      <c r="N13" s="10"/>
    </row>
    <row r="14" spans="1:14" x14ac:dyDescent="0.25">
      <c r="A14" s="7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25">
      <c r="A15" s="7" t="s">
        <v>282</v>
      </c>
      <c r="D15" s="10">
        <v>20</v>
      </c>
      <c r="E15" s="10">
        <v>18</v>
      </c>
      <c r="F15" s="10">
        <v>17</v>
      </c>
      <c r="G15" s="10">
        <v>16</v>
      </c>
      <c r="H15" s="10">
        <v>15</v>
      </c>
      <c r="I15" s="10">
        <v>14</v>
      </c>
      <c r="J15" s="10">
        <v>13</v>
      </c>
      <c r="K15" s="10">
        <v>12</v>
      </c>
      <c r="L15" s="10">
        <v>11</v>
      </c>
      <c r="M15" s="10">
        <v>10</v>
      </c>
      <c r="N15" s="10">
        <v>9</v>
      </c>
    </row>
    <row r="16" spans="1:14" x14ac:dyDescent="0.25">
      <c r="A16" s="7" t="s">
        <v>283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  <c r="N16" s="7" t="s">
        <v>90</v>
      </c>
    </row>
    <row r="17" spans="1:14" x14ac:dyDescent="0.25">
      <c r="A17" s="7" t="s">
        <v>294</v>
      </c>
      <c r="D17" s="10">
        <v>20</v>
      </c>
      <c r="E17" s="10">
        <v>18</v>
      </c>
      <c r="F17" s="10">
        <v>17</v>
      </c>
      <c r="G17" s="10">
        <v>16</v>
      </c>
      <c r="H17" s="10">
        <v>15</v>
      </c>
      <c r="I17" s="10">
        <v>14</v>
      </c>
      <c r="J17" s="10">
        <v>13</v>
      </c>
      <c r="K17" s="10">
        <v>12</v>
      </c>
      <c r="L17" s="10">
        <v>11</v>
      </c>
      <c r="M17" s="10">
        <v>10</v>
      </c>
      <c r="N17" s="10">
        <v>9</v>
      </c>
    </row>
    <row r="18" spans="1:14" x14ac:dyDescent="0.25">
      <c r="A18" s="6" t="s">
        <v>106</v>
      </c>
      <c r="D18" s="13">
        <v>6</v>
      </c>
      <c r="E18" s="13">
        <v>6</v>
      </c>
      <c r="F18" s="13">
        <v>6</v>
      </c>
      <c r="G18" s="13">
        <v>5</v>
      </c>
      <c r="H18" s="13">
        <v>5</v>
      </c>
      <c r="I18" s="13">
        <v>4</v>
      </c>
      <c r="J18" s="13">
        <v>4</v>
      </c>
      <c r="K18" s="13">
        <v>4</v>
      </c>
      <c r="L18" s="13">
        <v>4</v>
      </c>
      <c r="M18" s="13">
        <v>3</v>
      </c>
      <c r="N18" s="13">
        <v>3</v>
      </c>
    </row>
    <row r="19" spans="1:14" x14ac:dyDescent="0.25">
      <c r="A19" s="7" t="s">
        <v>107</v>
      </c>
      <c r="D19" s="19">
        <v>-1</v>
      </c>
      <c r="E19" s="19">
        <v>-1</v>
      </c>
      <c r="F19" s="19">
        <v>-1</v>
      </c>
      <c r="G19" s="19">
        <v>-1</v>
      </c>
      <c r="H19" s="19">
        <v>-1</v>
      </c>
      <c r="I19" s="19">
        <v>-1</v>
      </c>
      <c r="J19" s="19">
        <v>-1</v>
      </c>
      <c r="K19" s="19">
        <v>-1</v>
      </c>
      <c r="L19" s="19">
        <v>-1</v>
      </c>
      <c r="M19" s="19">
        <v>0</v>
      </c>
      <c r="N19" s="19">
        <v>0</v>
      </c>
    </row>
    <row r="20" spans="1:14" x14ac:dyDescent="0.25">
      <c r="A20" s="7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14" x14ac:dyDescent="0.25">
      <c r="A21" s="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6" t="s">
        <v>211</v>
      </c>
      <c r="D23" s="13">
        <v>5</v>
      </c>
      <c r="E23" s="13">
        <v>5</v>
      </c>
      <c r="F23" s="13">
        <v>5</v>
      </c>
      <c r="G23" s="13">
        <v>4</v>
      </c>
      <c r="H23" s="13">
        <v>4</v>
      </c>
      <c r="I23" s="13">
        <v>4</v>
      </c>
      <c r="J23" s="13">
        <v>3</v>
      </c>
      <c r="K23" s="13">
        <v>3</v>
      </c>
      <c r="L23" s="13">
        <v>3</v>
      </c>
      <c r="M23" s="13">
        <v>3</v>
      </c>
      <c r="N23" s="13">
        <v>3</v>
      </c>
    </row>
    <row r="24" spans="1:14" x14ac:dyDescent="0.25">
      <c r="A24" s="6" t="s">
        <v>816</v>
      </c>
      <c r="C24">
        <f t="shared" ref="C24:M24" si="1">SUM(C18,C19)</f>
        <v>0</v>
      </c>
      <c r="D24" s="13">
        <f t="shared" si="1"/>
        <v>5</v>
      </c>
      <c r="E24" s="13">
        <f t="shared" si="1"/>
        <v>5</v>
      </c>
      <c r="F24" s="13">
        <f t="shared" si="1"/>
        <v>5</v>
      </c>
      <c r="G24" s="13">
        <f t="shared" si="1"/>
        <v>4</v>
      </c>
      <c r="H24" s="13">
        <f t="shared" si="1"/>
        <v>4</v>
      </c>
      <c r="I24" s="13">
        <f t="shared" si="1"/>
        <v>3</v>
      </c>
      <c r="J24" s="13">
        <f t="shared" si="1"/>
        <v>3</v>
      </c>
      <c r="K24" s="13">
        <f t="shared" si="1"/>
        <v>3</v>
      </c>
      <c r="L24" s="13">
        <f t="shared" si="1"/>
        <v>3</v>
      </c>
      <c r="M24" s="13">
        <f t="shared" si="1"/>
        <v>3</v>
      </c>
      <c r="N24" s="13"/>
    </row>
    <row r="25" spans="1:14" x14ac:dyDescent="0.25">
      <c r="A25" s="6" t="s">
        <v>827</v>
      </c>
      <c r="C25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 s="13">
        <f t="shared" ca="1" si="2"/>
        <v>0</v>
      </c>
      <c r="M25" s="13">
        <f t="shared" ca="1" si="2"/>
        <v>0</v>
      </c>
      <c r="N25" s="13"/>
    </row>
    <row r="26" spans="1:14" x14ac:dyDescent="0.25">
      <c r="A26" s="6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7" t="s">
        <v>210</v>
      </c>
      <c r="C27" s="20">
        <v>1.4999999999999999E-2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</row>
    <row r="28" spans="1:14" x14ac:dyDescent="0.25">
      <c r="A28" s="7" t="s">
        <v>820</v>
      </c>
      <c r="C28" s="20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  <c r="N28" s="19"/>
    </row>
    <row r="29" spans="1:14" x14ac:dyDescent="0.25">
      <c r="A29" s="7" t="s">
        <v>831</v>
      </c>
      <c r="C29" s="20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s="19" t="e">
        <f t="shared" si="3"/>
        <v>#NAME?</v>
      </c>
      <c r="M29" s="19" t="e">
        <f t="shared" si="3"/>
        <v>#NAME?</v>
      </c>
      <c r="N29" s="19"/>
    </row>
    <row r="30" spans="1:14" x14ac:dyDescent="0.25">
      <c r="A30" s="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x14ac:dyDescent="0.25">
      <c r="A31" s="6" t="s">
        <v>108</v>
      </c>
      <c r="D31" s="13">
        <v>5</v>
      </c>
      <c r="E31" s="13">
        <v>5</v>
      </c>
      <c r="F31" s="13">
        <v>4</v>
      </c>
      <c r="G31" s="13">
        <v>4</v>
      </c>
      <c r="H31" s="13">
        <v>4</v>
      </c>
      <c r="I31" s="13">
        <v>4</v>
      </c>
      <c r="J31" s="13">
        <v>3</v>
      </c>
      <c r="K31" s="13">
        <v>3</v>
      </c>
      <c r="L31" s="13">
        <v>3</v>
      </c>
      <c r="M31" s="13">
        <v>3</v>
      </c>
      <c r="N31" s="13">
        <v>2</v>
      </c>
    </row>
    <row r="32" spans="1:14" x14ac:dyDescent="0.25">
      <c r="A32" s="6" t="s">
        <v>817</v>
      </c>
      <c r="C32" s="60">
        <f t="shared" ref="C32:M32" si="4">SUM(C23,C27)</f>
        <v>1.4999999999999999E-2</v>
      </c>
      <c r="D32" s="13">
        <f t="shared" si="4"/>
        <v>5</v>
      </c>
      <c r="E32" s="13">
        <f t="shared" si="4"/>
        <v>5</v>
      </c>
      <c r="F32" s="13">
        <f t="shared" si="4"/>
        <v>5</v>
      </c>
      <c r="G32" s="13">
        <f t="shared" si="4"/>
        <v>4</v>
      </c>
      <c r="H32" s="13">
        <f t="shared" si="4"/>
        <v>4</v>
      </c>
      <c r="I32" s="13">
        <f t="shared" si="4"/>
        <v>4</v>
      </c>
      <c r="J32" s="13">
        <f t="shared" si="4"/>
        <v>3</v>
      </c>
      <c r="K32" s="13">
        <f t="shared" si="4"/>
        <v>3</v>
      </c>
      <c r="L32" s="13">
        <f t="shared" si="4"/>
        <v>3</v>
      </c>
      <c r="M32" s="13">
        <f t="shared" si="4"/>
        <v>3</v>
      </c>
      <c r="N32" s="13"/>
    </row>
    <row r="33" spans="1:14" x14ac:dyDescent="0.25">
      <c r="A33" s="6" t="s">
        <v>828</v>
      </c>
      <c r="C33" s="60">
        <f t="shared" ref="C33:M33" si="5">C32-C31</f>
        <v>1.4999999999999999E-2</v>
      </c>
      <c r="D33" s="13">
        <f t="shared" si="5"/>
        <v>0</v>
      </c>
      <c r="E33" s="13">
        <f t="shared" si="5"/>
        <v>0</v>
      </c>
      <c r="F33" s="13">
        <f t="shared" si="5"/>
        <v>1</v>
      </c>
      <c r="G33" s="13">
        <f t="shared" si="5"/>
        <v>0</v>
      </c>
      <c r="H33" s="13">
        <f>H32-H31</f>
        <v>0</v>
      </c>
      <c r="I33" s="13">
        <f t="shared" si="5"/>
        <v>0</v>
      </c>
      <c r="J33" s="13">
        <f t="shared" si="5"/>
        <v>0</v>
      </c>
      <c r="K33" s="13">
        <f t="shared" si="5"/>
        <v>0</v>
      </c>
      <c r="L33" s="13">
        <f t="shared" si="5"/>
        <v>0</v>
      </c>
      <c r="M33" s="13">
        <f t="shared" si="5"/>
        <v>0</v>
      </c>
      <c r="N33" s="13"/>
    </row>
    <row r="34" spans="1:14" x14ac:dyDescent="0.25">
      <c r="A34" s="6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7" t="s">
        <v>212</v>
      </c>
      <c r="C35" s="20">
        <v>0.218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-1</v>
      </c>
      <c r="J35" s="19">
        <v>-1</v>
      </c>
      <c r="K35" s="19">
        <v>-1</v>
      </c>
      <c r="L35" s="19">
        <v>-1</v>
      </c>
      <c r="M35" s="19">
        <v>-1</v>
      </c>
      <c r="N35" s="19">
        <v>-1</v>
      </c>
    </row>
    <row r="36" spans="1:14" x14ac:dyDescent="0.25">
      <c r="A36" s="7" t="s">
        <v>821</v>
      </c>
      <c r="C36" s="20">
        <f>C31*B35</f>
        <v>0</v>
      </c>
      <c r="D36" s="19">
        <f>D31*B35</f>
        <v>0</v>
      </c>
      <c r="E36" s="19">
        <f>E31*B35</f>
        <v>0</v>
      </c>
      <c r="F36" s="19">
        <f>F31*B35</f>
        <v>0</v>
      </c>
      <c r="G36" s="19">
        <f>G31*B35</f>
        <v>0</v>
      </c>
      <c r="H36" s="19">
        <f>H31*B35</f>
        <v>0</v>
      </c>
      <c r="I36" s="19">
        <f>I31*B35</f>
        <v>0</v>
      </c>
      <c r="J36" s="19">
        <f>J31*B35</f>
        <v>0</v>
      </c>
      <c r="K36" s="19">
        <f>K31*B35</f>
        <v>0</v>
      </c>
      <c r="L36" s="19">
        <f>L31*B35</f>
        <v>0</v>
      </c>
      <c r="M36" s="19">
        <f>M31*B35</f>
        <v>0</v>
      </c>
      <c r="N36" s="19"/>
    </row>
    <row r="37" spans="1:14" x14ac:dyDescent="0.25">
      <c r="A37" s="7" t="s">
        <v>832</v>
      </c>
      <c r="C37" s="20">
        <f t="shared" ref="C37:M37" si="6">C36-C35</f>
        <v>-0.218</v>
      </c>
      <c r="D37" s="19">
        <f t="shared" si="6"/>
        <v>1</v>
      </c>
      <c r="E37" s="19">
        <f t="shared" si="6"/>
        <v>1</v>
      </c>
      <c r="F37" s="19">
        <f t="shared" si="6"/>
        <v>1</v>
      </c>
      <c r="G37" s="19">
        <f t="shared" si="6"/>
        <v>1</v>
      </c>
      <c r="H37" s="19">
        <f t="shared" si="6"/>
        <v>1</v>
      </c>
      <c r="I37" s="19">
        <f t="shared" si="6"/>
        <v>1</v>
      </c>
      <c r="J37" s="19">
        <f t="shared" si="6"/>
        <v>1</v>
      </c>
      <c r="K37" s="19">
        <f t="shared" si="6"/>
        <v>1</v>
      </c>
      <c r="L37" s="19">
        <f t="shared" si="6"/>
        <v>1</v>
      </c>
      <c r="M37" s="19">
        <f t="shared" si="6"/>
        <v>1</v>
      </c>
      <c r="N37" s="19"/>
    </row>
    <row r="38" spans="1:14" x14ac:dyDescent="0.25">
      <c r="A38" s="7"/>
      <c r="C38" s="20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1:14" x14ac:dyDescent="0.25">
      <c r="A39" s="6" t="s">
        <v>213</v>
      </c>
      <c r="D39" s="13">
        <v>4</v>
      </c>
      <c r="E39" s="13">
        <v>4</v>
      </c>
      <c r="F39" s="13">
        <v>3</v>
      </c>
      <c r="G39" s="13">
        <v>3</v>
      </c>
      <c r="H39" s="13">
        <v>3</v>
      </c>
      <c r="I39" s="13">
        <v>3</v>
      </c>
      <c r="J39" s="13">
        <v>3</v>
      </c>
      <c r="K39" s="13">
        <v>2</v>
      </c>
      <c r="L39" s="13">
        <v>2</v>
      </c>
      <c r="M39" s="13">
        <v>2</v>
      </c>
      <c r="N39" s="13">
        <v>2</v>
      </c>
    </row>
    <row r="40" spans="1:14" x14ac:dyDescent="0.25">
      <c r="A40" s="6" t="s">
        <v>819</v>
      </c>
      <c r="C40" s="60">
        <f t="shared" ref="C40:M40" si="7">C31-C35</f>
        <v>-0.218</v>
      </c>
      <c r="D40" s="13">
        <f t="shared" si="7"/>
        <v>6</v>
      </c>
      <c r="E40" s="13">
        <f t="shared" si="7"/>
        <v>6</v>
      </c>
      <c r="F40" s="13">
        <f t="shared" si="7"/>
        <v>5</v>
      </c>
      <c r="G40" s="13">
        <f t="shared" si="7"/>
        <v>5</v>
      </c>
      <c r="H40" s="13">
        <f t="shared" si="7"/>
        <v>5</v>
      </c>
      <c r="I40" s="13">
        <f t="shared" si="7"/>
        <v>5</v>
      </c>
      <c r="J40" s="13">
        <f t="shared" si="7"/>
        <v>4</v>
      </c>
      <c r="K40" s="13">
        <f t="shared" si="7"/>
        <v>4</v>
      </c>
      <c r="L40" s="13">
        <f t="shared" si="7"/>
        <v>4</v>
      </c>
      <c r="M40" s="13">
        <f t="shared" si="7"/>
        <v>4</v>
      </c>
      <c r="N40" s="13"/>
    </row>
    <row r="41" spans="1:14" x14ac:dyDescent="0.25">
      <c r="A41" s="6" t="s">
        <v>830</v>
      </c>
      <c r="C41" s="60">
        <f t="shared" ref="C41:M41" si="8">C40-C39</f>
        <v>-0.218</v>
      </c>
      <c r="D41" s="13">
        <f t="shared" si="8"/>
        <v>2</v>
      </c>
      <c r="E41" s="13">
        <f t="shared" si="8"/>
        <v>2</v>
      </c>
      <c r="F41" s="13">
        <f t="shared" si="8"/>
        <v>2</v>
      </c>
      <c r="G41" s="13">
        <f>G40-G39</f>
        <v>2</v>
      </c>
      <c r="H41" s="13">
        <f t="shared" si="8"/>
        <v>2</v>
      </c>
      <c r="I41" s="13">
        <f t="shared" si="8"/>
        <v>2</v>
      </c>
      <c r="J41" s="13">
        <f t="shared" si="8"/>
        <v>1</v>
      </c>
      <c r="K41" s="13">
        <f t="shared" si="8"/>
        <v>2</v>
      </c>
      <c r="L41" s="13">
        <f t="shared" si="8"/>
        <v>2</v>
      </c>
      <c r="M41" s="13">
        <f t="shared" si="8"/>
        <v>2</v>
      </c>
      <c r="N41" s="13"/>
    </row>
    <row r="42" spans="1:14" x14ac:dyDescent="0.25">
      <c r="A42" s="6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7" t="s">
        <v>214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5">
      <c r="A44" s="6" t="s">
        <v>215</v>
      </c>
      <c r="D44" s="13">
        <v>4</v>
      </c>
      <c r="E44" s="13">
        <v>4</v>
      </c>
      <c r="F44" s="13">
        <v>4</v>
      </c>
      <c r="G44" s="13">
        <v>3</v>
      </c>
      <c r="H44" s="13">
        <v>3</v>
      </c>
      <c r="I44" s="13">
        <v>3</v>
      </c>
      <c r="J44" s="13">
        <v>3</v>
      </c>
      <c r="K44" s="13">
        <v>2</v>
      </c>
      <c r="L44" s="13">
        <v>2</v>
      </c>
      <c r="M44" s="13">
        <v>2</v>
      </c>
      <c r="N44" s="13">
        <v>2</v>
      </c>
    </row>
    <row r="45" spans="1:14" x14ac:dyDescent="0.25">
      <c r="A45" s="6" t="s">
        <v>818</v>
      </c>
      <c r="C45">
        <f t="shared" ref="C45:M45" si="9">SUM(C39,C43)</f>
        <v>0</v>
      </c>
      <c r="D45" s="13">
        <f t="shared" si="9"/>
        <v>4</v>
      </c>
      <c r="E45" s="13">
        <f t="shared" si="9"/>
        <v>4</v>
      </c>
      <c r="F45" s="13">
        <f t="shared" si="9"/>
        <v>3</v>
      </c>
      <c r="G45" s="13">
        <f t="shared" si="9"/>
        <v>3</v>
      </c>
      <c r="H45" s="13">
        <f t="shared" si="9"/>
        <v>3</v>
      </c>
      <c r="I45" s="13">
        <f t="shared" si="9"/>
        <v>3</v>
      </c>
      <c r="J45" s="13">
        <f t="shared" si="9"/>
        <v>3</v>
      </c>
      <c r="K45" s="13">
        <f t="shared" si="9"/>
        <v>2</v>
      </c>
      <c r="L45" s="13">
        <f t="shared" si="9"/>
        <v>2</v>
      </c>
      <c r="M45" s="13">
        <f t="shared" si="9"/>
        <v>2</v>
      </c>
      <c r="N45" s="13"/>
    </row>
    <row r="46" spans="1:14" x14ac:dyDescent="0.25">
      <c r="A46" s="6" t="s">
        <v>829</v>
      </c>
      <c r="C46">
        <f t="shared" ref="C46:M46" si="10">C45-C44</f>
        <v>0</v>
      </c>
      <c r="D46" s="13">
        <f t="shared" si="10"/>
        <v>0</v>
      </c>
      <c r="E46" s="13">
        <f t="shared" si="10"/>
        <v>0</v>
      </c>
      <c r="F46" s="13">
        <f t="shared" si="10"/>
        <v>-1</v>
      </c>
      <c r="G46" s="13">
        <f t="shared" si="10"/>
        <v>0</v>
      </c>
      <c r="H46" s="13">
        <f t="shared" si="10"/>
        <v>0</v>
      </c>
      <c r="I46" s="13">
        <f>I45-I44</f>
        <v>0</v>
      </c>
      <c r="J46" s="13">
        <f t="shared" si="10"/>
        <v>0</v>
      </c>
      <c r="K46" s="13">
        <f t="shared" si="10"/>
        <v>0</v>
      </c>
      <c r="L46" s="13">
        <f t="shared" si="10"/>
        <v>0</v>
      </c>
      <c r="M46" s="13">
        <f t="shared" si="10"/>
        <v>0</v>
      </c>
      <c r="N46" s="13"/>
    </row>
    <row r="47" spans="1:14" x14ac:dyDescent="0.25">
      <c r="A47" s="6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7" t="s">
        <v>115</v>
      </c>
      <c r="C48" s="20">
        <v>0.11</v>
      </c>
      <c r="D48" s="23">
        <v>0.32590000000000002</v>
      </c>
      <c r="E48" s="23">
        <v>0.29360000000000003</v>
      </c>
      <c r="F48" s="23">
        <v>0.26450000000000001</v>
      </c>
      <c r="G48" s="23">
        <v>0.23830000000000001</v>
      </c>
      <c r="H48" s="23">
        <v>0.2147</v>
      </c>
      <c r="I48" s="23">
        <v>0.19339999999999999</v>
      </c>
      <c r="J48" s="23">
        <v>0.17419999999999999</v>
      </c>
      <c r="K48" s="24">
        <v>0.157</v>
      </c>
      <c r="L48" s="23">
        <v>0.1414</v>
      </c>
      <c r="M48" s="23">
        <v>0.12740000000000001</v>
      </c>
      <c r="N48" s="23">
        <v>0.1148</v>
      </c>
    </row>
    <row r="49" spans="1:14" x14ac:dyDescent="0.25">
      <c r="A49" s="6" t="s">
        <v>116</v>
      </c>
      <c r="D49" s="13">
        <v>1</v>
      </c>
      <c r="E49" s="13">
        <v>1</v>
      </c>
      <c r="F49" s="13">
        <v>1</v>
      </c>
      <c r="G49" s="13">
        <v>1</v>
      </c>
      <c r="H49" s="13">
        <v>1</v>
      </c>
      <c r="I49" s="13">
        <v>1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25">
      <c r="A50" s="6" t="s">
        <v>822</v>
      </c>
      <c r="C50">
        <f t="shared" ref="C50:M50" si="11">C44*C48</f>
        <v>0</v>
      </c>
      <c r="D50" s="13">
        <f t="shared" si="11"/>
        <v>1.3036000000000001</v>
      </c>
      <c r="E50" s="13">
        <f t="shared" si="11"/>
        <v>1.1744000000000001</v>
      </c>
      <c r="F50" s="13">
        <f t="shared" si="11"/>
        <v>1.0580000000000001</v>
      </c>
      <c r="G50" s="13">
        <f t="shared" si="11"/>
        <v>0.71490000000000009</v>
      </c>
      <c r="H50" s="13">
        <f t="shared" si="11"/>
        <v>0.64410000000000001</v>
      </c>
      <c r="I50" s="13">
        <f t="shared" si="11"/>
        <v>0.58019999999999994</v>
      </c>
      <c r="J50" s="13">
        <f t="shared" si="11"/>
        <v>0.52259999999999995</v>
      </c>
      <c r="K50" s="13">
        <f t="shared" si="11"/>
        <v>0.314</v>
      </c>
      <c r="L50" s="13">
        <f t="shared" si="11"/>
        <v>0.2828</v>
      </c>
      <c r="M50" s="13">
        <f t="shared" si="11"/>
        <v>0.25480000000000003</v>
      </c>
      <c r="N50" s="13"/>
    </row>
    <row r="51" spans="1:14" x14ac:dyDescent="0.25">
      <c r="A51" s="6" t="s">
        <v>833</v>
      </c>
      <c r="C51">
        <f t="shared" ref="C51:M51" si="12">C50-C49</f>
        <v>0</v>
      </c>
      <c r="D51" s="13">
        <f t="shared" si="12"/>
        <v>0.30360000000000009</v>
      </c>
      <c r="E51" s="13">
        <f t="shared" si="12"/>
        <v>0.17440000000000011</v>
      </c>
      <c r="F51" s="13">
        <f t="shared" si="12"/>
        <v>5.8000000000000052E-2</v>
      </c>
      <c r="G51" s="13">
        <f t="shared" si="12"/>
        <v>-0.28509999999999991</v>
      </c>
      <c r="H51" s="13">
        <f>H50-H49</f>
        <v>-0.35589999999999999</v>
      </c>
      <c r="I51" s="13">
        <f t="shared" si="12"/>
        <v>-0.41980000000000006</v>
      </c>
      <c r="J51" s="13">
        <f t="shared" si="12"/>
        <v>0.52259999999999995</v>
      </c>
      <c r="K51" s="13">
        <f t="shared" si="12"/>
        <v>0.314</v>
      </c>
      <c r="L51" s="13">
        <f t="shared" si="12"/>
        <v>0.2828</v>
      </c>
      <c r="M51" s="13">
        <f t="shared" si="12"/>
        <v>0.25480000000000003</v>
      </c>
      <c r="N51" s="13"/>
    </row>
    <row r="52" spans="1:14" x14ac:dyDescent="0.25">
      <c r="A52" s="6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9" t="s">
        <v>221</v>
      </c>
    </row>
    <row r="54" spans="1:14" x14ac:dyDescent="0.25">
      <c r="A54" s="7" t="s">
        <v>222</v>
      </c>
      <c r="D54" s="20">
        <v>0.03</v>
      </c>
      <c r="E54" s="20">
        <v>0.03</v>
      </c>
      <c r="F54" s="20">
        <v>0.03</v>
      </c>
      <c r="G54" s="20">
        <v>0.03</v>
      </c>
      <c r="H54" s="20">
        <v>0.03</v>
      </c>
      <c r="I54" s="20">
        <v>0.03</v>
      </c>
      <c r="J54" s="20">
        <v>0.03</v>
      </c>
      <c r="K54" s="20">
        <v>0.03</v>
      </c>
      <c r="L54" s="20">
        <v>0.03</v>
      </c>
      <c r="M54" s="20">
        <v>0.03</v>
      </c>
      <c r="N54" s="20">
        <v>0.03</v>
      </c>
    </row>
    <row r="55" spans="1:14" x14ac:dyDescent="0.25">
      <c r="A55" s="7"/>
      <c r="D55" s="20" t="e">
        <f>(D0-C0)/C0</f>
        <v>#NAME?</v>
      </c>
      <c r="E55" s="20" t="e">
        <f>(E0-D0)/D0</f>
        <v>#NAME?</v>
      </c>
      <c r="F55" s="20" t="e">
        <f>(F0-E0)/E0</f>
        <v>#NAME?</v>
      </c>
      <c r="G55" s="20" t="e">
        <f>(G0-F0)/F0</f>
        <v>#NAME?</v>
      </c>
      <c r="H55" s="20" t="e">
        <f>(H0-G0)/G0</f>
        <v>#NAME?</v>
      </c>
      <c r="I55" s="20" t="e">
        <f>(I0-H0)/H0</f>
        <v>#NAME?</v>
      </c>
      <c r="J55" s="20" t="e">
        <f>(J0-I0)/I0</f>
        <v>#NAME?</v>
      </c>
      <c r="K55" s="20" t="e">
        <f>(K0-J0)/J0</f>
        <v>#NAME?</v>
      </c>
      <c r="L55" s="20" t="e">
        <f>(L0-K0)/K0</f>
        <v>#NAME?</v>
      </c>
      <c r="M55" s="20" t="e">
        <f>(M0-L0)/L0</f>
        <v>#NAME?</v>
      </c>
      <c r="N55" s="20"/>
    </row>
    <row r="56" spans="1:14" x14ac:dyDescent="0.25">
      <c r="A56" s="7"/>
      <c r="C56">
        <f t="shared" ref="C56:M56" si="13">C55-C54</f>
        <v>0</v>
      </c>
      <c r="D56" s="20" t="e">
        <f t="shared" si="13"/>
        <v>#NAME?</v>
      </c>
      <c r="E56" s="20" t="e">
        <f t="shared" si="13"/>
        <v>#NAME?</v>
      </c>
      <c r="F56" s="20" t="e">
        <f t="shared" si="13"/>
        <v>#NAME?</v>
      </c>
      <c r="G56" s="20" t="e">
        <f t="shared" si="13"/>
        <v>#NAME?</v>
      </c>
      <c r="H56" s="20" t="e">
        <f t="shared" si="13"/>
        <v>#NAME?</v>
      </c>
      <c r="I56" s="20" t="e">
        <f>I55-I54</f>
        <v>#NAME?</v>
      </c>
      <c r="J56" s="20" t="e">
        <f t="shared" si="13"/>
        <v>#NAME?</v>
      </c>
      <c r="K56" s="20" t="e">
        <f t="shared" si="13"/>
        <v>#NAME?</v>
      </c>
      <c r="L56" s="20" t="e">
        <f t="shared" si="13"/>
        <v>#NAME?</v>
      </c>
      <c r="M56" s="20" t="e">
        <f t="shared" si="13"/>
        <v>#NAME?</v>
      </c>
      <c r="N56" s="20"/>
    </row>
    <row r="57" spans="1:14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1:14" x14ac:dyDescent="0.25">
      <c r="A58" s="7" t="s">
        <v>288</v>
      </c>
      <c r="D58" s="20">
        <v>5.0999999999999997E-2</v>
      </c>
      <c r="E58" s="20">
        <v>5.0999999999999997E-2</v>
      </c>
      <c r="F58" s="20">
        <v>5.0999999999999997E-2</v>
      </c>
      <c r="G58" s="20">
        <v>5.0999999999999997E-2</v>
      </c>
      <c r="H58" s="20">
        <v>5.0999999999999997E-2</v>
      </c>
      <c r="I58" s="20">
        <v>5.0999999999999997E-2</v>
      </c>
      <c r="J58" s="20">
        <v>5.0999999999999997E-2</v>
      </c>
      <c r="K58" s="20">
        <v>5.0999999999999997E-2</v>
      </c>
      <c r="L58" s="20">
        <v>5.0999999999999997E-2</v>
      </c>
      <c r="M58" s="20">
        <v>5.0999999999999997E-2</v>
      </c>
      <c r="N58" s="20">
        <v>5.0999999999999997E-2</v>
      </c>
    </row>
    <row r="59" spans="1:14" x14ac:dyDescent="0.25">
      <c r="A59" s="7" t="s">
        <v>224</v>
      </c>
      <c r="D59" s="20">
        <v>0.32600000000000001</v>
      </c>
      <c r="E59" s="20">
        <v>0.32600000000000001</v>
      </c>
      <c r="F59" s="20">
        <v>0.32600000000000001</v>
      </c>
      <c r="G59" s="20">
        <v>0.32600000000000001</v>
      </c>
      <c r="H59" s="20">
        <v>0.32600000000000001</v>
      </c>
      <c r="I59" s="20">
        <v>0.32600000000000001</v>
      </c>
      <c r="J59" s="20">
        <v>0.32600000000000001</v>
      </c>
      <c r="K59" s="20">
        <v>0.32600000000000001</v>
      </c>
      <c r="L59" s="20">
        <v>0.32600000000000001</v>
      </c>
      <c r="M59" s="20">
        <v>0.32600000000000001</v>
      </c>
      <c r="N59" s="20">
        <v>0.32600000000000001</v>
      </c>
    </row>
    <row r="60" spans="1:14" x14ac:dyDescent="0.25">
      <c r="A60" s="7" t="s">
        <v>823</v>
      </c>
      <c r="C60" t="e">
        <f>C18/C0</f>
        <v>#NAME?</v>
      </c>
      <c r="D60" s="20" t="e">
        <f>D18/D0</f>
        <v>#NAME?</v>
      </c>
      <c r="E60" s="20" t="e">
        <f>E18/E0</f>
        <v>#NAME?</v>
      </c>
      <c r="F60" s="20" t="e">
        <f>F18/F0</f>
        <v>#NAME?</v>
      </c>
      <c r="G60" s="20" t="e">
        <f>G18/G0</f>
        <v>#NAME?</v>
      </c>
      <c r="H60" s="20" t="e">
        <f>H18/H0</f>
        <v>#NAME?</v>
      </c>
      <c r="I60" s="20" t="e">
        <f>I18/I0</f>
        <v>#NAME?</v>
      </c>
      <c r="J60" s="20" t="e">
        <f>J18/J0</f>
        <v>#NAME?</v>
      </c>
      <c r="K60" s="20" t="e">
        <f>K18/K0</f>
        <v>#NAME?</v>
      </c>
      <c r="L60" s="20" t="e">
        <f>L18/L0</f>
        <v>#NAME?</v>
      </c>
      <c r="M60" s="20" t="e">
        <f>M18/M0</f>
        <v>#NAME?</v>
      </c>
      <c r="N60" s="20"/>
    </row>
    <row r="61" spans="1:14" x14ac:dyDescent="0.25">
      <c r="A61" s="7" t="s">
        <v>834</v>
      </c>
      <c r="C61" t="e">
        <f t="shared" ref="C61:M61" si="14">C60-C59</f>
        <v>#NAME?</v>
      </c>
      <c r="D61" s="20" t="e">
        <f t="shared" si="14"/>
        <v>#NAME?</v>
      </c>
      <c r="E61" s="20" t="e">
        <f t="shared" si="14"/>
        <v>#NAME?</v>
      </c>
      <c r="F61" s="20" t="e">
        <f t="shared" si="14"/>
        <v>#NAME?</v>
      </c>
      <c r="G61" s="20" t="e">
        <f t="shared" si="14"/>
        <v>#NAME?</v>
      </c>
      <c r="H61" s="20" t="e">
        <f t="shared" si="14"/>
        <v>#NAME?</v>
      </c>
      <c r="I61" s="20" t="e">
        <f t="shared" si="14"/>
        <v>#NAME?</v>
      </c>
      <c r="J61" s="20" t="e">
        <f t="shared" si="14"/>
        <v>#NAME?</v>
      </c>
      <c r="K61" s="20" t="e">
        <f t="shared" si="14"/>
        <v>#NAME?</v>
      </c>
      <c r="L61" s="20" t="e">
        <f t="shared" si="14"/>
        <v>#NAME?</v>
      </c>
      <c r="M61" s="20" t="e">
        <f t="shared" si="14"/>
        <v>#NAME?</v>
      </c>
      <c r="N61" s="20"/>
    </row>
    <row r="62" spans="1:14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 t="s">
        <v>107</v>
      </c>
      <c r="D63" s="20">
        <v>4.9000000000000002E-2</v>
      </c>
      <c r="E63" s="20">
        <v>4.9000000000000002E-2</v>
      </c>
      <c r="F63" s="20">
        <v>4.9000000000000002E-2</v>
      </c>
      <c r="G63" s="20">
        <v>4.9000000000000002E-2</v>
      </c>
      <c r="H63" s="20">
        <v>4.9000000000000002E-2</v>
      </c>
      <c r="I63" s="20">
        <v>4.9000000000000002E-2</v>
      </c>
      <c r="J63" s="20">
        <v>4.9000000000000002E-2</v>
      </c>
      <c r="K63" s="20">
        <v>4.9000000000000002E-2</v>
      </c>
      <c r="L63" s="20">
        <v>4.9000000000000002E-2</v>
      </c>
      <c r="M63" s="20">
        <v>4.9000000000000002E-2</v>
      </c>
      <c r="N63" s="20">
        <v>4.9000000000000002E-2</v>
      </c>
    </row>
    <row r="64" spans="1:14" x14ac:dyDescent="0.25">
      <c r="A64" s="7" t="s">
        <v>225</v>
      </c>
      <c r="D64" s="20">
        <v>0.27700000000000002</v>
      </c>
      <c r="E64" s="20">
        <v>0.27700000000000002</v>
      </c>
      <c r="F64" s="20">
        <v>0.27700000000000002</v>
      </c>
      <c r="G64" s="20">
        <v>0.27700000000000002</v>
      </c>
      <c r="H64" s="20">
        <v>0.27700000000000002</v>
      </c>
      <c r="I64" s="20">
        <v>0.27700000000000002</v>
      </c>
      <c r="J64" s="20">
        <v>0.27700000000000002</v>
      </c>
      <c r="K64" s="20">
        <v>0.27700000000000002</v>
      </c>
      <c r="L64" s="20">
        <v>0.27700000000000002</v>
      </c>
      <c r="M64" s="20">
        <v>0.27700000000000002</v>
      </c>
      <c r="N64" s="20">
        <v>0.27700000000000002</v>
      </c>
    </row>
    <row r="65" spans="1:14" x14ac:dyDescent="0.25">
      <c r="A65" s="7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240</v>
      </c>
      <c r="D68" s="20">
        <v>-5.0000000000000001E-3</v>
      </c>
      <c r="E68" s="20">
        <v>-5.0000000000000001E-3</v>
      </c>
      <c r="F68" s="20">
        <v>-5.0000000000000001E-3</v>
      </c>
      <c r="G68" s="20">
        <v>-5.0000000000000001E-3</v>
      </c>
      <c r="H68" s="20">
        <v>-5.0000000000000001E-3</v>
      </c>
      <c r="I68" s="20">
        <v>-5.0000000000000001E-3</v>
      </c>
      <c r="J68" s="20">
        <v>-5.0000000000000001E-3</v>
      </c>
      <c r="K68" s="20">
        <v>-5.0000000000000001E-3</v>
      </c>
      <c r="L68" s="20">
        <v>-5.0000000000000001E-3</v>
      </c>
      <c r="M68" s="20">
        <v>-5.0000000000000001E-3</v>
      </c>
      <c r="N68" s="20">
        <v>-5.0000000000000001E-3</v>
      </c>
    </row>
    <row r="69" spans="1:14" x14ac:dyDescent="0.25">
      <c r="A69" s="7" t="s">
        <v>824</v>
      </c>
      <c r="C69" t="e">
        <f>-C43/C0</f>
        <v>#NAME?</v>
      </c>
      <c r="D69" s="20" t="e">
        <f>-D43/D0</f>
        <v>#NAME?</v>
      </c>
      <c r="E69" s="20" t="e">
        <f>-E43/E0</f>
        <v>#NAME?</v>
      </c>
      <c r="F69" s="20" t="e">
        <f>-F43/F0</f>
        <v>#NAME?</v>
      </c>
      <c r="G69" s="20" t="e">
        <f>-G43/G0</f>
        <v>#NAME?</v>
      </c>
      <c r="H69" s="20" t="e">
        <f>-H43/H0</f>
        <v>#NAME?</v>
      </c>
      <c r="I69" s="20" t="e">
        <f>-I43/I0</f>
        <v>#NAME?</v>
      </c>
      <c r="J69" s="20" t="e">
        <f>-J43/J0</f>
        <v>#NAME?</v>
      </c>
      <c r="K69" s="20" t="e">
        <f>-K43/K0</f>
        <v>#NAME?</v>
      </c>
      <c r="L69" s="20" t="e">
        <f>-L43/L0</f>
        <v>#NAME?</v>
      </c>
      <c r="M69" s="20" t="e">
        <f>-M43/M0</f>
        <v>#NAME?</v>
      </c>
      <c r="N69" s="20"/>
    </row>
    <row r="70" spans="1:14" x14ac:dyDescent="0.25">
      <c r="A70" s="7" t="s">
        <v>835</v>
      </c>
      <c r="C70" t="e">
        <f t="shared" ref="C70:M70" si="15">C69-C68</f>
        <v>#NAME?</v>
      </c>
      <c r="D70" s="20" t="e">
        <f t="shared" si="15"/>
        <v>#NAME?</v>
      </c>
      <c r="E70" s="20" t="e">
        <f t="shared" si="15"/>
        <v>#NAME?</v>
      </c>
      <c r="F70" s="20" t="e">
        <f t="shared" si="15"/>
        <v>#NAME?</v>
      </c>
      <c r="G70" s="20" t="e">
        <f t="shared" si="15"/>
        <v>#NAME?</v>
      </c>
      <c r="H70" s="20" t="e">
        <f t="shared" si="15"/>
        <v>#NAME?</v>
      </c>
      <c r="I70" s="20" t="e">
        <f t="shared" si="15"/>
        <v>#NAME?</v>
      </c>
      <c r="J70" s="20" t="e">
        <f t="shared" si="15"/>
        <v>#NAME?</v>
      </c>
      <c r="K70" s="20" t="e">
        <f t="shared" si="15"/>
        <v>#NAME?</v>
      </c>
      <c r="L70" s="20" t="e">
        <f t="shared" si="15"/>
        <v>#NAME?</v>
      </c>
      <c r="M70" s="20" t="e">
        <f t="shared" si="15"/>
        <v>#NAME?</v>
      </c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16" t="s">
        <v>127</v>
      </c>
    </row>
    <row r="73" spans="1:14" x14ac:dyDescent="0.25">
      <c r="A73" s="7" t="s">
        <v>289</v>
      </c>
    </row>
    <row r="74" spans="1:14" x14ac:dyDescent="0.25">
      <c r="A74" s="7" t="s">
        <v>290</v>
      </c>
    </row>
    <row r="75" spans="1:14" x14ac:dyDescent="0.25">
      <c r="A75" s="16" t="s">
        <v>61</v>
      </c>
    </row>
    <row r="76" spans="1:14" x14ac:dyDescent="0.25">
      <c r="A76" s="9" t="s">
        <v>62</v>
      </c>
      <c r="N76" s="32" t="s">
        <v>63</v>
      </c>
    </row>
    <row r="77" spans="1:14" x14ac:dyDescent="0.25">
      <c r="F77" s="5" t="s">
        <v>6</v>
      </c>
    </row>
    <row r="82" spans="1:1" x14ac:dyDescent="0.25">
      <c r="A82">
        <f>_xlfn.POISSON.DIST(4, 3, FALSE)</f>
        <v>0.16803135574154085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77"/>
  <sheetViews>
    <sheetView topLeftCell="A55" workbookViewId="0">
      <selection activeCell="E56" sqref="E56"/>
    </sheetView>
  </sheetViews>
  <sheetFormatPr defaultRowHeight="15" x14ac:dyDescent="0.25"/>
  <cols>
    <col min="1" max="1" width="62.7109375" bestFit="1" customWidth="1"/>
  </cols>
  <sheetData>
    <row r="1" spans="1:13" x14ac:dyDescent="0.25">
      <c r="A1" t="s">
        <v>814</v>
      </c>
      <c r="C1" t="e">
        <f>SUM(C0,C0)</f>
        <v>#NAME?</v>
      </c>
      <c r="D1" t="e">
        <f>SUM(D0,D0)</f>
        <v>#NAME?</v>
      </c>
      <c r="E1" t="e">
        <f>SUM(E0,E0)</f>
        <v>#NAME?</v>
      </c>
      <c r="F1" t="e">
        <f>SUM(F0,F0)</f>
        <v>#NAME?</v>
      </c>
      <c r="G1" t="e">
        <f>SUM(G0,G0)</f>
        <v>#NAME?</v>
      </c>
      <c r="H1" t="e">
        <f>SUM(H0,H0)</f>
        <v>#NAME?</v>
      </c>
      <c r="I1" t="e">
        <f>SUM(I0,I0)</f>
        <v>#NAME?</v>
      </c>
      <c r="J1" t="e">
        <f>SUM(J0,J0)</f>
        <v>#NAME?</v>
      </c>
      <c r="K1" t="e">
        <f>SUM(K0,K0)</f>
        <v>#NAME?</v>
      </c>
      <c r="L1" t="e">
        <f>SUM(L0,L0)</f>
        <v>#NAME?</v>
      </c>
      <c r="M1" t="e">
        <f>SUM(M0,M0)</f>
        <v>#NAME?</v>
      </c>
    </row>
    <row r="2" spans="1:13" x14ac:dyDescent="0.25">
      <c r="A2" s="6" t="s">
        <v>825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s="7" t="s">
        <v>839</v>
      </c>
    </row>
    <row r="3" spans="1:13" x14ac:dyDescent="0.25">
      <c r="A3" s="6" t="s">
        <v>9</v>
      </c>
    </row>
    <row r="4" spans="1:13" x14ac:dyDescent="0.25">
      <c r="A4" s="6" t="s">
        <v>292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293</v>
      </c>
      <c r="C8" s="10">
        <v>9</v>
      </c>
      <c r="D8" s="10">
        <v>8</v>
      </c>
      <c r="E8" s="10">
        <v>8</v>
      </c>
      <c r="F8" s="10">
        <v>7</v>
      </c>
      <c r="G8" s="10">
        <v>7</v>
      </c>
      <c r="H8" s="10">
        <v>6</v>
      </c>
      <c r="I8" s="10">
        <v>6</v>
      </c>
      <c r="J8" s="10">
        <v>5</v>
      </c>
      <c r="K8" s="10">
        <v>5</v>
      </c>
    </row>
    <row r="9" spans="1:13" x14ac:dyDescent="0.25">
      <c r="A9" s="7" t="s">
        <v>280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</row>
    <row r="10" spans="1:13" x14ac:dyDescent="0.25">
      <c r="A10" s="7" t="s">
        <v>281</v>
      </c>
      <c r="B10" s="20">
        <v>0.1</v>
      </c>
      <c r="C10" s="19">
        <v>-1</v>
      </c>
      <c r="D10" s="19">
        <v>-1</v>
      </c>
      <c r="E10" s="19">
        <v>-1</v>
      </c>
      <c r="F10" s="19">
        <v>-1</v>
      </c>
      <c r="G10" s="19">
        <v>-1</v>
      </c>
      <c r="H10" s="19">
        <v>-1</v>
      </c>
      <c r="I10" s="19">
        <v>-1</v>
      </c>
      <c r="J10" s="19">
        <v>-1</v>
      </c>
      <c r="K10" s="19">
        <v>-1</v>
      </c>
    </row>
    <row r="11" spans="1:13" x14ac:dyDescent="0.25">
      <c r="A11" s="7" t="s">
        <v>208</v>
      </c>
      <c r="C11" s="10">
        <v>8</v>
      </c>
      <c r="D11" s="10">
        <v>8</v>
      </c>
      <c r="E11" s="10">
        <v>7</v>
      </c>
      <c r="F11" s="10">
        <v>7</v>
      </c>
      <c r="G11" s="10">
        <v>6</v>
      </c>
      <c r="H11" s="10">
        <v>6</v>
      </c>
      <c r="I11" s="10">
        <v>5</v>
      </c>
      <c r="J11" s="10">
        <v>5</v>
      </c>
      <c r="K11" s="10">
        <v>5</v>
      </c>
    </row>
    <row r="12" spans="1:13" x14ac:dyDescent="0.25">
      <c r="A12" s="7" t="s">
        <v>815</v>
      </c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t="e">
        <f>SUM(L0,L0)</f>
        <v>#NAME?</v>
      </c>
      <c r="M12" t="e">
        <f>SUM(M0,M0)</f>
        <v>#NAME?</v>
      </c>
    </row>
    <row r="13" spans="1:13" x14ac:dyDescent="0.25">
      <c r="A13" s="7" t="s">
        <v>826</v>
      </c>
      <c r="C13" s="10" t="e">
        <f t="shared" ref="C13:M13" si="0">C12-C11</f>
        <v>#NAME?</v>
      </c>
      <c r="D13" s="10" t="e">
        <f t="shared" si="0"/>
        <v>#NAME?</v>
      </c>
      <c r="E13" s="10" t="e">
        <f t="shared" si="0"/>
        <v>#NAME?</v>
      </c>
      <c r="F13" s="10" t="e">
        <f t="shared" si="0"/>
        <v>#NAME?</v>
      </c>
      <c r="G13" s="10" t="e">
        <f t="shared" si="0"/>
        <v>#NAME?</v>
      </c>
      <c r="H13" s="10" t="e">
        <f t="shared" si="0"/>
        <v>#NAME?</v>
      </c>
      <c r="I13" s="10" t="e">
        <f t="shared" si="0"/>
        <v>#NAME?</v>
      </c>
      <c r="J13" s="10" t="e">
        <f t="shared" si="0"/>
        <v>#NAME?</v>
      </c>
      <c r="K13" s="10" t="e">
        <f t="shared" si="0"/>
        <v>#NAME?</v>
      </c>
      <c r="L13" t="e">
        <f t="shared" si="0"/>
        <v>#NAME?</v>
      </c>
      <c r="M13" t="e">
        <f t="shared" si="0"/>
        <v>#NAME?</v>
      </c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</row>
    <row r="15" spans="1:13" x14ac:dyDescent="0.25">
      <c r="A15" s="7" t="s">
        <v>282</v>
      </c>
      <c r="C15" s="10">
        <v>9</v>
      </c>
      <c r="D15" s="10">
        <v>8</v>
      </c>
      <c r="E15" s="10">
        <v>7</v>
      </c>
      <c r="F15" s="10">
        <v>7</v>
      </c>
      <c r="G15" s="10">
        <v>6</v>
      </c>
      <c r="H15" s="10">
        <v>6</v>
      </c>
      <c r="I15" s="10">
        <v>5</v>
      </c>
      <c r="J15" s="10">
        <v>5</v>
      </c>
      <c r="K15" s="10">
        <v>5</v>
      </c>
    </row>
    <row r="16" spans="1:13" x14ac:dyDescent="0.25">
      <c r="A16" s="7" t="s">
        <v>283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</row>
    <row r="17" spans="1:13" x14ac:dyDescent="0.25">
      <c r="A17" s="7" t="s">
        <v>294</v>
      </c>
      <c r="C17" s="10">
        <v>9</v>
      </c>
      <c r="D17" s="10">
        <v>8</v>
      </c>
      <c r="E17" s="10">
        <v>7</v>
      </c>
      <c r="F17" s="10">
        <v>7</v>
      </c>
      <c r="G17" s="10">
        <v>6</v>
      </c>
      <c r="H17" s="10">
        <v>6</v>
      </c>
      <c r="I17" s="10">
        <v>5</v>
      </c>
      <c r="J17" s="10">
        <v>5</v>
      </c>
      <c r="K17" s="10">
        <v>5</v>
      </c>
    </row>
    <row r="18" spans="1:13" x14ac:dyDescent="0.25">
      <c r="A18" s="6" t="s">
        <v>106</v>
      </c>
      <c r="C18" s="13">
        <v>3</v>
      </c>
      <c r="D18" s="13">
        <v>3</v>
      </c>
      <c r="E18" s="13">
        <v>2</v>
      </c>
      <c r="F18" s="13">
        <v>2</v>
      </c>
      <c r="G18" s="13">
        <v>2</v>
      </c>
      <c r="H18" s="13">
        <v>2</v>
      </c>
      <c r="I18" s="13">
        <v>2</v>
      </c>
      <c r="J18" s="13">
        <v>2</v>
      </c>
      <c r="K18" s="13">
        <v>2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6" t="s">
        <v>211</v>
      </c>
      <c r="C23" s="13">
        <v>2</v>
      </c>
      <c r="D23" s="13">
        <v>2</v>
      </c>
      <c r="E23" s="13">
        <v>2</v>
      </c>
      <c r="F23" s="13">
        <v>2</v>
      </c>
      <c r="G23" s="13">
        <v>2</v>
      </c>
      <c r="H23" s="13">
        <v>2</v>
      </c>
      <c r="I23" s="13">
        <v>2</v>
      </c>
      <c r="J23" s="13">
        <v>1</v>
      </c>
      <c r="K23" s="13">
        <v>1</v>
      </c>
    </row>
    <row r="24" spans="1:13" x14ac:dyDescent="0.25">
      <c r="A24" s="6" t="s">
        <v>816</v>
      </c>
      <c r="C24" s="13">
        <f t="shared" ref="C24:M24" si="1">SUM(C18,C19)</f>
        <v>3</v>
      </c>
      <c r="D24" s="13">
        <f t="shared" si="1"/>
        <v>3</v>
      </c>
      <c r="E24" s="13">
        <f t="shared" si="1"/>
        <v>2</v>
      </c>
      <c r="F24" s="13">
        <f t="shared" si="1"/>
        <v>2</v>
      </c>
      <c r="G24" s="13">
        <f t="shared" si="1"/>
        <v>2</v>
      </c>
      <c r="H24" s="13">
        <f t="shared" si="1"/>
        <v>2</v>
      </c>
      <c r="I24" s="13">
        <f t="shared" si="1"/>
        <v>2</v>
      </c>
      <c r="J24" s="13">
        <f t="shared" si="1"/>
        <v>2</v>
      </c>
      <c r="K24" s="13">
        <f t="shared" si="1"/>
        <v>2</v>
      </c>
      <c r="L24">
        <f t="shared" si="1"/>
        <v>0</v>
      </c>
      <c r="M24">
        <f t="shared" si="1"/>
        <v>0</v>
      </c>
    </row>
    <row r="25" spans="1:13" x14ac:dyDescent="0.25">
      <c r="A25" s="6" t="s">
        <v>827</v>
      </c>
      <c r="C25" s="13">
        <f t="shared" ref="C25:M25" ca="1" si="2">C24-C25</f>
        <v>0</v>
      </c>
      <c r="D25" s="13">
        <f t="shared" ca="1" si="2"/>
        <v>0</v>
      </c>
      <c r="E25" s="13">
        <f t="shared" ca="1" si="2"/>
        <v>0</v>
      </c>
      <c r="F25" s="13">
        <f t="shared" ca="1" si="2"/>
        <v>0</v>
      </c>
      <c r="G25" s="13">
        <f t="shared" ca="1" si="2"/>
        <v>0</v>
      </c>
      <c r="H25" s="13">
        <f t="shared" ca="1" si="2"/>
        <v>0</v>
      </c>
      <c r="I25" s="13">
        <f t="shared" ca="1" si="2"/>
        <v>0</v>
      </c>
      <c r="J25" s="13">
        <f t="shared" ca="1" si="2"/>
        <v>0</v>
      </c>
      <c r="K25" s="13">
        <f t="shared" ca="1" si="2"/>
        <v>0</v>
      </c>
      <c r="L25">
        <f t="shared" ca="1" si="2"/>
        <v>0</v>
      </c>
      <c r="M25">
        <f t="shared" ca="1" si="2"/>
        <v>0</v>
      </c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</row>
    <row r="27" spans="1:13" x14ac:dyDescent="0.25">
      <c r="A27" s="7" t="s">
        <v>210</v>
      </c>
      <c r="B27" s="20">
        <v>1.4999999999999999E-2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</row>
    <row r="28" spans="1:13" x14ac:dyDescent="0.25">
      <c r="A28" s="7" t="s">
        <v>820</v>
      </c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t="e">
        <f>L0*B27</f>
        <v>#NAME?</v>
      </c>
      <c r="M28" t="e">
        <f>M0*B27</f>
        <v>#NAME?</v>
      </c>
    </row>
    <row r="29" spans="1:13" x14ac:dyDescent="0.25">
      <c r="A29" s="7" t="s">
        <v>831</v>
      </c>
      <c r="B29" s="20"/>
      <c r="C29" s="19" t="e">
        <f t="shared" ref="C29:M29" si="3">C28-C27</f>
        <v>#NAME?</v>
      </c>
      <c r="D29" s="19" t="e">
        <f t="shared" si="3"/>
        <v>#NAME?</v>
      </c>
      <c r="E29" s="19" t="e">
        <f t="shared" si="3"/>
        <v>#NAME?</v>
      </c>
      <c r="F29" s="19" t="e">
        <f t="shared" si="3"/>
        <v>#NAME?</v>
      </c>
      <c r="G29" s="19" t="e">
        <f t="shared" si="3"/>
        <v>#NAME?</v>
      </c>
      <c r="H29" s="19" t="e">
        <f t="shared" si="3"/>
        <v>#NAME?</v>
      </c>
      <c r="I29" s="19" t="e">
        <f t="shared" si="3"/>
        <v>#NAME?</v>
      </c>
      <c r="J29" s="19" t="e">
        <f t="shared" si="3"/>
        <v>#NAME?</v>
      </c>
      <c r="K29" s="19" t="e">
        <f t="shared" si="3"/>
        <v>#NAME?</v>
      </c>
      <c r="L29" t="e">
        <f t="shared" si="3"/>
        <v>#NAME?</v>
      </c>
      <c r="M29" t="e">
        <f t="shared" si="3"/>
        <v>#NAME?</v>
      </c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</row>
    <row r="31" spans="1:13" x14ac:dyDescent="0.25">
      <c r="A31" s="6" t="s">
        <v>108</v>
      </c>
      <c r="C31" s="13">
        <v>2</v>
      </c>
      <c r="D31" s="13">
        <v>2</v>
      </c>
      <c r="E31" s="13">
        <v>2</v>
      </c>
      <c r="F31" s="13">
        <v>2</v>
      </c>
      <c r="G31" s="13">
        <v>2</v>
      </c>
      <c r="H31" s="13">
        <v>2</v>
      </c>
      <c r="I31" s="13">
        <v>1</v>
      </c>
      <c r="J31" s="13">
        <v>1</v>
      </c>
      <c r="K31" s="13">
        <v>1</v>
      </c>
    </row>
    <row r="32" spans="1:13" x14ac:dyDescent="0.25">
      <c r="A32" s="6" t="s">
        <v>817</v>
      </c>
      <c r="C32" s="13">
        <f t="shared" ref="C32:M32" si="4">SUM(C23,C27)</f>
        <v>2</v>
      </c>
      <c r="D32" s="13">
        <f t="shared" si="4"/>
        <v>2</v>
      </c>
      <c r="E32" s="13">
        <f t="shared" si="4"/>
        <v>2</v>
      </c>
      <c r="F32" s="13">
        <f t="shared" si="4"/>
        <v>2</v>
      </c>
      <c r="G32" s="13">
        <f t="shared" si="4"/>
        <v>2</v>
      </c>
      <c r="H32" s="13">
        <f t="shared" si="4"/>
        <v>2</v>
      </c>
      <c r="I32" s="13">
        <f t="shared" si="4"/>
        <v>2</v>
      </c>
      <c r="J32" s="13">
        <f t="shared" si="4"/>
        <v>1</v>
      </c>
      <c r="K32" s="13">
        <f t="shared" si="4"/>
        <v>1</v>
      </c>
      <c r="L32">
        <f t="shared" si="4"/>
        <v>0</v>
      </c>
      <c r="M32">
        <f t="shared" si="4"/>
        <v>0</v>
      </c>
    </row>
    <row r="33" spans="1:13" x14ac:dyDescent="0.25">
      <c r="A33" s="6" t="s">
        <v>828</v>
      </c>
      <c r="C33" s="13">
        <f t="shared" ref="C33:M33" si="5">C32-C31</f>
        <v>0</v>
      </c>
      <c r="D33" s="13">
        <f t="shared" si="5"/>
        <v>0</v>
      </c>
      <c r="E33" s="13">
        <f t="shared" si="5"/>
        <v>0</v>
      </c>
      <c r="F33" s="13">
        <f t="shared" si="5"/>
        <v>0</v>
      </c>
      <c r="G33" s="13">
        <f t="shared" si="5"/>
        <v>0</v>
      </c>
      <c r="H33" s="13">
        <f t="shared" si="5"/>
        <v>0</v>
      </c>
      <c r="I33" s="13">
        <f t="shared" si="5"/>
        <v>1</v>
      </c>
      <c r="J33" s="13">
        <f t="shared" si="5"/>
        <v>0</v>
      </c>
      <c r="K33" s="13">
        <f t="shared" si="5"/>
        <v>0</v>
      </c>
      <c r="L33">
        <f t="shared" si="5"/>
        <v>0</v>
      </c>
      <c r="M33">
        <f t="shared" si="5"/>
        <v>0</v>
      </c>
    </row>
    <row r="34" spans="1:13" x14ac:dyDescent="0.25">
      <c r="A34" s="6"/>
      <c r="C34" s="13"/>
      <c r="D34" s="13"/>
      <c r="E34" s="13"/>
      <c r="F34" s="13"/>
      <c r="G34" s="13"/>
      <c r="H34" s="13"/>
      <c r="I34" s="13"/>
      <c r="J34" s="13"/>
      <c r="K34" s="13"/>
    </row>
    <row r="35" spans="1:13" x14ac:dyDescent="0.25">
      <c r="A35" s="7" t="s">
        <v>212</v>
      </c>
      <c r="B35" s="20">
        <v>0.218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3" x14ac:dyDescent="0.25">
      <c r="A36" s="7" t="s">
        <v>821</v>
      </c>
      <c r="B36" s="20"/>
      <c r="C36" s="19">
        <f>C31*B35</f>
        <v>0.436</v>
      </c>
      <c r="D36" s="19">
        <f>D31*B35</f>
        <v>0.436</v>
      </c>
      <c r="E36" s="19">
        <f>E31*B35</f>
        <v>0.436</v>
      </c>
      <c r="F36" s="19">
        <f>F31*B35</f>
        <v>0.436</v>
      </c>
      <c r="G36" s="19">
        <f>G31*B35</f>
        <v>0.436</v>
      </c>
      <c r="H36" s="19">
        <f>H31*B35</f>
        <v>0.436</v>
      </c>
      <c r="I36" s="19">
        <f>I31*B35</f>
        <v>0.218</v>
      </c>
      <c r="J36" s="19">
        <f>J31*B35</f>
        <v>0.218</v>
      </c>
      <c r="K36" s="19">
        <f>K31*B35</f>
        <v>0.218</v>
      </c>
      <c r="L36">
        <f>L31*B35</f>
        <v>0</v>
      </c>
      <c r="M36">
        <f>M31*B35</f>
        <v>0</v>
      </c>
    </row>
    <row r="37" spans="1:13" x14ac:dyDescent="0.25">
      <c r="A37" s="7" t="s">
        <v>832</v>
      </c>
      <c r="B37" s="20"/>
      <c r="C37" s="19">
        <f t="shared" ref="C37:M37" si="6">C36-C35</f>
        <v>0.436</v>
      </c>
      <c r="D37" s="19">
        <f t="shared" si="6"/>
        <v>0.436</v>
      </c>
      <c r="E37" s="19">
        <f t="shared" si="6"/>
        <v>0.436</v>
      </c>
      <c r="F37" s="19">
        <f t="shared" si="6"/>
        <v>0.436</v>
      </c>
      <c r="G37" s="19">
        <f t="shared" si="6"/>
        <v>0.436</v>
      </c>
      <c r="H37" s="19">
        <f t="shared" si="6"/>
        <v>0.436</v>
      </c>
      <c r="I37" s="19">
        <f t="shared" si="6"/>
        <v>0.218</v>
      </c>
      <c r="J37" s="19">
        <f t="shared" si="6"/>
        <v>0.218</v>
      </c>
      <c r="K37" s="19">
        <f t="shared" si="6"/>
        <v>0.218</v>
      </c>
      <c r="L37">
        <f t="shared" si="6"/>
        <v>0</v>
      </c>
      <c r="M37">
        <f t="shared" si="6"/>
        <v>0</v>
      </c>
    </row>
    <row r="38" spans="1:13" x14ac:dyDescent="0.25">
      <c r="A38" s="7"/>
      <c r="B38" s="20"/>
      <c r="C38" s="19"/>
      <c r="D38" s="19"/>
      <c r="E38" s="19"/>
      <c r="F38" s="19"/>
      <c r="G38" s="19"/>
      <c r="H38" s="19"/>
      <c r="I38" s="19"/>
      <c r="J38" s="19"/>
      <c r="K38" s="19"/>
    </row>
    <row r="39" spans="1:13" x14ac:dyDescent="0.25">
      <c r="A39" s="6" t="s">
        <v>213</v>
      </c>
      <c r="C39" s="13">
        <v>2</v>
      </c>
      <c r="D39" s="13">
        <v>2</v>
      </c>
      <c r="E39" s="13">
        <v>2</v>
      </c>
      <c r="F39" s="13">
        <v>1</v>
      </c>
      <c r="G39" s="13">
        <v>1</v>
      </c>
      <c r="H39" s="13">
        <v>1</v>
      </c>
      <c r="I39" s="13">
        <v>1</v>
      </c>
      <c r="J39" s="13">
        <v>1</v>
      </c>
      <c r="K39" s="13">
        <v>1</v>
      </c>
    </row>
    <row r="40" spans="1:13" x14ac:dyDescent="0.25">
      <c r="A40" s="6" t="s">
        <v>819</v>
      </c>
      <c r="C40" s="13">
        <f t="shared" ref="C40:M40" si="7">C31-C35</f>
        <v>2</v>
      </c>
      <c r="D40" s="13">
        <f t="shared" si="7"/>
        <v>2</v>
      </c>
      <c r="E40" s="13">
        <f t="shared" si="7"/>
        <v>2</v>
      </c>
      <c r="F40" s="13">
        <f t="shared" si="7"/>
        <v>2</v>
      </c>
      <c r="G40" s="13">
        <f t="shared" si="7"/>
        <v>2</v>
      </c>
      <c r="H40" s="13">
        <f t="shared" si="7"/>
        <v>2</v>
      </c>
      <c r="I40" s="13">
        <f t="shared" si="7"/>
        <v>1</v>
      </c>
      <c r="J40" s="13">
        <f t="shared" si="7"/>
        <v>1</v>
      </c>
      <c r="K40" s="13">
        <f t="shared" si="7"/>
        <v>1</v>
      </c>
      <c r="L40">
        <f t="shared" si="7"/>
        <v>0</v>
      </c>
      <c r="M40">
        <f t="shared" si="7"/>
        <v>0</v>
      </c>
    </row>
    <row r="41" spans="1:13" x14ac:dyDescent="0.25">
      <c r="A41" s="6" t="s">
        <v>830</v>
      </c>
      <c r="C41" s="13">
        <f t="shared" ref="C41:M41" si="8">C40-C39</f>
        <v>0</v>
      </c>
      <c r="D41" s="13">
        <f t="shared" si="8"/>
        <v>0</v>
      </c>
      <c r="E41" s="13">
        <f t="shared" si="8"/>
        <v>0</v>
      </c>
      <c r="F41" s="13">
        <f t="shared" si="8"/>
        <v>1</v>
      </c>
      <c r="G41" s="13">
        <f t="shared" si="8"/>
        <v>1</v>
      </c>
      <c r="H41" s="13">
        <f t="shared" si="8"/>
        <v>1</v>
      </c>
      <c r="I41" s="13">
        <f t="shared" si="8"/>
        <v>0</v>
      </c>
      <c r="J41" s="13">
        <f t="shared" si="8"/>
        <v>0</v>
      </c>
      <c r="K41" s="13">
        <f t="shared" si="8"/>
        <v>0</v>
      </c>
      <c r="L41">
        <f t="shared" si="8"/>
        <v>0</v>
      </c>
      <c r="M41">
        <f t="shared" si="8"/>
        <v>0</v>
      </c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</row>
    <row r="43" spans="1:13" x14ac:dyDescent="0.25">
      <c r="A43" s="7" t="s">
        <v>214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</row>
    <row r="44" spans="1:13" x14ac:dyDescent="0.25">
      <c r="A44" s="6" t="s">
        <v>215</v>
      </c>
      <c r="C44" s="13">
        <v>2</v>
      </c>
      <c r="D44" s="13">
        <v>2</v>
      </c>
      <c r="E44" s="13">
        <v>2</v>
      </c>
      <c r="F44" s="13">
        <v>1</v>
      </c>
      <c r="G44" s="13">
        <v>1</v>
      </c>
      <c r="H44" s="13">
        <v>1</v>
      </c>
      <c r="I44" s="13">
        <v>1</v>
      </c>
      <c r="J44" s="13">
        <v>1</v>
      </c>
      <c r="K44" s="13">
        <v>1</v>
      </c>
    </row>
    <row r="45" spans="1:13" x14ac:dyDescent="0.25">
      <c r="A45" s="6" t="s">
        <v>818</v>
      </c>
      <c r="C45" s="13">
        <f t="shared" ref="C45:M45" si="9">SUM(C39,C43)</f>
        <v>2</v>
      </c>
      <c r="D45" s="13">
        <f t="shared" si="9"/>
        <v>2</v>
      </c>
      <c r="E45" s="13">
        <f t="shared" si="9"/>
        <v>2</v>
      </c>
      <c r="F45" s="13">
        <f t="shared" si="9"/>
        <v>1</v>
      </c>
      <c r="G45" s="13">
        <f t="shared" si="9"/>
        <v>1</v>
      </c>
      <c r="H45" s="13">
        <f t="shared" si="9"/>
        <v>1</v>
      </c>
      <c r="I45" s="13">
        <f t="shared" si="9"/>
        <v>1</v>
      </c>
      <c r="J45" s="13">
        <f t="shared" si="9"/>
        <v>1</v>
      </c>
      <c r="K45" s="13">
        <f t="shared" si="9"/>
        <v>1</v>
      </c>
      <c r="L45">
        <f t="shared" si="9"/>
        <v>0</v>
      </c>
      <c r="M45">
        <f t="shared" si="9"/>
        <v>0</v>
      </c>
    </row>
    <row r="46" spans="1:13" x14ac:dyDescent="0.25">
      <c r="A46" s="6" t="s">
        <v>829</v>
      </c>
      <c r="C46" s="13">
        <f t="shared" ref="C46:M46" si="10">C45-C44</f>
        <v>0</v>
      </c>
      <c r="D46" s="13">
        <f t="shared" si="10"/>
        <v>0</v>
      </c>
      <c r="E46" s="13">
        <f t="shared" si="10"/>
        <v>0</v>
      </c>
      <c r="F46" s="13">
        <f t="shared" si="10"/>
        <v>0</v>
      </c>
      <c r="G46" s="13">
        <f t="shared" si="10"/>
        <v>0</v>
      </c>
      <c r="H46" s="13">
        <f t="shared" si="10"/>
        <v>0</v>
      </c>
      <c r="I46" s="13">
        <f t="shared" si="10"/>
        <v>0</v>
      </c>
      <c r="J46" s="13">
        <f t="shared" si="10"/>
        <v>0</v>
      </c>
      <c r="K46" s="13">
        <f t="shared" si="10"/>
        <v>0</v>
      </c>
      <c r="L46">
        <f t="shared" si="10"/>
        <v>0</v>
      </c>
      <c r="M46">
        <f t="shared" si="10"/>
        <v>0</v>
      </c>
    </row>
    <row r="47" spans="1:13" x14ac:dyDescent="0.25">
      <c r="A47" s="6"/>
      <c r="C47" s="13"/>
      <c r="D47" s="13"/>
      <c r="E47" s="13"/>
      <c r="F47" s="13"/>
      <c r="G47" s="13"/>
      <c r="H47" s="13"/>
      <c r="I47" s="13"/>
      <c r="J47" s="13"/>
      <c r="K47" s="13"/>
    </row>
    <row r="48" spans="1:13" x14ac:dyDescent="0.25">
      <c r="A48" s="7" t="s">
        <v>115</v>
      </c>
      <c r="B48" s="20">
        <v>0.11</v>
      </c>
      <c r="C48" s="23">
        <v>0.10340000000000001</v>
      </c>
      <c r="D48" s="23">
        <v>9.3100000000000002E-2</v>
      </c>
      <c r="E48" s="23">
        <v>8.3900000000000002E-2</v>
      </c>
      <c r="F48" s="23">
        <v>7.5600000000000001E-2</v>
      </c>
      <c r="G48" s="23">
        <v>6.8099999999999994E-2</v>
      </c>
      <c r="H48" s="23">
        <v>6.1400000000000003E-2</v>
      </c>
      <c r="I48" s="23">
        <v>5.5300000000000002E-2</v>
      </c>
      <c r="J48" s="23">
        <v>4.9799999999999997E-2</v>
      </c>
      <c r="K48" s="23">
        <v>4.4900000000000002E-2</v>
      </c>
    </row>
    <row r="49" spans="1:13" x14ac:dyDescent="0.25">
      <c r="A49" s="6" t="s">
        <v>116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1:13" x14ac:dyDescent="0.25">
      <c r="A50" s="6" t="s">
        <v>822</v>
      </c>
      <c r="C50" s="13">
        <f t="shared" ref="C50:M50" si="11">C44*C48</f>
        <v>0.20680000000000001</v>
      </c>
      <c r="D50" s="13">
        <f t="shared" si="11"/>
        <v>0.1862</v>
      </c>
      <c r="E50" s="13">
        <f t="shared" si="11"/>
        <v>0.1678</v>
      </c>
      <c r="F50" s="13">
        <f t="shared" si="11"/>
        <v>7.5600000000000001E-2</v>
      </c>
      <c r="G50" s="13">
        <f t="shared" si="11"/>
        <v>6.8099999999999994E-2</v>
      </c>
      <c r="H50" s="13">
        <f t="shared" si="11"/>
        <v>6.1400000000000003E-2</v>
      </c>
      <c r="I50" s="13">
        <f t="shared" si="11"/>
        <v>5.5300000000000002E-2</v>
      </c>
      <c r="J50" s="13">
        <f t="shared" si="11"/>
        <v>4.9799999999999997E-2</v>
      </c>
      <c r="K50" s="13">
        <f t="shared" si="11"/>
        <v>4.4900000000000002E-2</v>
      </c>
      <c r="L50">
        <f t="shared" si="11"/>
        <v>0</v>
      </c>
      <c r="M50">
        <f t="shared" si="11"/>
        <v>0</v>
      </c>
    </row>
    <row r="51" spans="1:13" x14ac:dyDescent="0.25">
      <c r="A51" s="6" t="s">
        <v>833</v>
      </c>
      <c r="C51" s="13">
        <f t="shared" ref="C51:M51" si="12">C50-C49</f>
        <v>0.20680000000000001</v>
      </c>
      <c r="D51" s="13">
        <f t="shared" si="12"/>
        <v>0.1862</v>
      </c>
      <c r="E51" s="13">
        <f t="shared" si="12"/>
        <v>0.1678</v>
      </c>
      <c r="F51" s="13">
        <f t="shared" si="12"/>
        <v>7.5600000000000001E-2</v>
      </c>
      <c r="G51" s="13">
        <f t="shared" si="12"/>
        <v>6.8099999999999994E-2</v>
      </c>
      <c r="H51" s="13">
        <f t="shared" si="12"/>
        <v>6.1400000000000003E-2</v>
      </c>
      <c r="I51" s="13">
        <f t="shared" si="12"/>
        <v>5.5300000000000002E-2</v>
      </c>
      <c r="J51" s="13">
        <f t="shared" si="12"/>
        <v>4.9799999999999997E-2</v>
      </c>
      <c r="K51" s="13">
        <f t="shared" si="12"/>
        <v>4.4900000000000002E-2</v>
      </c>
      <c r="L51">
        <f t="shared" si="12"/>
        <v>0</v>
      </c>
      <c r="M51">
        <f t="shared" si="12"/>
        <v>0</v>
      </c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</row>
    <row r="53" spans="1:13" x14ac:dyDescent="0.25">
      <c r="A53" s="9" t="s">
        <v>221</v>
      </c>
    </row>
    <row r="54" spans="1:13" x14ac:dyDescent="0.25">
      <c r="A54" s="7" t="s">
        <v>222</v>
      </c>
      <c r="C54" s="20">
        <v>0.03</v>
      </c>
      <c r="D54" s="20">
        <v>0.03</v>
      </c>
      <c r="E54" s="20">
        <v>0.03</v>
      </c>
      <c r="F54" s="20">
        <v>0.03</v>
      </c>
      <c r="G54" s="20">
        <v>0.03</v>
      </c>
      <c r="H54" s="20">
        <v>0.03</v>
      </c>
      <c r="I54" s="20">
        <v>0.03</v>
      </c>
      <c r="J54" s="20">
        <v>0.03</v>
      </c>
      <c r="K54" s="20">
        <v>0.03</v>
      </c>
    </row>
    <row r="55" spans="1:13" x14ac:dyDescent="0.25">
      <c r="A55" s="7"/>
      <c r="C55" s="20"/>
      <c r="D55" s="20" t="e">
        <f>(D0-C0)/C0</f>
        <v>#NAME?</v>
      </c>
      <c r="E55" s="20" t="e">
        <f>(E0-D0)/D0</f>
        <v>#NAME?</v>
      </c>
      <c r="F55" s="20" t="e">
        <f>(F0-E0)/E0</f>
        <v>#NAME?</v>
      </c>
      <c r="G55" s="20" t="e">
        <f>(G0-F0)/F0</f>
        <v>#NAME?</v>
      </c>
      <c r="H55" s="20" t="e">
        <f>(H0-G0)/G0</f>
        <v>#NAME?</v>
      </c>
      <c r="I55" s="20" t="e">
        <f>(I0-H0)/H0</f>
        <v>#NAME?</v>
      </c>
      <c r="J55" s="20" t="e">
        <f>(J0-I0)/I0</f>
        <v>#NAME?</v>
      </c>
      <c r="K55" s="20" t="e">
        <f>(K0-J0)/J0</f>
        <v>#NAME?</v>
      </c>
      <c r="L55" t="e">
        <f>(L0-K0)/K0</f>
        <v>#NAME?</v>
      </c>
      <c r="M55" t="e">
        <f>(M0-L0)/L0</f>
        <v>#NAME?</v>
      </c>
    </row>
    <row r="56" spans="1:13" x14ac:dyDescent="0.25">
      <c r="A56" s="7"/>
      <c r="C56" s="20">
        <f t="shared" ref="C56:M56" si="13">C55-C54</f>
        <v>-0.03</v>
      </c>
      <c r="D56" s="20" t="e">
        <f t="shared" si="13"/>
        <v>#NAME?</v>
      </c>
      <c r="E56" s="20" t="e">
        <f t="shared" si="13"/>
        <v>#NAME?</v>
      </c>
      <c r="F56" s="20" t="e">
        <f>F55-F54</f>
        <v>#NAME?</v>
      </c>
      <c r="G56" s="20" t="e">
        <f t="shared" si="13"/>
        <v>#NAME?</v>
      </c>
      <c r="H56" s="20" t="e">
        <f t="shared" si="13"/>
        <v>#NAME?</v>
      </c>
      <c r="I56" s="20" t="e">
        <f t="shared" si="13"/>
        <v>#NAME?</v>
      </c>
      <c r="J56" s="20" t="e">
        <f t="shared" si="13"/>
        <v>#NAME?</v>
      </c>
      <c r="K56" s="20" t="e">
        <f t="shared" si="13"/>
        <v>#NAME?</v>
      </c>
      <c r="L56" t="e">
        <f t="shared" si="13"/>
        <v>#NAME?</v>
      </c>
      <c r="M56" t="e">
        <f t="shared" si="13"/>
        <v>#NAME?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 t="s">
        <v>288</v>
      </c>
      <c r="C58" s="20">
        <v>5.0999999999999997E-2</v>
      </c>
      <c r="D58" s="20">
        <v>5.0999999999999997E-2</v>
      </c>
      <c r="E58" s="20">
        <v>5.0999999999999997E-2</v>
      </c>
      <c r="F58" s="20">
        <v>5.0999999999999997E-2</v>
      </c>
      <c r="G58" s="20">
        <v>5.0999999999999997E-2</v>
      </c>
      <c r="H58" s="20">
        <v>5.0999999999999997E-2</v>
      </c>
      <c r="I58" s="20">
        <v>5.0999999999999997E-2</v>
      </c>
      <c r="J58" s="20">
        <v>5.0999999999999997E-2</v>
      </c>
      <c r="K58" s="20">
        <v>5.0999999999999997E-2</v>
      </c>
    </row>
    <row r="59" spans="1:13" x14ac:dyDescent="0.25">
      <c r="A59" s="7" t="s">
        <v>224</v>
      </c>
      <c r="C59" s="20">
        <v>0.32600000000000001</v>
      </c>
      <c r="D59" s="20">
        <v>0.32600000000000001</v>
      </c>
      <c r="E59" s="20">
        <v>0.32600000000000001</v>
      </c>
      <c r="F59" s="20">
        <v>0.32600000000000001</v>
      </c>
      <c r="G59" s="20">
        <v>0.32600000000000001</v>
      </c>
      <c r="H59" s="20">
        <v>0.32600000000000001</v>
      </c>
      <c r="I59" s="20">
        <v>0.32600000000000001</v>
      </c>
      <c r="J59" s="20">
        <v>0.32600000000000001</v>
      </c>
      <c r="K59" s="20">
        <v>0.32600000000000001</v>
      </c>
    </row>
    <row r="60" spans="1:13" x14ac:dyDescent="0.25">
      <c r="A60" s="7" t="s">
        <v>823</v>
      </c>
      <c r="C60" s="20" t="e">
        <f>C18/C0</f>
        <v>#NAME?</v>
      </c>
      <c r="D60" s="20" t="e">
        <f>D18/D0</f>
        <v>#NAME?</v>
      </c>
      <c r="E60" s="20" t="e">
        <f>E18/E0</f>
        <v>#NAME?</v>
      </c>
      <c r="F60" s="20" t="e">
        <f>F18/F0</f>
        <v>#NAME?</v>
      </c>
      <c r="G60" s="20" t="e">
        <f>G18/G0</f>
        <v>#NAME?</v>
      </c>
      <c r="H60" s="20" t="e">
        <f>H18/H0</f>
        <v>#NAME?</v>
      </c>
      <c r="I60" s="20" t="e">
        <f>I18/I0</f>
        <v>#NAME?</v>
      </c>
      <c r="J60" s="20" t="e">
        <f>J18/J0</f>
        <v>#NAME?</v>
      </c>
      <c r="K60" s="20" t="e">
        <f>K18/K0</f>
        <v>#NAME?</v>
      </c>
      <c r="L60" t="e">
        <f>L18/L0</f>
        <v>#NAME?</v>
      </c>
      <c r="M60" t="e">
        <f>M18/M0</f>
        <v>#NAME?</v>
      </c>
    </row>
    <row r="61" spans="1:13" x14ac:dyDescent="0.25">
      <c r="A61" s="7" t="s">
        <v>834</v>
      </c>
      <c r="C61" s="20" t="e">
        <f t="shared" ref="C61:M61" si="14">C60-C59</f>
        <v>#NAME?</v>
      </c>
      <c r="D61" s="20" t="e">
        <f t="shared" si="14"/>
        <v>#NAME?</v>
      </c>
      <c r="E61" s="20" t="e">
        <f t="shared" si="14"/>
        <v>#NAME?</v>
      </c>
      <c r="F61" s="20" t="e">
        <f t="shared" si="14"/>
        <v>#NAME?</v>
      </c>
      <c r="G61" s="20" t="e">
        <f t="shared" si="14"/>
        <v>#NAME?</v>
      </c>
      <c r="H61" s="20" t="e">
        <f t="shared" si="14"/>
        <v>#NAME?</v>
      </c>
      <c r="I61" s="20" t="e">
        <f t="shared" si="14"/>
        <v>#NAME?</v>
      </c>
      <c r="J61" s="20" t="e">
        <f t="shared" si="14"/>
        <v>#NAME?</v>
      </c>
      <c r="K61" s="20" t="e">
        <f t="shared" si="14"/>
        <v>#NAME?</v>
      </c>
      <c r="L61" t="e">
        <f t="shared" si="14"/>
        <v>#NAME?</v>
      </c>
      <c r="M61" t="e">
        <f t="shared" si="14"/>
        <v>#NAME?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 t="s">
        <v>107</v>
      </c>
      <c r="C63" s="20">
        <v>4.9000000000000002E-2</v>
      </c>
      <c r="D63" s="20">
        <v>4.9000000000000002E-2</v>
      </c>
      <c r="E63" s="20">
        <v>4.9000000000000002E-2</v>
      </c>
      <c r="F63" s="20">
        <v>4.9000000000000002E-2</v>
      </c>
      <c r="G63" s="20">
        <v>4.9000000000000002E-2</v>
      </c>
      <c r="H63" s="20">
        <v>4.9000000000000002E-2</v>
      </c>
      <c r="I63" s="20">
        <v>4.9000000000000002E-2</v>
      </c>
      <c r="J63" s="20">
        <v>4.9000000000000002E-2</v>
      </c>
      <c r="K63" s="20">
        <v>4.9000000000000002E-2</v>
      </c>
    </row>
    <row r="64" spans="1:13" x14ac:dyDescent="0.25">
      <c r="A64" s="7" t="s">
        <v>225</v>
      </c>
      <c r="C64" s="20">
        <v>0.27700000000000002</v>
      </c>
      <c r="D64" s="20">
        <v>0.27700000000000002</v>
      </c>
      <c r="E64" s="20">
        <v>0.27700000000000002</v>
      </c>
      <c r="F64" s="20">
        <v>0.27700000000000002</v>
      </c>
      <c r="G64" s="20">
        <v>0.27700000000000002</v>
      </c>
      <c r="H64" s="20">
        <v>0.27700000000000002</v>
      </c>
      <c r="I64" s="20">
        <v>0.27700000000000002</v>
      </c>
      <c r="J64" s="20">
        <v>0.27700000000000002</v>
      </c>
      <c r="K64" s="20">
        <v>0.27700000000000002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 t="s">
        <v>240</v>
      </c>
      <c r="C68" s="20">
        <v>-5.0000000000000001E-3</v>
      </c>
      <c r="D68" s="20">
        <v>-5.0000000000000001E-3</v>
      </c>
      <c r="E68" s="20">
        <v>-5.0000000000000001E-3</v>
      </c>
      <c r="F68" s="20">
        <v>-5.0000000000000001E-3</v>
      </c>
      <c r="G68" s="20">
        <v>-5.0000000000000001E-3</v>
      </c>
      <c r="H68" s="20">
        <v>-5.0000000000000001E-3</v>
      </c>
      <c r="I68" s="20">
        <v>-5.0000000000000001E-3</v>
      </c>
      <c r="J68" s="20">
        <v>-5.0000000000000001E-3</v>
      </c>
      <c r="K68" s="20">
        <v>-5.0000000000000001E-3</v>
      </c>
    </row>
    <row r="69" spans="1:13" x14ac:dyDescent="0.25">
      <c r="A69" s="7" t="s">
        <v>824</v>
      </c>
      <c r="C69" s="20" t="e">
        <f>-C43/C0</f>
        <v>#NAME?</v>
      </c>
      <c r="D69" s="20" t="e">
        <f>-D43/D0</f>
        <v>#NAME?</v>
      </c>
      <c r="E69" s="20" t="e">
        <f>-E43/E0</f>
        <v>#NAME?</v>
      </c>
      <c r="F69" s="20" t="e">
        <f>-F43/F0</f>
        <v>#NAME?</v>
      </c>
      <c r="G69" s="20" t="e">
        <f>-G43/G0</f>
        <v>#NAME?</v>
      </c>
      <c r="H69" s="20" t="e">
        <f>-H43/H0</f>
        <v>#NAME?</v>
      </c>
      <c r="I69" s="20" t="e">
        <f>-I43/I0</f>
        <v>#NAME?</v>
      </c>
      <c r="J69" s="20" t="e">
        <f>-J43/J0</f>
        <v>#NAME?</v>
      </c>
      <c r="K69" s="20" t="e">
        <f>-K43/K0</f>
        <v>#NAME?</v>
      </c>
      <c r="L69" t="e">
        <f>-L43/L0</f>
        <v>#NAME?</v>
      </c>
      <c r="M69" t="e">
        <f>-M43/M0</f>
        <v>#NAME?</v>
      </c>
    </row>
    <row r="70" spans="1:13" x14ac:dyDescent="0.25">
      <c r="A70" s="7" t="s">
        <v>835</v>
      </c>
      <c r="C70" s="20" t="e">
        <f t="shared" ref="C70:M70" si="15">C69-C68</f>
        <v>#NAME?</v>
      </c>
      <c r="D70" s="20" t="e">
        <f t="shared" si="15"/>
        <v>#NAME?</v>
      </c>
      <c r="E70" s="20" t="e">
        <f t="shared" si="15"/>
        <v>#NAME?</v>
      </c>
      <c r="F70" s="20" t="e">
        <f t="shared" si="15"/>
        <v>#NAME?</v>
      </c>
      <c r="G70" s="20" t="e">
        <f t="shared" si="15"/>
        <v>#NAME?</v>
      </c>
      <c r="H70" s="20" t="e">
        <f t="shared" si="15"/>
        <v>#NAME?</v>
      </c>
      <c r="I70" s="20" t="e">
        <f t="shared" si="15"/>
        <v>#NAME?</v>
      </c>
      <c r="J70" s="20" t="e">
        <f t="shared" si="15"/>
        <v>#NAME?</v>
      </c>
      <c r="K70" s="20" t="e">
        <f t="shared" si="15"/>
        <v>#NAME?</v>
      </c>
      <c r="L70" t="e">
        <f t="shared" si="15"/>
        <v>#NAME?</v>
      </c>
      <c r="M70" t="e">
        <f t="shared" si="15"/>
        <v>#NAME?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16" t="s">
        <v>127</v>
      </c>
    </row>
    <row r="73" spans="1:13" x14ac:dyDescent="0.25">
      <c r="A73" s="7" t="s">
        <v>289</v>
      </c>
    </row>
    <row r="74" spans="1:13" x14ac:dyDescent="0.25">
      <c r="A74" s="7" t="s">
        <v>290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47"/>
  <sheetViews>
    <sheetView topLeftCell="A16" workbookViewId="0"/>
  </sheetViews>
  <sheetFormatPr defaultRowHeight="15" x14ac:dyDescent="0.25"/>
  <cols>
    <col min="1" max="1" width="75" bestFit="1" customWidth="1"/>
  </cols>
  <sheetData>
    <row r="1" spans="1:14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297</v>
      </c>
    </row>
    <row r="3" spans="1:14" x14ac:dyDescent="0.25">
      <c r="A3" s="6" t="s">
        <v>9</v>
      </c>
    </row>
    <row r="4" spans="1:14" x14ac:dyDescent="0.25">
      <c r="A4" s="6" t="s">
        <v>298</v>
      </c>
    </row>
    <row r="5" spans="1:14" x14ac:dyDescent="0.25">
      <c r="A5" s="6" t="s">
        <v>11</v>
      </c>
    </row>
    <row r="6" spans="1:14" x14ac:dyDescent="0.25">
      <c r="C6" s="9" t="s">
        <v>299</v>
      </c>
      <c r="D6" s="9" t="s">
        <v>95</v>
      </c>
      <c r="H6" s="9" t="s">
        <v>96</v>
      </c>
    </row>
    <row r="7" spans="1:14" x14ac:dyDescent="0.25">
      <c r="A7" s="8" t="s">
        <v>12</v>
      </c>
      <c r="B7" s="9" t="s">
        <v>300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301</v>
      </c>
      <c r="D8" s="10">
        <v>59</v>
      </c>
      <c r="E8" s="10">
        <v>246</v>
      </c>
      <c r="F8" s="10">
        <v>254</v>
      </c>
      <c r="G8" s="10">
        <v>269</v>
      </c>
      <c r="H8" s="10">
        <v>282</v>
      </c>
      <c r="I8" s="10">
        <v>295</v>
      </c>
      <c r="J8" s="10">
        <v>312</v>
      </c>
      <c r="K8" s="10">
        <v>329</v>
      </c>
      <c r="L8" s="7" t="s">
        <v>90</v>
      </c>
      <c r="M8" s="7" t="s">
        <v>90</v>
      </c>
    </row>
    <row r="9" spans="1:14" x14ac:dyDescent="0.25">
      <c r="A9" s="7" t="s">
        <v>302</v>
      </c>
    </row>
    <row r="10" spans="1:14" x14ac:dyDescent="0.25">
      <c r="A10" s="7" t="s">
        <v>303</v>
      </c>
      <c r="B10" s="33">
        <v>5</v>
      </c>
      <c r="D10" s="10">
        <v>6</v>
      </c>
      <c r="E10" s="10">
        <v>24</v>
      </c>
      <c r="F10" s="10">
        <v>25</v>
      </c>
      <c r="G10" s="10">
        <v>25</v>
      </c>
      <c r="H10" s="10">
        <v>26</v>
      </c>
      <c r="I10" s="10">
        <v>25</v>
      </c>
      <c r="J10" s="10">
        <v>25</v>
      </c>
      <c r="K10" s="10">
        <v>26</v>
      </c>
    </row>
    <row r="11" spans="1:14" x14ac:dyDescent="0.25">
      <c r="A11" s="7" t="s">
        <v>304</v>
      </c>
      <c r="D11" s="20">
        <v>1</v>
      </c>
      <c r="E11" s="20">
        <v>0.85099999999999998</v>
      </c>
      <c r="F11" s="20">
        <v>0.53500000000000003</v>
      </c>
      <c r="G11" s="20">
        <v>0.26400000000000001</v>
      </c>
      <c r="H11" s="20">
        <v>0.109</v>
      </c>
      <c r="I11" s="20">
        <v>3.9E-2</v>
      </c>
      <c r="J11" s="20">
        <v>1.2E-2</v>
      </c>
      <c r="K11" s="20">
        <v>3.0000000000000001E-3</v>
      </c>
    </row>
    <row r="12" spans="1:14" x14ac:dyDescent="0.25">
      <c r="D12" s="10">
        <v>6</v>
      </c>
      <c r="E12" s="10">
        <v>20</v>
      </c>
      <c r="F12" s="10">
        <v>13</v>
      </c>
      <c r="G12" s="10">
        <v>7</v>
      </c>
      <c r="H12" s="10">
        <v>3</v>
      </c>
      <c r="I12" s="10">
        <v>1</v>
      </c>
      <c r="J12" s="10">
        <v>0</v>
      </c>
      <c r="K12" s="10">
        <v>0</v>
      </c>
    </row>
    <row r="13" spans="1:14" x14ac:dyDescent="0.25">
      <c r="A13" s="7" t="s">
        <v>305</v>
      </c>
      <c r="B13" s="33">
        <v>15</v>
      </c>
      <c r="D13" s="10">
        <v>6</v>
      </c>
      <c r="E13" s="10">
        <v>23</v>
      </c>
      <c r="F13" s="10">
        <v>21</v>
      </c>
      <c r="G13" s="10">
        <v>21</v>
      </c>
      <c r="H13" s="10">
        <v>21</v>
      </c>
      <c r="I13" s="10">
        <v>22</v>
      </c>
      <c r="J13" s="10">
        <v>22</v>
      </c>
      <c r="K13" s="10">
        <v>23</v>
      </c>
      <c r="L13" s="10">
        <v>23</v>
      </c>
      <c r="M13" s="10">
        <v>24</v>
      </c>
    </row>
    <row r="14" spans="1:14" x14ac:dyDescent="0.25">
      <c r="A14" s="7" t="s">
        <v>304</v>
      </c>
      <c r="D14" s="20">
        <v>1</v>
      </c>
      <c r="E14" s="20">
        <v>0.999</v>
      </c>
      <c r="F14" s="20">
        <v>0.99199999999999999</v>
      </c>
      <c r="G14" s="20">
        <v>0.97499999999999998</v>
      </c>
      <c r="H14" s="20">
        <v>0.94599999999999995</v>
      </c>
      <c r="I14" s="20">
        <v>0.90200000000000002</v>
      </c>
      <c r="J14" s="20">
        <v>0.84499999999999997</v>
      </c>
      <c r="K14" s="20">
        <v>0.77500000000000002</v>
      </c>
      <c r="L14" s="20">
        <v>0.69499999999999995</v>
      </c>
      <c r="M14" s="20">
        <v>0.60799999999999998</v>
      </c>
    </row>
    <row r="15" spans="1:14" x14ac:dyDescent="0.25">
      <c r="D15" s="10">
        <v>6</v>
      </c>
      <c r="E15" s="10">
        <v>23</v>
      </c>
      <c r="F15" s="10">
        <v>21</v>
      </c>
      <c r="G15" s="10">
        <v>21</v>
      </c>
      <c r="H15" s="10">
        <v>20</v>
      </c>
      <c r="I15" s="10">
        <v>20</v>
      </c>
      <c r="J15" s="10">
        <v>19</v>
      </c>
      <c r="K15" s="10">
        <v>18</v>
      </c>
      <c r="L15" s="10">
        <v>16</v>
      </c>
      <c r="M15" s="10">
        <v>15</v>
      </c>
    </row>
    <row r="16" spans="1:14" x14ac:dyDescent="0.25">
      <c r="A16" s="7" t="s">
        <v>306</v>
      </c>
      <c r="B16" s="33">
        <v>7</v>
      </c>
      <c r="D16" s="10">
        <v>10</v>
      </c>
      <c r="E16" s="10">
        <v>44</v>
      </c>
      <c r="F16" s="10">
        <v>46</v>
      </c>
      <c r="G16" s="10">
        <v>51</v>
      </c>
      <c r="H16" s="10">
        <v>54</v>
      </c>
      <c r="I16" s="10">
        <v>59</v>
      </c>
      <c r="J16" s="10">
        <v>65</v>
      </c>
      <c r="K16" s="10">
        <v>71</v>
      </c>
    </row>
    <row r="17" spans="1:13" x14ac:dyDescent="0.25">
      <c r="A17" s="7" t="s">
        <v>304</v>
      </c>
      <c r="D17" s="20">
        <v>1</v>
      </c>
      <c r="E17" s="20">
        <v>0.97899999999999998</v>
      </c>
      <c r="F17" s="20">
        <v>0.86899999999999999</v>
      </c>
      <c r="G17" s="20">
        <v>0.64400000000000002</v>
      </c>
      <c r="H17" s="20">
        <v>0.377</v>
      </c>
      <c r="I17" s="20">
        <v>0.16700000000000001</v>
      </c>
      <c r="J17" s="20">
        <v>5.3999999999999999E-2</v>
      </c>
      <c r="K17" s="20">
        <v>1.2E-2</v>
      </c>
    </row>
    <row r="18" spans="1:13" x14ac:dyDescent="0.25">
      <c r="D18" s="10">
        <v>10</v>
      </c>
      <c r="E18" s="10">
        <v>43</v>
      </c>
      <c r="F18" s="10">
        <v>40</v>
      </c>
      <c r="G18" s="10">
        <v>33</v>
      </c>
      <c r="H18" s="10">
        <v>20</v>
      </c>
      <c r="I18" s="10">
        <v>10</v>
      </c>
      <c r="J18" s="10">
        <v>4</v>
      </c>
      <c r="K18" s="10">
        <v>1</v>
      </c>
    </row>
    <row r="19" spans="1:13" x14ac:dyDescent="0.25">
      <c r="A19" s="7" t="s">
        <v>307</v>
      </c>
      <c r="B19" s="33">
        <v>10</v>
      </c>
      <c r="D19" s="10">
        <v>28</v>
      </c>
      <c r="E19" s="10">
        <v>120</v>
      </c>
      <c r="F19" s="10">
        <v>126</v>
      </c>
      <c r="G19" s="10">
        <v>133</v>
      </c>
      <c r="H19" s="10">
        <v>140</v>
      </c>
      <c r="I19" s="10">
        <v>148</v>
      </c>
      <c r="J19" s="10">
        <v>156</v>
      </c>
      <c r="K19" s="10">
        <v>164</v>
      </c>
      <c r="L19" s="10">
        <v>169</v>
      </c>
      <c r="M19" s="10">
        <v>174</v>
      </c>
    </row>
    <row r="20" spans="1:13" x14ac:dyDescent="0.25">
      <c r="A20" s="7" t="s">
        <v>304</v>
      </c>
      <c r="D20" s="20">
        <v>1</v>
      </c>
      <c r="E20" s="20">
        <v>0.91200000000000003</v>
      </c>
      <c r="F20" s="20">
        <v>0.70299999999999996</v>
      </c>
      <c r="G20" s="20">
        <v>0.47399999999999998</v>
      </c>
      <c r="H20" s="20">
        <v>0.29099999999999998</v>
      </c>
      <c r="I20" s="20">
        <v>0.16500000000000001</v>
      </c>
      <c r="J20" s="20">
        <v>8.7999999999999995E-2</v>
      </c>
      <c r="K20" s="20">
        <v>4.3999999999999997E-2</v>
      </c>
      <c r="L20" s="20">
        <v>2.1000000000000001E-2</v>
      </c>
      <c r="M20" s="20">
        <v>8.9999999999999993E-3</v>
      </c>
    </row>
    <row r="21" spans="1:13" x14ac:dyDescent="0.25">
      <c r="D21" s="10">
        <v>28</v>
      </c>
      <c r="E21" s="10">
        <v>109</v>
      </c>
      <c r="F21" s="10">
        <v>89</v>
      </c>
      <c r="G21" s="10">
        <v>63</v>
      </c>
      <c r="H21" s="10">
        <v>41</v>
      </c>
      <c r="I21" s="10">
        <v>24</v>
      </c>
      <c r="J21" s="10">
        <v>14</v>
      </c>
      <c r="K21" s="10">
        <v>7</v>
      </c>
      <c r="L21" s="10">
        <v>3</v>
      </c>
      <c r="M21" s="10">
        <v>2</v>
      </c>
    </row>
    <row r="22" spans="1:13" x14ac:dyDescent="0.25">
      <c r="A22" s="7" t="s">
        <v>308</v>
      </c>
      <c r="B22" s="33">
        <v>3</v>
      </c>
      <c r="D22" s="10">
        <v>9</v>
      </c>
      <c r="E22" s="10">
        <v>35</v>
      </c>
      <c r="F22" s="10">
        <v>36</v>
      </c>
      <c r="G22" s="10">
        <v>38</v>
      </c>
    </row>
    <row r="23" spans="1:13" x14ac:dyDescent="0.25">
      <c r="A23" s="7" t="s">
        <v>304</v>
      </c>
      <c r="D23" s="20">
        <v>1</v>
      </c>
      <c r="E23" s="20">
        <v>0.84799999999999998</v>
      </c>
      <c r="F23" s="20">
        <v>0.41199999999999998</v>
      </c>
      <c r="G23" s="20">
        <v>6.6000000000000003E-2</v>
      </c>
    </row>
    <row r="24" spans="1:13" x14ac:dyDescent="0.25">
      <c r="D24" s="10">
        <v>9</v>
      </c>
      <c r="E24" s="10">
        <v>30</v>
      </c>
      <c r="F24" s="10">
        <v>15</v>
      </c>
      <c r="G24" s="10">
        <v>3</v>
      </c>
    </row>
    <row r="25" spans="1:13" x14ac:dyDescent="0.25">
      <c r="A25" s="6" t="s">
        <v>309</v>
      </c>
      <c r="D25" s="13">
        <v>59</v>
      </c>
      <c r="E25" s="13">
        <v>226</v>
      </c>
      <c r="F25" s="13">
        <v>178</v>
      </c>
      <c r="G25" s="13">
        <v>126</v>
      </c>
      <c r="H25" s="13">
        <v>84</v>
      </c>
      <c r="I25" s="13">
        <v>55</v>
      </c>
      <c r="J25" s="13">
        <v>36</v>
      </c>
      <c r="K25" s="13">
        <v>26</v>
      </c>
      <c r="L25" s="13">
        <v>20</v>
      </c>
      <c r="M25" s="13">
        <v>16</v>
      </c>
    </row>
    <row r="26" spans="1:13" x14ac:dyDescent="0.25">
      <c r="A26" s="7" t="s">
        <v>310</v>
      </c>
      <c r="C26" s="20">
        <v>0.15</v>
      </c>
      <c r="D26" s="10">
        <v>9</v>
      </c>
      <c r="E26" s="10">
        <v>34</v>
      </c>
      <c r="F26" s="10">
        <v>27</v>
      </c>
      <c r="G26" s="10">
        <v>19</v>
      </c>
      <c r="H26" s="10">
        <v>13</v>
      </c>
      <c r="I26" s="10">
        <v>8</v>
      </c>
      <c r="J26" s="10">
        <v>5</v>
      </c>
      <c r="K26" s="10">
        <v>4</v>
      </c>
      <c r="L26" s="10">
        <v>3</v>
      </c>
      <c r="M26" s="10">
        <v>2</v>
      </c>
    </row>
    <row r="27" spans="1:13" x14ac:dyDescent="0.25">
      <c r="A27" s="6" t="s">
        <v>311</v>
      </c>
      <c r="D27" s="13">
        <v>9</v>
      </c>
      <c r="E27" s="13">
        <v>34</v>
      </c>
      <c r="F27" s="13">
        <v>27</v>
      </c>
      <c r="G27" s="13">
        <v>19</v>
      </c>
      <c r="H27" s="13">
        <v>13</v>
      </c>
      <c r="I27" s="13">
        <v>8</v>
      </c>
      <c r="J27" s="13">
        <v>5</v>
      </c>
      <c r="K27" s="13">
        <v>4</v>
      </c>
      <c r="L27" s="13">
        <v>3</v>
      </c>
      <c r="M27" s="13">
        <v>2</v>
      </c>
    </row>
    <row r="28" spans="1:13" x14ac:dyDescent="0.25">
      <c r="A28" s="7" t="s">
        <v>109</v>
      </c>
      <c r="C28" s="20">
        <v>0.218</v>
      </c>
      <c r="D28" s="19">
        <v>-2</v>
      </c>
      <c r="E28" s="19">
        <v>-7</v>
      </c>
      <c r="F28" s="19">
        <v>-6</v>
      </c>
      <c r="G28" s="19">
        <v>-4</v>
      </c>
      <c r="H28" s="19">
        <v>-3</v>
      </c>
      <c r="I28" s="19">
        <v>-2</v>
      </c>
      <c r="J28" s="19">
        <v>-1</v>
      </c>
      <c r="K28" s="19">
        <v>-1</v>
      </c>
      <c r="L28" s="19">
        <v>-1</v>
      </c>
      <c r="M28" s="19">
        <v>-1</v>
      </c>
    </row>
    <row r="29" spans="1:13" x14ac:dyDescent="0.25">
      <c r="A29" s="6" t="s">
        <v>312</v>
      </c>
      <c r="D29" s="13">
        <v>7</v>
      </c>
      <c r="E29" s="13">
        <v>26</v>
      </c>
      <c r="F29" s="13">
        <v>21</v>
      </c>
      <c r="G29" s="13">
        <v>15</v>
      </c>
      <c r="H29" s="13">
        <v>10</v>
      </c>
      <c r="I29" s="13">
        <v>6</v>
      </c>
      <c r="J29" s="13">
        <v>4</v>
      </c>
      <c r="K29" s="13">
        <v>3</v>
      </c>
      <c r="L29" s="13">
        <v>2</v>
      </c>
      <c r="M29" s="13">
        <v>2</v>
      </c>
    </row>
    <row r="30" spans="1:13" x14ac:dyDescent="0.25">
      <c r="A30" s="7" t="s">
        <v>115</v>
      </c>
      <c r="C30" s="20">
        <v>0.11</v>
      </c>
      <c r="D30" s="23">
        <v>0.98740000000000006</v>
      </c>
      <c r="E30" s="23">
        <v>0.92530000000000001</v>
      </c>
      <c r="F30" s="23">
        <v>0.83360000000000001</v>
      </c>
      <c r="G30" s="24">
        <v>0.751</v>
      </c>
      <c r="H30" s="23">
        <v>0.67659999999999998</v>
      </c>
      <c r="I30" s="23">
        <v>0.60950000000000004</v>
      </c>
      <c r="J30" s="23">
        <v>0.54910000000000003</v>
      </c>
      <c r="K30" s="23">
        <v>0.49469999999999997</v>
      </c>
      <c r="L30" s="23">
        <v>0.44569999999999999</v>
      </c>
      <c r="M30" s="23">
        <v>0.40150000000000002</v>
      </c>
    </row>
    <row r="31" spans="1:13" x14ac:dyDescent="0.25">
      <c r="A31" s="6" t="s">
        <v>313</v>
      </c>
      <c r="D31" s="13">
        <v>7</v>
      </c>
      <c r="E31" s="13">
        <v>24</v>
      </c>
      <c r="F31" s="13">
        <v>17</v>
      </c>
      <c r="G31" s="13">
        <v>11</v>
      </c>
      <c r="H31" s="13">
        <v>7</v>
      </c>
      <c r="I31" s="13">
        <v>4</v>
      </c>
      <c r="J31" s="13">
        <v>2</v>
      </c>
      <c r="K31" s="13">
        <v>1</v>
      </c>
      <c r="L31" s="13">
        <v>1</v>
      </c>
      <c r="M31" s="13">
        <v>1</v>
      </c>
    </row>
    <row r="32" spans="1:13" x14ac:dyDescent="0.25">
      <c r="A32" s="7" t="s">
        <v>216</v>
      </c>
      <c r="D32" s="10">
        <v>78</v>
      </c>
      <c r="I32" s="7" t="s">
        <v>14</v>
      </c>
    </row>
    <row r="33" spans="1:14" x14ac:dyDescent="0.25">
      <c r="A33" s="7" t="s">
        <v>121</v>
      </c>
      <c r="B33" s="5" t="s">
        <v>122</v>
      </c>
      <c r="D33" s="10">
        <v>7</v>
      </c>
      <c r="G33" s="13">
        <v>85</v>
      </c>
      <c r="H33" s="10">
        <v>5</v>
      </c>
      <c r="I33" s="10">
        <v>6</v>
      </c>
      <c r="J33" s="10">
        <v>7</v>
      </c>
    </row>
    <row r="34" spans="1:14" x14ac:dyDescent="0.25">
      <c r="A34" s="6" t="s">
        <v>219</v>
      </c>
      <c r="D34" s="13">
        <v>85</v>
      </c>
      <c r="G34" s="20">
        <v>0.1</v>
      </c>
      <c r="H34" s="21">
        <v>56</v>
      </c>
      <c r="I34" s="21">
        <v>56</v>
      </c>
      <c r="J34" s="21">
        <v>56</v>
      </c>
    </row>
    <row r="35" spans="1:14" x14ac:dyDescent="0.25">
      <c r="F35" s="7" t="s">
        <v>314</v>
      </c>
      <c r="G35" s="20">
        <v>0.125</v>
      </c>
      <c r="H35" s="21">
        <v>70</v>
      </c>
      <c r="I35" s="21">
        <v>70</v>
      </c>
      <c r="J35" s="21">
        <v>70</v>
      </c>
    </row>
    <row r="36" spans="1:14" x14ac:dyDescent="0.25">
      <c r="G36" s="20">
        <v>0.15</v>
      </c>
      <c r="H36" s="21">
        <v>85</v>
      </c>
      <c r="I36" s="21">
        <v>85</v>
      </c>
      <c r="J36" s="21">
        <v>85</v>
      </c>
    </row>
    <row r="37" spans="1:14" x14ac:dyDescent="0.25">
      <c r="A37" s="9" t="s">
        <v>315</v>
      </c>
    </row>
    <row r="38" spans="1:14" x14ac:dyDescent="0.25">
      <c r="A38" s="7" t="s">
        <v>225</v>
      </c>
      <c r="D38" s="20">
        <v>0.29499999999999998</v>
      </c>
      <c r="E38" s="20">
        <v>0.27900000000000003</v>
      </c>
      <c r="F38" s="20">
        <v>0.3</v>
      </c>
      <c r="G38" s="20">
        <v>0.29599999999999999</v>
      </c>
      <c r="H38" s="20">
        <v>0.29399999999999998</v>
      </c>
      <c r="I38" s="20">
        <v>0.30599999999999999</v>
      </c>
      <c r="J38" s="20">
        <v>0.317</v>
      </c>
      <c r="K38" s="20">
        <v>0.32800000000000001</v>
      </c>
      <c r="L38" s="20">
        <v>0.38800000000000001</v>
      </c>
    </row>
    <row r="39" spans="1:14" x14ac:dyDescent="0.25">
      <c r="A39" s="7"/>
      <c r="D39" s="20"/>
      <c r="E39" s="20"/>
      <c r="F39" s="20"/>
      <c r="G39" s="20"/>
      <c r="H39" s="20"/>
      <c r="I39" s="20"/>
      <c r="J39" s="20"/>
      <c r="K39" s="20"/>
      <c r="L39" s="20"/>
    </row>
    <row r="40" spans="1:14" x14ac:dyDescent="0.25">
      <c r="A40" s="7"/>
      <c r="D40" s="20"/>
      <c r="E40" s="20"/>
      <c r="F40" s="20"/>
      <c r="G40" s="20"/>
      <c r="H40" s="20"/>
      <c r="I40" s="20"/>
      <c r="J40" s="20"/>
      <c r="K40" s="20"/>
      <c r="L40" s="20"/>
    </row>
    <row r="41" spans="1:14" x14ac:dyDescent="0.25">
      <c r="A41" s="7"/>
      <c r="D41" s="20"/>
      <c r="E41" s="20"/>
      <c r="F41" s="20"/>
      <c r="G41" s="20"/>
      <c r="H41" s="20"/>
      <c r="I41" s="20"/>
      <c r="J41" s="20"/>
      <c r="K41" s="20"/>
      <c r="L41" s="20"/>
    </row>
    <row r="42" spans="1:14" x14ac:dyDescent="0.25">
      <c r="A42" s="7" t="s">
        <v>316</v>
      </c>
      <c r="D42" s="20">
        <v>0.50800000000000001</v>
      </c>
      <c r="E42" s="20">
        <v>0.53800000000000003</v>
      </c>
      <c r="F42" s="20">
        <v>0.5</v>
      </c>
      <c r="G42" s="20">
        <v>0.50700000000000001</v>
      </c>
      <c r="H42" s="20">
        <v>0.51</v>
      </c>
      <c r="I42" s="20">
        <v>0.49</v>
      </c>
      <c r="J42" s="20">
        <v>0.47299999999999998</v>
      </c>
      <c r="K42" s="20">
        <v>0.45800000000000002</v>
      </c>
      <c r="L42" s="20">
        <v>0.38700000000000001</v>
      </c>
    </row>
    <row r="43" spans="1:14" x14ac:dyDescent="0.25">
      <c r="A43" s="16" t="s">
        <v>127</v>
      </c>
    </row>
    <row r="44" spans="1:14" x14ac:dyDescent="0.25">
      <c r="A44" s="7" t="s">
        <v>227</v>
      </c>
    </row>
    <row r="45" spans="1:14" x14ac:dyDescent="0.25">
      <c r="A45" s="16" t="s">
        <v>61</v>
      </c>
    </row>
    <row r="46" spans="1:14" x14ac:dyDescent="0.25">
      <c r="A46" s="4" t="s">
        <v>62</v>
      </c>
      <c r="N46" s="32" t="s">
        <v>63</v>
      </c>
    </row>
    <row r="47" spans="1:14" x14ac:dyDescent="0.25">
      <c r="H47" s="5" t="s">
        <v>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32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s="7" t="s">
        <v>839</v>
      </c>
    </row>
    <row r="3" spans="1:13" x14ac:dyDescent="0.25">
      <c r="A3" s="6" t="s">
        <v>9</v>
      </c>
    </row>
    <row r="4" spans="1:13" x14ac:dyDescent="0.25">
      <c r="A4" s="6" t="s">
        <v>298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202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</row>
    <row r="8" spans="1:13" x14ac:dyDescent="0.25">
      <c r="A8" s="7" t="s">
        <v>301</v>
      </c>
      <c r="C8" s="7" t="s">
        <v>90</v>
      </c>
      <c r="D8" s="7" t="s">
        <v>90</v>
      </c>
      <c r="E8" s="7" t="s">
        <v>90</v>
      </c>
      <c r="F8" s="7" t="s">
        <v>90</v>
      </c>
      <c r="G8" s="7" t="s">
        <v>90</v>
      </c>
      <c r="H8" s="7" t="s">
        <v>90</v>
      </c>
      <c r="I8" s="7" t="s">
        <v>90</v>
      </c>
      <c r="J8" s="7" t="s">
        <v>90</v>
      </c>
      <c r="K8" s="7" t="s">
        <v>90</v>
      </c>
      <c r="L8" s="7" t="s">
        <v>90</v>
      </c>
    </row>
    <row r="9" spans="1:13" x14ac:dyDescent="0.25">
      <c r="A9" s="7" t="s">
        <v>302</v>
      </c>
    </row>
    <row r="10" spans="1:13" x14ac:dyDescent="0.25">
      <c r="A10" s="7" t="s">
        <v>303</v>
      </c>
      <c r="C10" s="7" t="s">
        <v>90</v>
      </c>
      <c r="D10" s="7" t="s">
        <v>90</v>
      </c>
      <c r="E10" s="7" t="s">
        <v>90</v>
      </c>
      <c r="F10" s="7" t="s">
        <v>90</v>
      </c>
      <c r="G10" s="7" t="s">
        <v>90</v>
      </c>
      <c r="H10" s="7" t="s">
        <v>90</v>
      </c>
      <c r="I10" s="7" t="s">
        <v>90</v>
      </c>
      <c r="J10" s="7" t="s">
        <v>90</v>
      </c>
      <c r="K10" s="7" t="s">
        <v>90</v>
      </c>
      <c r="L10" s="7" t="s">
        <v>90</v>
      </c>
    </row>
    <row r="11" spans="1:13" x14ac:dyDescent="0.25">
      <c r="A11" s="7" t="s">
        <v>304</v>
      </c>
      <c r="C11" s="7" t="s">
        <v>90</v>
      </c>
      <c r="D11" s="7" t="s">
        <v>90</v>
      </c>
      <c r="E11" s="7" t="s">
        <v>90</v>
      </c>
      <c r="F11" s="7" t="s">
        <v>90</v>
      </c>
      <c r="G11" s="7" t="s">
        <v>90</v>
      </c>
      <c r="H11" s="7" t="s">
        <v>90</v>
      </c>
      <c r="I11" s="7" t="s">
        <v>90</v>
      </c>
      <c r="J11" s="7" t="s">
        <v>90</v>
      </c>
      <c r="K11" s="7" t="s">
        <v>90</v>
      </c>
      <c r="L11" s="7" t="s">
        <v>90</v>
      </c>
    </row>
    <row r="12" spans="1:13" x14ac:dyDescent="0.25">
      <c r="A12" s="7" t="s">
        <v>305</v>
      </c>
      <c r="C12" s="10">
        <v>25</v>
      </c>
      <c r="D12" s="10">
        <v>25</v>
      </c>
      <c r="E12" s="10">
        <v>26</v>
      </c>
      <c r="F12" s="10">
        <v>27</v>
      </c>
      <c r="G12" s="10">
        <v>28</v>
      </c>
      <c r="H12" s="10">
        <v>29</v>
      </c>
      <c r="I12" s="10">
        <v>29</v>
      </c>
      <c r="J12" s="10">
        <v>30</v>
      </c>
      <c r="K12" s="10">
        <v>31</v>
      </c>
      <c r="L12" s="10">
        <v>32</v>
      </c>
    </row>
    <row r="13" spans="1:13" x14ac:dyDescent="0.25">
      <c r="A13" s="7" t="s">
        <v>304</v>
      </c>
      <c r="C13" s="20">
        <v>0.51900000000000002</v>
      </c>
      <c r="D13" s="20">
        <v>0.432</v>
      </c>
      <c r="E13" s="20">
        <v>0.34899999999999998</v>
      </c>
      <c r="F13" s="20">
        <v>0.27300000000000002</v>
      </c>
      <c r="G13" s="20">
        <v>0.20799999999999999</v>
      </c>
      <c r="H13" s="20">
        <v>0.153</v>
      </c>
      <c r="I13" s="20">
        <v>0.109</v>
      </c>
      <c r="J13" s="20">
        <v>7.4999999999999997E-2</v>
      </c>
      <c r="K13" s="20">
        <v>0.05</v>
      </c>
      <c r="L13" s="20">
        <v>3.2000000000000001E-2</v>
      </c>
    </row>
    <row r="14" spans="1:13" x14ac:dyDescent="0.25">
      <c r="C14" s="10">
        <v>13</v>
      </c>
      <c r="D14" s="10">
        <v>11</v>
      </c>
      <c r="E14" s="10">
        <v>9</v>
      </c>
      <c r="F14" s="10">
        <v>7</v>
      </c>
      <c r="G14" s="10">
        <v>6</v>
      </c>
      <c r="H14" s="10">
        <v>4</v>
      </c>
      <c r="I14" s="10">
        <v>3</v>
      </c>
      <c r="J14" s="10">
        <v>2</v>
      </c>
      <c r="K14" s="10">
        <v>2</v>
      </c>
      <c r="L14" s="10">
        <v>1</v>
      </c>
    </row>
    <row r="15" spans="1:13" x14ac:dyDescent="0.25">
      <c r="A15" s="7" t="s">
        <v>306</v>
      </c>
      <c r="C15" s="7" t="s">
        <v>90</v>
      </c>
      <c r="D15" s="7" t="s">
        <v>90</v>
      </c>
      <c r="E15" s="7" t="s">
        <v>90</v>
      </c>
      <c r="F15" s="7" t="s">
        <v>90</v>
      </c>
      <c r="G15" s="7" t="s">
        <v>90</v>
      </c>
      <c r="H15" s="7" t="s">
        <v>90</v>
      </c>
      <c r="I15" s="7" t="s">
        <v>90</v>
      </c>
      <c r="J15" s="7" t="s">
        <v>90</v>
      </c>
      <c r="K15" s="7" t="s">
        <v>90</v>
      </c>
      <c r="L15" s="7" t="s">
        <v>90</v>
      </c>
    </row>
    <row r="16" spans="1:13" x14ac:dyDescent="0.25">
      <c r="A16" s="7" t="s">
        <v>304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</row>
    <row r="17" spans="1:12" x14ac:dyDescent="0.25">
      <c r="A17" s="7" t="s">
        <v>307</v>
      </c>
      <c r="C17" s="10">
        <v>179</v>
      </c>
      <c r="D17" s="10">
        <v>185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</row>
    <row r="18" spans="1:12" x14ac:dyDescent="0.25">
      <c r="A18" s="7" t="s">
        <v>304</v>
      </c>
      <c r="C18" s="20">
        <v>4.0000000000000001E-3</v>
      </c>
      <c r="D18" s="20">
        <v>2E-3</v>
      </c>
      <c r="E18" s="20">
        <v>0</v>
      </c>
      <c r="F18" s="7" t="s">
        <v>90</v>
      </c>
      <c r="G18" s="7" t="s">
        <v>90</v>
      </c>
      <c r="H18" s="7" t="s">
        <v>90</v>
      </c>
      <c r="I18" s="7" t="s">
        <v>90</v>
      </c>
      <c r="J18" s="7" t="s">
        <v>90</v>
      </c>
      <c r="K18" s="7" t="s">
        <v>90</v>
      </c>
      <c r="L18" s="7" t="s">
        <v>90</v>
      </c>
    </row>
    <row r="19" spans="1:12" x14ac:dyDescent="0.25">
      <c r="C19" s="10">
        <v>1</v>
      </c>
      <c r="D19" s="10">
        <v>0</v>
      </c>
      <c r="E19" s="7" t="s">
        <v>90</v>
      </c>
      <c r="F19" s="7" t="s">
        <v>90</v>
      </c>
      <c r="G19" s="7" t="s">
        <v>90</v>
      </c>
      <c r="H19" s="7" t="s">
        <v>90</v>
      </c>
      <c r="I19" s="7" t="s">
        <v>90</v>
      </c>
      <c r="J19" s="7" t="s">
        <v>90</v>
      </c>
      <c r="K19" s="7" t="s">
        <v>90</v>
      </c>
      <c r="L19" s="7" t="s">
        <v>90</v>
      </c>
    </row>
    <row r="20" spans="1:12" x14ac:dyDescent="0.25">
      <c r="A20" s="7" t="s">
        <v>308</v>
      </c>
      <c r="C20" s="7" t="s">
        <v>90</v>
      </c>
      <c r="D20" s="7" t="s">
        <v>90</v>
      </c>
      <c r="E20" s="7" t="s">
        <v>90</v>
      </c>
      <c r="F20" s="7" t="s">
        <v>90</v>
      </c>
      <c r="G20" s="7" t="s">
        <v>90</v>
      </c>
      <c r="H20" s="7" t="s">
        <v>90</v>
      </c>
      <c r="I20" s="7" t="s">
        <v>90</v>
      </c>
      <c r="J20" s="7" t="s">
        <v>90</v>
      </c>
      <c r="K20" s="7" t="s">
        <v>90</v>
      </c>
      <c r="L20" s="7" t="s">
        <v>90</v>
      </c>
    </row>
    <row r="21" spans="1:12" x14ac:dyDescent="0.25">
      <c r="A21" s="7" t="s">
        <v>304</v>
      </c>
      <c r="C21" s="7" t="s">
        <v>90</v>
      </c>
      <c r="D21" s="7" t="s">
        <v>90</v>
      </c>
      <c r="E21" s="7" t="s">
        <v>90</v>
      </c>
      <c r="F21" s="7" t="s">
        <v>90</v>
      </c>
      <c r="G21" s="7" t="s">
        <v>90</v>
      </c>
      <c r="H21" s="7" t="s">
        <v>90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6" t="s">
        <v>309</v>
      </c>
      <c r="C22" s="13">
        <v>14</v>
      </c>
      <c r="D22" s="13">
        <v>11</v>
      </c>
      <c r="E22" s="13">
        <v>9</v>
      </c>
      <c r="F22" s="13">
        <v>7</v>
      </c>
      <c r="G22" s="13">
        <v>6</v>
      </c>
      <c r="H22" s="13">
        <v>4</v>
      </c>
      <c r="I22" s="13">
        <v>3</v>
      </c>
      <c r="J22" s="13">
        <v>2</v>
      </c>
      <c r="K22" s="13">
        <v>2</v>
      </c>
      <c r="L22" s="13">
        <v>1</v>
      </c>
    </row>
    <row r="23" spans="1:12" x14ac:dyDescent="0.25">
      <c r="A23" s="7" t="s">
        <v>310</v>
      </c>
      <c r="B23" s="20">
        <v>0.15</v>
      </c>
      <c r="C23" s="10">
        <v>2</v>
      </c>
      <c r="D23" s="10">
        <v>2</v>
      </c>
      <c r="E23" s="10">
        <v>1</v>
      </c>
      <c r="F23" s="10">
        <v>1</v>
      </c>
      <c r="G23" s="10">
        <v>1</v>
      </c>
      <c r="H23" s="10">
        <v>1</v>
      </c>
      <c r="I23" s="10">
        <v>0</v>
      </c>
      <c r="J23" s="10">
        <v>0</v>
      </c>
      <c r="K23" s="10">
        <v>0</v>
      </c>
      <c r="L23" s="10">
        <v>0</v>
      </c>
    </row>
    <row r="24" spans="1:12" x14ac:dyDescent="0.25">
      <c r="A24" s="6" t="s">
        <v>311</v>
      </c>
      <c r="C24" s="13">
        <v>2</v>
      </c>
      <c r="D24" s="13">
        <v>2</v>
      </c>
      <c r="E24" s="13">
        <v>1</v>
      </c>
      <c r="F24" s="13">
        <v>1</v>
      </c>
      <c r="G24" s="13">
        <v>1</v>
      </c>
      <c r="H24" s="13">
        <v>1</v>
      </c>
      <c r="I24" s="13">
        <v>0</v>
      </c>
      <c r="J24" s="13">
        <v>0</v>
      </c>
      <c r="K24" s="13">
        <v>0</v>
      </c>
      <c r="L24" s="13">
        <v>0</v>
      </c>
    </row>
    <row r="25" spans="1:12" x14ac:dyDescent="0.25">
      <c r="A25" s="7" t="s">
        <v>109</v>
      </c>
      <c r="B25" s="20">
        <v>0.218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</row>
    <row r="26" spans="1:12" x14ac:dyDescent="0.25">
      <c r="A26" s="6" t="s">
        <v>312</v>
      </c>
      <c r="C26" s="13">
        <v>2</v>
      </c>
      <c r="D26" s="13">
        <v>1</v>
      </c>
      <c r="E26" s="13">
        <v>1</v>
      </c>
      <c r="F26" s="13">
        <v>1</v>
      </c>
      <c r="G26" s="13">
        <v>1</v>
      </c>
      <c r="H26" s="13">
        <v>1</v>
      </c>
      <c r="I26" s="13">
        <v>0</v>
      </c>
      <c r="J26" s="13">
        <v>0</v>
      </c>
      <c r="K26" s="13">
        <v>0</v>
      </c>
      <c r="L26" s="13">
        <v>0</v>
      </c>
    </row>
    <row r="27" spans="1:12" x14ac:dyDescent="0.25">
      <c r="A27" s="7" t="s">
        <v>115</v>
      </c>
      <c r="B27" s="20">
        <v>0.11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</row>
    <row r="28" spans="1:12" x14ac:dyDescent="0.25">
      <c r="A28" s="6" t="s">
        <v>313</v>
      </c>
      <c r="C28" s="13">
        <v>1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</row>
    <row r="29" spans="1:12" x14ac:dyDescent="0.25">
      <c r="A29" s="16" t="s">
        <v>127</v>
      </c>
    </row>
    <row r="30" spans="1:12" x14ac:dyDescent="0.25">
      <c r="A30" s="16" t="s">
        <v>61</v>
      </c>
    </row>
    <row r="31" spans="1:12" x14ac:dyDescent="0.25">
      <c r="A31" s="4" t="s">
        <v>62</v>
      </c>
    </row>
    <row r="32" spans="1:12" x14ac:dyDescent="0.25">
      <c r="B32" s="5" t="s">
        <v>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109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s="7" t="s">
        <v>841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317</v>
      </c>
    </row>
    <row r="5" spans="1:13" x14ac:dyDescent="0.25">
      <c r="A5" s="6" t="s">
        <v>11</v>
      </c>
    </row>
    <row r="6" spans="1:13" x14ac:dyDescent="0.25">
      <c r="F6" s="9" t="s">
        <v>318</v>
      </c>
    </row>
    <row r="7" spans="1:13" x14ac:dyDescent="0.25">
      <c r="A7" s="8" t="s">
        <v>319</v>
      </c>
      <c r="B7" s="8" t="s">
        <v>320</v>
      </c>
      <c r="C7" s="8" t="s">
        <v>321</v>
      </c>
      <c r="D7" s="8" t="s">
        <v>322</v>
      </c>
      <c r="E7" s="9" t="s">
        <v>323</v>
      </c>
    </row>
    <row r="8" spans="1:13" x14ac:dyDescent="0.25">
      <c r="A8" s="7" t="s">
        <v>324</v>
      </c>
      <c r="B8" s="7" t="s">
        <v>325</v>
      </c>
      <c r="D8" s="7" t="s">
        <v>326</v>
      </c>
      <c r="E8" s="7" t="s">
        <v>327</v>
      </c>
      <c r="F8" s="20">
        <v>0.7</v>
      </c>
    </row>
    <row r="9" spans="1:13" x14ac:dyDescent="0.25">
      <c r="A9" s="7" t="s">
        <v>328</v>
      </c>
      <c r="C9" s="7" t="s">
        <v>329</v>
      </c>
    </row>
    <row r="10" spans="1:13" x14ac:dyDescent="0.25">
      <c r="C10" s="7" t="s">
        <v>330</v>
      </c>
      <c r="D10" s="7" t="s">
        <v>331</v>
      </c>
    </row>
    <row r="11" spans="1:13" x14ac:dyDescent="0.25">
      <c r="C11" s="7" t="s">
        <v>332</v>
      </c>
    </row>
    <row r="12" spans="1:13" x14ac:dyDescent="0.25">
      <c r="C12" s="7" t="s">
        <v>333</v>
      </c>
    </row>
    <row r="13" spans="1:13" x14ac:dyDescent="0.25">
      <c r="C13" s="7" t="s">
        <v>334</v>
      </c>
    </row>
    <row r="14" spans="1:13" x14ac:dyDescent="0.25">
      <c r="A14" s="7" t="s">
        <v>335</v>
      </c>
      <c r="B14" s="7" t="s">
        <v>336</v>
      </c>
      <c r="C14" s="7" t="s">
        <v>337</v>
      </c>
      <c r="D14" s="7" t="s">
        <v>338</v>
      </c>
      <c r="E14" s="7" t="s">
        <v>327</v>
      </c>
      <c r="F14" s="20">
        <v>0.2</v>
      </c>
    </row>
    <row r="15" spans="1:13" x14ac:dyDescent="0.25">
      <c r="A15" s="7" t="s">
        <v>339</v>
      </c>
      <c r="B15" s="7" t="s">
        <v>340</v>
      </c>
      <c r="C15" s="7" t="s">
        <v>341</v>
      </c>
      <c r="D15" s="7" t="s">
        <v>342</v>
      </c>
    </row>
    <row r="16" spans="1:13" x14ac:dyDescent="0.25">
      <c r="B16" s="7" t="s">
        <v>339</v>
      </c>
      <c r="C16" s="7" t="s">
        <v>343</v>
      </c>
    </row>
    <row r="17" spans="1:6" x14ac:dyDescent="0.25">
      <c r="C17" s="7" t="s">
        <v>344</v>
      </c>
      <c r="D17" s="7" t="s">
        <v>345</v>
      </c>
    </row>
    <row r="18" spans="1:6" x14ac:dyDescent="0.25">
      <c r="D18" s="7" t="s">
        <v>346</v>
      </c>
    </row>
    <row r="19" spans="1:6" x14ac:dyDescent="0.25">
      <c r="A19" s="7" t="s">
        <v>347</v>
      </c>
      <c r="B19" s="7" t="s">
        <v>348</v>
      </c>
      <c r="C19" s="7" t="s">
        <v>337</v>
      </c>
      <c r="D19" s="7" t="s">
        <v>349</v>
      </c>
      <c r="E19" s="7" t="s">
        <v>350</v>
      </c>
      <c r="F19" s="20">
        <v>0.2</v>
      </c>
    </row>
    <row r="20" spans="1:6" x14ac:dyDescent="0.25">
      <c r="C20" s="7" t="s">
        <v>351</v>
      </c>
      <c r="D20" s="7" t="s">
        <v>352</v>
      </c>
    </row>
    <row r="21" spans="1:6" x14ac:dyDescent="0.25">
      <c r="D21" s="7" t="s">
        <v>353</v>
      </c>
    </row>
    <row r="22" spans="1:6" x14ac:dyDescent="0.25">
      <c r="D22" s="7" t="s">
        <v>354</v>
      </c>
    </row>
    <row r="23" spans="1:6" x14ac:dyDescent="0.25">
      <c r="D23" s="7" t="s">
        <v>355</v>
      </c>
    </row>
    <row r="24" spans="1:6" x14ac:dyDescent="0.25">
      <c r="D24" s="7" t="s">
        <v>356</v>
      </c>
    </row>
    <row r="25" spans="1:6" x14ac:dyDescent="0.25">
      <c r="A25" s="7" t="s">
        <v>357</v>
      </c>
      <c r="B25" s="7" t="s">
        <v>358</v>
      </c>
      <c r="C25" s="7" t="s">
        <v>337</v>
      </c>
      <c r="D25" s="7" t="s">
        <v>359</v>
      </c>
      <c r="E25" s="7" t="s">
        <v>350</v>
      </c>
      <c r="F25" s="20">
        <v>3.0000000000000001E-3</v>
      </c>
    </row>
    <row r="26" spans="1:6" x14ac:dyDescent="0.25">
      <c r="A26" s="7" t="s">
        <v>360</v>
      </c>
      <c r="C26" s="7" t="s">
        <v>361</v>
      </c>
      <c r="D26" s="7" t="s">
        <v>362</v>
      </c>
    </row>
    <row r="27" spans="1:6" x14ac:dyDescent="0.25">
      <c r="A27" s="7" t="s">
        <v>363</v>
      </c>
    </row>
    <row r="28" spans="1:6" x14ac:dyDescent="0.25">
      <c r="A28" s="7" t="s">
        <v>364</v>
      </c>
      <c r="C28" s="7" t="s">
        <v>365</v>
      </c>
      <c r="D28" s="7" t="s">
        <v>366</v>
      </c>
      <c r="E28" s="7" t="s">
        <v>350</v>
      </c>
      <c r="F28" s="20">
        <v>0.125</v>
      </c>
    </row>
    <row r="29" spans="1:6" x14ac:dyDescent="0.25">
      <c r="A29" s="7" t="s">
        <v>367</v>
      </c>
      <c r="C29" s="7" t="s">
        <v>368</v>
      </c>
      <c r="D29" s="7" t="s">
        <v>369</v>
      </c>
    </row>
    <row r="30" spans="1:6" x14ac:dyDescent="0.25">
      <c r="A30" s="7" t="s">
        <v>339</v>
      </c>
    </row>
    <row r="31" spans="1:6" x14ac:dyDescent="0.25">
      <c r="A31" s="7" t="s">
        <v>370</v>
      </c>
      <c r="C31" s="7" t="s">
        <v>337</v>
      </c>
      <c r="D31" s="7" t="s">
        <v>371</v>
      </c>
      <c r="E31" s="7" t="s">
        <v>350</v>
      </c>
      <c r="F31" s="20">
        <v>0.25</v>
      </c>
    </row>
    <row r="32" spans="1:6" x14ac:dyDescent="0.25">
      <c r="A32" s="7" t="s">
        <v>372</v>
      </c>
      <c r="C32" s="7" t="s">
        <v>341</v>
      </c>
      <c r="D32" s="7" t="s">
        <v>373</v>
      </c>
    </row>
    <row r="33" spans="1:6" x14ac:dyDescent="0.25">
      <c r="C33" s="7" t="s">
        <v>374</v>
      </c>
      <c r="D33" s="7" t="s">
        <v>375</v>
      </c>
    </row>
    <row r="34" spans="1:6" x14ac:dyDescent="0.25">
      <c r="A34" s="7" t="s">
        <v>376</v>
      </c>
      <c r="B34" s="7" t="s">
        <v>377</v>
      </c>
      <c r="C34" s="7" t="s">
        <v>337</v>
      </c>
      <c r="D34" s="7" t="s">
        <v>378</v>
      </c>
      <c r="E34" s="7" t="s">
        <v>327</v>
      </c>
      <c r="F34" s="20">
        <v>0.1</v>
      </c>
    </row>
    <row r="35" spans="1:6" x14ac:dyDescent="0.25">
      <c r="C35" s="7" t="s">
        <v>379</v>
      </c>
      <c r="D35" s="7" t="s">
        <v>380</v>
      </c>
    </row>
    <row r="36" spans="1:6" x14ac:dyDescent="0.25">
      <c r="D36" s="7" t="s">
        <v>381</v>
      </c>
    </row>
    <row r="37" spans="1:6" x14ac:dyDescent="0.25">
      <c r="A37" s="7" t="s">
        <v>335</v>
      </c>
      <c r="B37" s="7" t="s">
        <v>336</v>
      </c>
      <c r="C37" s="7" t="s">
        <v>337</v>
      </c>
      <c r="D37" s="7" t="s">
        <v>382</v>
      </c>
      <c r="E37" s="7" t="s">
        <v>327</v>
      </c>
      <c r="F37" s="20">
        <v>0.2</v>
      </c>
    </row>
    <row r="38" spans="1:6" x14ac:dyDescent="0.25">
      <c r="A38" s="7" t="s">
        <v>339</v>
      </c>
      <c r="B38" s="7" t="s">
        <v>340</v>
      </c>
      <c r="C38" s="7" t="s">
        <v>383</v>
      </c>
      <c r="D38" s="7" t="s">
        <v>384</v>
      </c>
    </row>
    <row r="39" spans="1:6" x14ac:dyDescent="0.25">
      <c r="B39" s="7" t="s">
        <v>339</v>
      </c>
      <c r="D39" s="7" t="s">
        <v>385</v>
      </c>
    </row>
    <row r="40" spans="1:6" x14ac:dyDescent="0.25">
      <c r="A40" s="7" t="s">
        <v>357</v>
      </c>
      <c r="B40" s="7" t="s">
        <v>386</v>
      </c>
      <c r="C40" s="7" t="s">
        <v>337</v>
      </c>
      <c r="D40" s="7" t="s">
        <v>387</v>
      </c>
      <c r="E40" s="7" t="s">
        <v>350</v>
      </c>
      <c r="F40" s="20">
        <v>0.3</v>
      </c>
    </row>
    <row r="41" spans="1:6" x14ac:dyDescent="0.25">
      <c r="A41" s="7" t="s">
        <v>360</v>
      </c>
      <c r="C41" s="7" t="s">
        <v>341</v>
      </c>
      <c r="D41" s="7" t="s">
        <v>388</v>
      </c>
    </row>
    <row r="42" spans="1:6" x14ac:dyDescent="0.25">
      <c r="A42" s="7" t="s">
        <v>363</v>
      </c>
      <c r="C42" s="7" t="s">
        <v>389</v>
      </c>
      <c r="D42" s="7" t="s">
        <v>390</v>
      </c>
    </row>
    <row r="43" spans="1:6" x14ac:dyDescent="0.25">
      <c r="C43" s="7" t="s">
        <v>391</v>
      </c>
    </row>
    <row r="44" spans="1:6" x14ac:dyDescent="0.25">
      <c r="D44" s="7" t="s">
        <v>392</v>
      </c>
    </row>
    <row r="45" spans="1:6" x14ac:dyDescent="0.25">
      <c r="D45" s="7" t="s">
        <v>393</v>
      </c>
    </row>
    <row r="46" spans="1:6" x14ac:dyDescent="0.25">
      <c r="A46" s="7" t="s">
        <v>394</v>
      </c>
      <c r="B46" s="7" t="s">
        <v>395</v>
      </c>
      <c r="C46" s="7" t="s">
        <v>365</v>
      </c>
      <c r="D46" s="7" t="s">
        <v>396</v>
      </c>
      <c r="E46" s="7" t="s">
        <v>350</v>
      </c>
      <c r="F46" s="20">
        <v>0.1</v>
      </c>
    </row>
    <row r="47" spans="1:6" x14ac:dyDescent="0.25">
      <c r="C47" s="7" t="s">
        <v>397</v>
      </c>
    </row>
    <row r="48" spans="1:6" x14ac:dyDescent="0.25">
      <c r="C48" s="7" t="s">
        <v>398</v>
      </c>
    </row>
    <row r="49" spans="1:6" x14ac:dyDescent="0.25">
      <c r="D49" s="7" t="s">
        <v>399</v>
      </c>
    </row>
    <row r="50" spans="1:6" x14ac:dyDescent="0.25">
      <c r="D50" s="7" t="s">
        <v>400</v>
      </c>
    </row>
    <row r="51" spans="1:6" x14ac:dyDescent="0.25">
      <c r="D51" s="7" t="s">
        <v>401</v>
      </c>
    </row>
    <row r="52" spans="1:6" x14ac:dyDescent="0.25">
      <c r="D52" s="7" t="s">
        <v>402</v>
      </c>
    </row>
    <row r="53" spans="1:6" x14ac:dyDescent="0.25">
      <c r="D53" s="7" t="s">
        <v>403</v>
      </c>
    </row>
    <row r="54" spans="1:6" x14ac:dyDescent="0.25">
      <c r="A54" s="7" t="s">
        <v>404</v>
      </c>
      <c r="B54" s="7" t="s">
        <v>405</v>
      </c>
      <c r="C54" s="7" t="s">
        <v>406</v>
      </c>
      <c r="D54" s="7" t="s">
        <v>407</v>
      </c>
      <c r="E54" s="7" t="s">
        <v>408</v>
      </c>
      <c r="F54" s="20">
        <v>0.5</v>
      </c>
    </row>
    <row r="55" spans="1:6" x14ac:dyDescent="0.25">
      <c r="C55" s="7" t="s">
        <v>409</v>
      </c>
      <c r="D55" s="7" t="s">
        <v>410</v>
      </c>
    </row>
    <row r="56" spans="1:6" x14ac:dyDescent="0.25">
      <c r="C56" s="7" t="s">
        <v>411</v>
      </c>
      <c r="D56" s="7" t="s">
        <v>412</v>
      </c>
    </row>
    <row r="57" spans="1:6" x14ac:dyDescent="0.25">
      <c r="D57" s="7" t="s">
        <v>413</v>
      </c>
    </row>
    <row r="58" spans="1:6" x14ac:dyDescent="0.25">
      <c r="D58" s="7" t="s">
        <v>414</v>
      </c>
    </row>
    <row r="59" spans="1:6" x14ac:dyDescent="0.25">
      <c r="D59" s="7" t="s">
        <v>415</v>
      </c>
    </row>
    <row r="60" spans="1:6" x14ac:dyDescent="0.25">
      <c r="D60" s="7" t="s">
        <v>416</v>
      </c>
    </row>
    <row r="61" spans="1:6" x14ac:dyDescent="0.25">
      <c r="D61" s="7" t="s">
        <v>417</v>
      </c>
    </row>
    <row r="62" spans="1:6" x14ac:dyDescent="0.25">
      <c r="A62" s="7" t="s">
        <v>418</v>
      </c>
      <c r="B62" s="7" t="s">
        <v>419</v>
      </c>
      <c r="C62" s="7" t="s">
        <v>337</v>
      </c>
      <c r="D62" s="7" t="s">
        <v>420</v>
      </c>
      <c r="E62" s="7" t="s">
        <v>350</v>
      </c>
      <c r="F62" s="20">
        <v>0.1</v>
      </c>
    </row>
    <row r="63" spans="1:6" x14ac:dyDescent="0.25">
      <c r="B63" s="7" t="s">
        <v>372</v>
      </c>
      <c r="C63" s="7" t="s">
        <v>421</v>
      </c>
      <c r="D63" s="7" t="s">
        <v>422</v>
      </c>
    </row>
    <row r="64" spans="1:6" x14ac:dyDescent="0.25">
      <c r="D64" s="7" t="s">
        <v>423</v>
      </c>
    </row>
    <row r="65" spans="1:6" x14ac:dyDescent="0.25">
      <c r="E65" s="7" t="s">
        <v>350</v>
      </c>
      <c r="F65" s="20">
        <v>0.1</v>
      </c>
    </row>
    <row r="66" spans="1:6" x14ac:dyDescent="0.25">
      <c r="A66" s="7" t="s">
        <v>424</v>
      </c>
      <c r="B66" s="7" t="s">
        <v>425</v>
      </c>
      <c r="C66" s="7" t="s">
        <v>337</v>
      </c>
      <c r="D66" s="7" t="s">
        <v>426</v>
      </c>
      <c r="E66" s="7" t="s">
        <v>350</v>
      </c>
      <c r="F66" s="20">
        <v>0.05</v>
      </c>
    </row>
    <row r="67" spans="1:6" x14ac:dyDescent="0.25">
      <c r="A67" s="7" t="s">
        <v>427</v>
      </c>
      <c r="C67" s="7" t="s">
        <v>428</v>
      </c>
      <c r="D67" s="7" t="s">
        <v>429</v>
      </c>
    </row>
    <row r="68" spans="1:6" x14ac:dyDescent="0.25">
      <c r="A68" s="7" t="s">
        <v>430</v>
      </c>
      <c r="B68" s="7" t="s">
        <v>431</v>
      </c>
      <c r="C68" s="7" t="s">
        <v>365</v>
      </c>
      <c r="D68" s="7" t="s">
        <v>432</v>
      </c>
      <c r="E68" s="7" t="s">
        <v>327</v>
      </c>
      <c r="F68" s="20">
        <v>7.4999999999999997E-2</v>
      </c>
    </row>
    <row r="69" spans="1:6" x14ac:dyDescent="0.25">
      <c r="C69" s="7" t="s">
        <v>433</v>
      </c>
      <c r="D69" s="7" t="s">
        <v>434</v>
      </c>
    </row>
    <row r="70" spans="1:6" x14ac:dyDescent="0.25">
      <c r="C70" s="7" t="s">
        <v>435</v>
      </c>
      <c r="D70" s="7" t="s">
        <v>436</v>
      </c>
    </row>
    <row r="71" spans="1:6" x14ac:dyDescent="0.25">
      <c r="A71" s="7" t="s">
        <v>437</v>
      </c>
      <c r="B71" s="7" t="s">
        <v>438</v>
      </c>
      <c r="C71" s="7" t="s">
        <v>337</v>
      </c>
      <c r="D71" s="7" t="s">
        <v>439</v>
      </c>
      <c r="F71" s="20">
        <v>0.6</v>
      </c>
    </row>
    <row r="72" spans="1:6" x14ac:dyDescent="0.25">
      <c r="B72" s="7" t="s">
        <v>363</v>
      </c>
      <c r="C72" s="7" t="s">
        <v>440</v>
      </c>
      <c r="D72" s="7" t="s">
        <v>441</v>
      </c>
    </row>
    <row r="73" spans="1:6" x14ac:dyDescent="0.25">
      <c r="C73" s="7" t="s">
        <v>442</v>
      </c>
      <c r="D73" s="7" t="s">
        <v>443</v>
      </c>
    </row>
    <row r="74" spans="1:6" x14ac:dyDescent="0.25">
      <c r="C74" s="7" t="s">
        <v>391</v>
      </c>
    </row>
    <row r="75" spans="1:6" x14ac:dyDescent="0.25">
      <c r="D75" s="7" t="s">
        <v>444</v>
      </c>
    </row>
    <row r="76" spans="1:6" x14ac:dyDescent="0.25">
      <c r="D76" s="7" t="s">
        <v>445</v>
      </c>
    </row>
    <row r="77" spans="1:6" x14ac:dyDescent="0.25">
      <c r="D77" s="7" t="s">
        <v>446</v>
      </c>
    </row>
    <row r="78" spans="1:6" x14ac:dyDescent="0.25">
      <c r="D78" s="7" t="s">
        <v>447</v>
      </c>
    </row>
    <row r="79" spans="1:6" x14ac:dyDescent="0.25">
      <c r="D79" s="7" t="s">
        <v>448</v>
      </c>
    </row>
    <row r="80" spans="1:6" x14ac:dyDescent="0.25">
      <c r="D80" s="23" t="s">
        <v>449</v>
      </c>
    </row>
    <row r="81" spans="1:6" x14ac:dyDescent="0.25">
      <c r="D81" s="7" t="s">
        <v>450</v>
      </c>
    </row>
    <row r="82" spans="1:6" x14ac:dyDescent="0.25">
      <c r="A82" s="7" t="s">
        <v>451</v>
      </c>
      <c r="B82" s="7" t="s">
        <v>452</v>
      </c>
      <c r="C82" s="7" t="s">
        <v>453</v>
      </c>
      <c r="E82" s="7" t="s">
        <v>350</v>
      </c>
      <c r="F82" s="20">
        <v>0.2</v>
      </c>
    </row>
    <row r="83" spans="1:6" x14ac:dyDescent="0.25">
      <c r="A83" s="7" t="s">
        <v>372</v>
      </c>
      <c r="B83" s="7" t="s">
        <v>454</v>
      </c>
    </row>
    <row r="84" spans="1:6" x14ac:dyDescent="0.25">
      <c r="A84" s="7" t="s">
        <v>455</v>
      </c>
      <c r="B84" s="7" t="s">
        <v>456</v>
      </c>
      <c r="C84" s="7" t="s">
        <v>337</v>
      </c>
      <c r="D84" s="7" t="s">
        <v>457</v>
      </c>
      <c r="E84" s="7" t="s">
        <v>350</v>
      </c>
      <c r="F84" s="20">
        <v>0.1</v>
      </c>
    </row>
    <row r="85" spans="1:6" x14ac:dyDescent="0.25">
      <c r="A85" s="7" t="s">
        <v>458</v>
      </c>
      <c r="B85" s="7" t="s">
        <v>459</v>
      </c>
      <c r="C85" s="7" t="s">
        <v>460</v>
      </c>
    </row>
    <row r="86" spans="1:6" x14ac:dyDescent="0.25">
      <c r="A86" s="7" t="s">
        <v>424</v>
      </c>
      <c r="C86" s="7" t="s">
        <v>461</v>
      </c>
      <c r="D86" s="7" t="s">
        <v>462</v>
      </c>
    </row>
    <row r="87" spans="1:6" x14ac:dyDescent="0.25">
      <c r="A87" s="7" t="s">
        <v>463</v>
      </c>
      <c r="D87" s="7" t="s">
        <v>464</v>
      </c>
    </row>
    <row r="88" spans="1:6" x14ac:dyDescent="0.25">
      <c r="A88" s="7" t="s">
        <v>465</v>
      </c>
      <c r="B88" s="7" t="s">
        <v>466</v>
      </c>
      <c r="C88" s="7" t="s">
        <v>365</v>
      </c>
      <c r="D88" s="7" t="s">
        <v>467</v>
      </c>
      <c r="E88" s="7" t="s">
        <v>350</v>
      </c>
      <c r="F88" s="20">
        <v>0</v>
      </c>
    </row>
    <row r="89" spans="1:6" x14ac:dyDescent="0.25">
      <c r="A89" s="7" t="s">
        <v>468</v>
      </c>
      <c r="C89" s="7" t="s">
        <v>433</v>
      </c>
      <c r="D89" s="7" t="s">
        <v>469</v>
      </c>
    </row>
    <row r="90" spans="1:6" x14ac:dyDescent="0.25">
      <c r="A90" s="7" t="s">
        <v>465</v>
      </c>
      <c r="C90" s="7" t="s">
        <v>470</v>
      </c>
    </row>
    <row r="91" spans="1:6" x14ac:dyDescent="0.25">
      <c r="A91" s="7" t="s">
        <v>471</v>
      </c>
      <c r="C91" s="7" t="s">
        <v>472</v>
      </c>
      <c r="E91" s="7" t="s">
        <v>350</v>
      </c>
      <c r="F91" s="20">
        <v>8.5000000000000006E-2</v>
      </c>
    </row>
    <row r="92" spans="1:6" x14ac:dyDescent="0.25">
      <c r="A92" s="7" t="s">
        <v>473</v>
      </c>
      <c r="B92" s="7" t="s">
        <v>474</v>
      </c>
      <c r="C92" s="7" t="s">
        <v>475</v>
      </c>
      <c r="D92" s="7" t="s">
        <v>476</v>
      </c>
    </row>
    <row r="93" spans="1:6" x14ac:dyDescent="0.25">
      <c r="C93" s="7" t="s">
        <v>433</v>
      </c>
      <c r="D93" s="7" t="s">
        <v>477</v>
      </c>
    </row>
    <row r="94" spans="1:6" x14ac:dyDescent="0.25">
      <c r="C94" s="7" t="s">
        <v>478</v>
      </c>
      <c r="D94" s="7" t="s">
        <v>479</v>
      </c>
    </row>
    <row r="95" spans="1:6" x14ac:dyDescent="0.25">
      <c r="D95" s="7" t="s">
        <v>480</v>
      </c>
    </row>
    <row r="96" spans="1:6" x14ac:dyDescent="0.25">
      <c r="D96" s="7" t="s">
        <v>481</v>
      </c>
    </row>
    <row r="97" spans="1:7" x14ac:dyDescent="0.25">
      <c r="A97" s="7" t="s">
        <v>482</v>
      </c>
      <c r="B97" s="7" t="s">
        <v>483</v>
      </c>
      <c r="C97" s="7" t="s">
        <v>337</v>
      </c>
      <c r="D97" s="7" t="s">
        <v>484</v>
      </c>
      <c r="E97" s="7" t="s">
        <v>350</v>
      </c>
      <c r="F97" s="20">
        <v>0.25</v>
      </c>
    </row>
    <row r="98" spans="1:7" x14ac:dyDescent="0.25">
      <c r="A98" s="7" t="s">
        <v>363</v>
      </c>
      <c r="B98" s="7" t="s">
        <v>363</v>
      </c>
      <c r="C98" s="7" t="s">
        <v>485</v>
      </c>
    </row>
    <row r="99" spans="1:7" x14ac:dyDescent="0.25">
      <c r="C99" s="7" t="s">
        <v>486</v>
      </c>
      <c r="D99" s="7" t="s">
        <v>487</v>
      </c>
    </row>
    <row r="100" spans="1:7" x14ac:dyDescent="0.25">
      <c r="C100" s="7" t="s">
        <v>488</v>
      </c>
      <c r="D100" s="7" t="s">
        <v>489</v>
      </c>
    </row>
    <row r="101" spans="1:7" x14ac:dyDescent="0.25">
      <c r="C101" s="7" t="s">
        <v>490</v>
      </c>
    </row>
    <row r="102" spans="1:7" x14ac:dyDescent="0.25">
      <c r="E102" s="6" t="s">
        <v>491</v>
      </c>
      <c r="F102" s="20">
        <v>0.7</v>
      </c>
    </row>
    <row r="103" spans="1:7" x14ac:dyDescent="0.25">
      <c r="E103" s="6" t="s">
        <v>165</v>
      </c>
      <c r="F103" s="20">
        <v>0.16300000000000001</v>
      </c>
    </row>
    <row r="104" spans="1:7" x14ac:dyDescent="0.25">
      <c r="E104" s="6" t="s">
        <v>492</v>
      </c>
      <c r="F104" s="20">
        <v>0.20899999999999999</v>
      </c>
    </row>
    <row r="105" spans="1:7" x14ac:dyDescent="0.25">
      <c r="A105" s="34" t="s">
        <v>127</v>
      </c>
      <c r="E105" s="6" t="s">
        <v>493</v>
      </c>
      <c r="F105" s="20">
        <v>3.0000000000000001E-3</v>
      </c>
    </row>
    <row r="106" spans="1:7" x14ac:dyDescent="0.25">
      <c r="A106" s="7" t="s">
        <v>494</v>
      </c>
    </row>
    <row r="107" spans="1:7" x14ac:dyDescent="0.25">
      <c r="A107" s="16" t="s">
        <v>61</v>
      </c>
    </row>
    <row r="108" spans="1:7" x14ac:dyDescent="0.25">
      <c r="A108" s="4" t="s">
        <v>62</v>
      </c>
      <c r="F108" s="2" t="s">
        <v>63</v>
      </c>
    </row>
    <row r="109" spans="1:7" x14ac:dyDescent="0.25">
      <c r="G109" s="5" t="s">
        <v>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22"/>
  <sheetViews>
    <sheetView workbookViewId="0"/>
  </sheetViews>
  <sheetFormatPr defaultRowHeight="15" x14ac:dyDescent="0.25"/>
  <cols>
    <col min="1" max="1" width="75" bestFit="1" customWidth="1"/>
    <col min="2" max="2" width="10.85546875" bestFit="1" customWidth="1"/>
    <col min="3" max="3" width="12.5703125" bestFit="1" customWidth="1"/>
    <col min="4" max="4" width="10.85546875" bestFit="1" customWidth="1"/>
    <col min="6" max="6" width="10.855468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s="7" t="s">
        <v>842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495</v>
      </c>
    </row>
    <row r="5" spans="1:13" x14ac:dyDescent="0.25">
      <c r="A5" s="6" t="s">
        <v>11</v>
      </c>
    </row>
    <row r="6" spans="1:13" x14ac:dyDescent="0.25">
      <c r="A6" s="8" t="s">
        <v>496</v>
      </c>
    </row>
    <row r="7" spans="1:13" x14ac:dyDescent="0.25">
      <c r="A7" s="7" t="s">
        <v>497</v>
      </c>
    </row>
    <row r="8" spans="1:13" x14ac:dyDescent="0.25">
      <c r="F8" s="7" t="s">
        <v>498</v>
      </c>
    </row>
    <row r="9" spans="1:13" x14ac:dyDescent="0.25">
      <c r="A9" s="7" t="s">
        <v>122</v>
      </c>
      <c r="B9" s="7" t="s">
        <v>499</v>
      </c>
      <c r="C9" s="7" t="s">
        <v>500</v>
      </c>
      <c r="D9" s="7" t="s">
        <v>501</v>
      </c>
      <c r="F9" s="7" t="s">
        <v>502</v>
      </c>
    </row>
    <row r="10" spans="1:13" x14ac:dyDescent="0.25">
      <c r="A10" s="7" t="s">
        <v>503</v>
      </c>
      <c r="B10" s="14">
        <v>394626954</v>
      </c>
      <c r="C10" s="35">
        <v>-296611866</v>
      </c>
      <c r="D10" s="14">
        <v>98015088</v>
      </c>
      <c r="E10" s="7" t="s">
        <v>90</v>
      </c>
      <c r="F10" s="14">
        <v>169344999</v>
      </c>
    </row>
    <row r="11" spans="1:13" x14ac:dyDescent="0.25">
      <c r="A11" s="7" t="s">
        <v>504</v>
      </c>
      <c r="B11" s="14">
        <v>14444274</v>
      </c>
      <c r="C11" s="7" t="s">
        <v>90</v>
      </c>
      <c r="D11" s="14">
        <v>14444274</v>
      </c>
      <c r="E11" s="7" t="s">
        <v>90</v>
      </c>
      <c r="F11" s="14">
        <v>13712275</v>
      </c>
    </row>
    <row r="12" spans="1:13" x14ac:dyDescent="0.25">
      <c r="A12" s="7" t="s">
        <v>299</v>
      </c>
      <c r="B12" s="14">
        <v>409071228</v>
      </c>
      <c r="C12" s="35">
        <v>-296611866</v>
      </c>
      <c r="D12" s="14">
        <v>112459362</v>
      </c>
      <c r="F12" s="14">
        <v>183057274</v>
      </c>
    </row>
    <row r="13" spans="1:13" x14ac:dyDescent="0.25">
      <c r="A13" s="7" t="s">
        <v>505</v>
      </c>
      <c r="F13" s="10">
        <v>183</v>
      </c>
    </row>
    <row r="14" spans="1:13" x14ac:dyDescent="0.25">
      <c r="A14" s="7" t="s">
        <v>506</v>
      </c>
    </row>
    <row r="15" spans="1:13" x14ac:dyDescent="0.25">
      <c r="A15" s="7" t="s">
        <v>507</v>
      </c>
      <c r="F15" s="10">
        <v>85</v>
      </c>
    </row>
    <row r="16" spans="1:13" x14ac:dyDescent="0.25">
      <c r="A16" s="6" t="s">
        <v>508</v>
      </c>
      <c r="F16" s="13">
        <v>100</v>
      </c>
    </row>
    <row r="17" spans="1:7" x14ac:dyDescent="0.25">
      <c r="A17" s="6" t="s">
        <v>509</v>
      </c>
    </row>
    <row r="18" spans="1:7" x14ac:dyDescent="0.25">
      <c r="A18" s="16" t="s">
        <v>190</v>
      </c>
    </row>
    <row r="19" spans="1:7" x14ac:dyDescent="0.25">
      <c r="A19" s="7" t="s">
        <v>510</v>
      </c>
    </row>
    <row r="20" spans="1:7" x14ac:dyDescent="0.25">
      <c r="A20" s="16" t="s">
        <v>61</v>
      </c>
    </row>
    <row r="21" spans="1:7" x14ac:dyDescent="0.25">
      <c r="A21" s="4" t="s">
        <v>62</v>
      </c>
      <c r="G21" s="36" t="s">
        <v>63</v>
      </c>
    </row>
    <row r="22" spans="1:7" x14ac:dyDescent="0.25">
      <c r="E22" s="5" t="s">
        <v>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26"/>
  <sheetViews>
    <sheetView workbookViewId="0"/>
  </sheetViews>
  <sheetFormatPr defaultRowHeight="15" x14ac:dyDescent="0.25"/>
  <cols>
    <col min="1" max="1" width="75" bestFit="1" customWidth="1"/>
    <col min="2" max="2" width="9.85546875" bestFit="1" customWidth="1"/>
    <col min="4" max="4" width="9.85546875" bestFit="1" customWidth="1"/>
    <col min="6" max="6" width="9.855468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s="7" t="s">
        <v>841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A3" s="5" t="s">
        <v>9</v>
      </c>
    </row>
    <row r="4" spans="1:13" x14ac:dyDescent="0.25">
      <c r="A4" s="1" t="s">
        <v>511</v>
      </c>
    </row>
    <row r="5" spans="1:13" x14ac:dyDescent="0.25">
      <c r="A5" s="4" t="s">
        <v>11</v>
      </c>
    </row>
    <row r="6" spans="1:13" x14ac:dyDescent="0.25">
      <c r="A6" s="8" t="s">
        <v>512</v>
      </c>
    </row>
    <row r="7" spans="1:13" x14ac:dyDescent="0.25">
      <c r="F7" s="9" t="s">
        <v>513</v>
      </c>
    </row>
    <row r="8" spans="1:13" x14ac:dyDescent="0.25">
      <c r="A8" s="9" t="s">
        <v>514</v>
      </c>
      <c r="B8" s="9" t="s">
        <v>515</v>
      </c>
      <c r="C8" s="9" t="s">
        <v>516</v>
      </c>
      <c r="D8" s="9" t="s">
        <v>517</v>
      </c>
      <c r="E8" s="9" t="s">
        <v>518</v>
      </c>
      <c r="F8" s="9" t="s">
        <v>519</v>
      </c>
    </row>
    <row r="9" spans="1:13" x14ac:dyDescent="0.25">
      <c r="A9" s="7" t="s">
        <v>520</v>
      </c>
      <c r="B9" s="14">
        <v>5599247</v>
      </c>
      <c r="C9" s="14">
        <v>2406067</v>
      </c>
      <c r="D9" s="14">
        <v>8005314</v>
      </c>
      <c r="E9" s="23">
        <v>2.5</v>
      </c>
      <c r="F9" s="14">
        <v>20013286</v>
      </c>
    </row>
    <row r="10" spans="1:13" x14ac:dyDescent="0.25">
      <c r="A10" s="7" t="s">
        <v>521</v>
      </c>
      <c r="B10" s="14">
        <v>10347773</v>
      </c>
      <c r="C10" s="14">
        <v>2722884</v>
      </c>
      <c r="D10" s="14">
        <v>13070656</v>
      </c>
      <c r="E10" s="23">
        <v>2.5</v>
      </c>
      <c r="F10" s="14">
        <v>32676641</v>
      </c>
    </row>
    <row r="11" spans="1:13" x14ac:dyDescent="0.25">
      <c r="A11" s="7" t="s">
        <v>522</v>
      </c>
      <c r="B11" s="14">
        <v>391096</v>
      </c>
      <c r="C11" s="14">
        <v>324786</v>
      </c>
      <c r="D11" s="14">
        <v>715881</v>
      </c>
      <c r="E11" s="23">
        <v>2.5</v>
      </c>
      <c r="F11" s="14">
        <v>1789704</v>
      </c>
    </row>
    <row r="12" spans="1:13" x14ac:dyDescent="0.25">
      <c r="A12" s="7" t="s">
        <v>523</v>
      </c>
      <c r="B12" s="7" t="s">
        <v>90</v>
      </c>
      <c r="C12" s="14">
        <v>375963</v>
      </c>
      <c r="D12" s="14">
        <v>375963</v>
      </c>
      <c r="E12" s="23">
        <v>2.5</v>
      </c>
      <c r="F12" s="14">
        <v>939908</v>
      </c>
    </row>
    <row r="13" spans="1:13" x14ac:dyDescent="0.25">
      <c r="A13" s="7" t="s">
        <v>524</v>
      </c>
      <c r="B13" s="14">
        <v>551352</v>
      </c>
      <c r="C13" s="14">
        <v>494898</v>
      </c>
      <c r="D13" s="14">
        <v>1046251</v>
      </c>
      <c r="E13" s="23">
        <v>2.5</v>
      </c>
      <c r="F13" s="14">
        <v>2615626</v>
      </c>
    </row>
    <row r="14" spans="1:13" x14ac:dyDescent="0.25">
      <c r="A14" s="7" t="s">
        <v>525</v>
      </c>
      <c r="B14" s="14">
        <v>3244584</v>
      </c>
      <c r="C14" s="14">
        <v>6747048</v>
      </c>
      <c r="D14" s="14">
        <v>9991633</v>
      </c>
      <c r="E14" s="23">
        <v>2.5</v>
      </c>
      <c r="F14" s="14">
        <v>24979082</v>
      </c>
    </row>
    <row r="15" spans="1:13" x14ac:dyDescent="0.25">
      <c r="A15" s="7" t="s">
        <v>526</v>
      </c>
      <c r="B15" s="14">
        <v>4219567</v>
      </c>
      <c r="C15" s="14">
        <v>2464168</v>
      </c>
      <c r="D15" s="14">
        <v>6683735</v>
      </c>
      <c r="E15" s="23">
        <v>2.5</v>
      </c>
      <c r="F15" s="14">
        <v>16709337</v>
      </c>
    </row>
    <row r="16" spans="1:13" x14ac:dyDescent="0.25">
      <c r="A16" s="6" t="s">
        <v>527</v>
      </c>
      <c r="F16" s="14">
        <v>99723584</v>
      </c>
    </row>
    <row r="17" spans="1:6" x14ac:dyDescent="0.25">
      <c r="E17" s="7" t="s">
        <v>218</v>
      </c>
      <c r="F17" s="14">
        <v>99723584</v>
      </c>
    </row>
    <row r="18" spans="1:6" x14ac:dyDescent="0.25">
      <c r="E18" s="7" t="s">
        <v>528</v>
      </c>
      <c r="F18" s="7" t="s">
        <v>90</v>
      </c>
    </row>
    <row r="19" spans="1:6" x14ac:dyDescent="0.25">
      <c r="E19" s="7" t="s">
        <v>218</v>
      </c>
      <c r="F19" s="14">
        <v>99723584</v>
      </c>
    </row>
    <row r="20" spans="1:6" x14ac:dyDescent="0.25">
      <c r="E20" s="6" t="s">
        <v>529</v>
      </c>
      <c r="F20" s="10">
        <v>100</v>
      </c>
    </row>
    <row r="21" spans="1:6" x14ac:dyDescent="0.25">
      <c r="A21" s="8" t="s">
        <v>127</v>
      </c>
    </row>
    <row r="22" spans="1:6" x14ac:dyDescent="0.25">
      <c r="A22" s="7" t="s">
        <v>510</v>
      </c>
    </row>
    <row r="23" spans="1:6" x14ac:dyDescent="0.25">
      <c r="A23" s="7" t="s">
        <v>530</v>
      </c>
    </row>
    <row r="24" spans="1:6" x14ac:dyDescent="0.25">
      <c r="A24" s="16" t="s">
        <v>61</v>
      </c>
    </row>
    <row r="25" spans="1:6" x14ac:dyDescent="0.25">
      <c r="A25" s="4" t="s">
        <v>62</v>
      </c>
    </row>
    <row r="26" spans="1:6" x14ac:dyDescent="0.25">
      <c r="C26" s="5" t="s">
        <v>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70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531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532</v>
      </c>
      <c r="C8" s="10">
        <v>972</v>
      </c>
      <c r="D8" s="14">
        <v>1000</v>
      </c>
      <c r="E8" s="14">
        <v>1037</v>
      </c>
      <c r="F8" s="14">
        <v>1079</v>
      </c>
      <c r="G8" s="14">
        <v>1119</v>
      </c>
      <c r="H8" s="14">
        <v>1166</v>
      </c>
      <c r="I8" s="14">
        <v>1217</v>
      </c>
      <c r="J8" s="14">
        <v>1271</v>
      </c>
    </row>
    <row r="9" spans="1:13" x14ac:dyDescent="0.25">
      <c r="A9" s="6" t="s">
        <v>533</v>
      </c>
      <c r="C9" s="10">
        <v>694</v>
      </c>
      <c r="D9" s="10">
        <v>715</v>
      </c>
      <c r="E9" s="10">
        <v>742</v>
      </c>
      <c r="F9" s="10">
        <v>771</v>
      </c>
      <c r="G9" s="10">
        <v>799</v>
      </c>
      <c r="H9" s="10">
        <v>833</v>
      </c>
      <c r="I9" s="10">
        <v>870</v>
      </c>
      <c r="J9" s="10">
        <v>909</v>
      </c>
    </row>
    <row r="10" spans="1:13" x14ac:dyDescent="0.25">
      <c r="A10" s="6" t="s">
        <v>534</v>
      </c>
      <c r="C10" s="10">
        <v>305</v>
      </c>
      <c r="D10" s="10">
        <v>312</v>
      </c>
      <c r="E10" s="10">
        <v>323</v>
      </c>
      <c r="F10" s="10">
        <v>333</v>
      </c>
      <c r="G10" s="10">
        <v>346</v>
      </c>
      <c r="H10" s="10">
        <v>359</v>
      </c>
      <c r="I10" s="10">
        <v>371</v>
      </c>
      <c r="J10" s="10">
        <v>384</v>
      </c>
    </row>
    <row r="11" spans="1:13" x14ac:dyDescent="0.25">
      <c r="A11" s="6" t="s">
        <v>535</v>
      </c>
      <c r="C11" s="10">
        <v>88</v>
      </c>
      <c r="D11" s="10">
        <v>92</v>
      </c>
      <c r="E11" s="10">
        <v>98</v>
      </c>
      <c r="F11" s="10">
        <v>103</v>
      </c>
      <c r="G11" s="10">
        <v>106</v>
      </c>
      <c r="H11" s="10">
        <v>110</v>
      </c>
      <c r="I11" s="10">
        <v>116</v>
      </c>
      <c r="J11" s="10">
        <v>123</v>
      </c>
    </row>
    <row r="12" spans="1:13" x14ac:dyDescent="0.25">
      <c r="A12" s="6" t="s">
        <v>536</v>
      </c>
      <c r="C12" s="10">
        <v>25</v>
      </c>
      <c r="D12" s="10">
        <v>26</v>
      </c>
      <c r="E12" s="10">
        <v>27</v>
      </c>
      <c r="F12" s="10">
        <v>28</v>
      </c>
      <c r="G12" s="10">
        <v>30</v>
      </c>
      <c r="H12" s="10">
        <v>32</v>
      </c>
      <c r="I12" s="10">
        <v>34</v>
      </c>
      <c r="J12" s="10">
        <v>36</v>
      </c>
    </row>
    <row r="13" spans="1:13" x14ac:dyDescent="0.25">
      <c r="A13" s="6" t="s">
        <v>537</v>
      </c>
      <c r="C13" s="10">
        <v>22</v>
      </c>
      <c r="D13" s="10">
        <v>24</v>
      </c>
      <c r="E13" s="10">
        <v>26</v>
      </c>
      <c r="F13" s="10">
        <v>28</v>
      </c>
      <c r="G13" s="10">
        <v>29</v>
      </c>
      <c r="H13" s="10">
        <v>32</v>
      </c>
      <c r="I13" s="10">
        <v>36</v>
      </c>
      <c r="J13" s="10">
        <v>39</v>
      </c>
    </row>
    <row r="14" spans="1:13" x14ac:dyDescent="0.25">
      <c r="A14" s="6" t="s">
        <v>538</v>
      </c>
      <c r="C14" s="10">
        <v>114</v>
      </c>
      <c r="D14" s="10">
        <v>116</v>
      </c>
      <c r="E14" s="10">
        <v>119</v>
      </c>
      <c r="F14" s="10">
        <v>122</v>
      </c>
      <c r="G14" s="10">
        <v>123</v>
      </c>
      <c r="H14" s="10">
        <v>128</v>
      </c>
      <c r="I14" s="10">
        <v>132</v>
      </c>
      <c r="J14" s="10">
        <v>137</v>
      </c>
    </row>
    <row r="15" spans="1:13" x14ac:dyDescent="0.25">
      <c r="A15" s="6" t="s">
        <v>539</v>
      </c>
      <c r="C15" s="10">
        <v>9</v>
      </c>
      <c r="D15" s="10">
        <v>9</v>
      </c>
      <c r="E15" s="10">
        <v>9</v>
      </c>
      <c r="F15" s="10">
        <v>9</v>
      </c>
      <c r="G15" s="10">
        <v>10</v>
      </c>
      <c r="H15" s="10">
        <v>11</v>
      </c>
      <c r="I15" s="10">
        <v>11</v>
      </c>
      <c r="J15" s="10">
        <v>12</v>
      </c>
    </row>
    <row r="16" spans="1:13" x14ac:dyDescent="0.25">
      <c r="A16" s="6" t="s">
        <v>540</v>
      </c>
    </row>
    <row r="17" spans="1:10" x14ac:dyDescent="0.25">
      <c r="C17" s="19">
        <v>-97</v>
      </c>
      <c r="D17" s="19">
        <v>-106</v>
      </c>
      <c r="E17" s="19">
        <v>-117</v>
      </c>
      <c r="F17" s="19">
        <v>-125</v>
      </c>
      <c r="G17" s="19">
        <v>-134</v>
      </c>
      <c r="H17" s="19">
        <v>-139</v>
      </c>
      <c r="I17" s="19">
        <v>-146</v>
      </c>
      <c r="J17" s="19">
        <v>-152</v>
      </c>
    </row>
    <row r="18" spans="1:10" x14ac:dyDescent="0.25">
      <c r="A18" s="7" t="s">
        <v>541</v>
      </c>
      <c r="B18" s="20">
        <v>5.1999999999999998E-2</v>
      </c>
      <c r="C18" s="19">
        <v>-5</v>
      </c>
      <c r="D18" s="19">
        <v>-6</v>
      </c>
      <c r="E18" s="19">
        <v>-6</v>
      </c>
      <c r="F18" s="19">
        <v>-7</v>
      </c>
      <c r="G18" s="19">
        <v>-7</v>
      </c>
      <c r="H18" s="19">
        <v>-7</v>
      </c>
      <c r="I18" s="19">
        <v>-8</v>
      </c>
      <c r="J18" s="19">
        <v>-8</v>
      </c>
    </row>
    <row r="19" spans="1:10" x14ac:dyDescent="0.25">
      <c r="A19" s="7" t="s">
        <v>542</v>
      </c>
      <c r="C19" s="20">
        <v>-7.0000000000000001E-3</v>
      </c>
      <c r="D19" s="20">
        <v>-8.0000000000000002E-3</v>
      </c>
      <c r="E19" s="20">
        <v>-8.0000000000000002E-3</v>
      </c>
      <c r="F19" s="20">
        <v>-8.0000000000000002E-3</v>
      </c>
      <c r="G19" s="20">
        <v>-8.9999999999999993E-3</v>
      </c>
      <c r="H19" s="20">
        <v>-8.9999999999999993E-3</v>
      </c>
      <c r="I19" s="20">
        <v>-8.9999999999999993E-3</v>
      </c>
      <c r="J19" s="20">
        <v>-8.9999999999999993E-3</v>
      </c>
    </row>
    <row r="20" spans="1:10" x14ac:dyDescent="0.25">
      <c r="A20" s="6" t="s">
        <v>543</v>
      </c>
      <c r="C20" s="28">
        <v>-8.0000000000000002E-3</v>
      </c>
    </row>
    <row r="21" spans="1:10" x14ac:dyDescent="0.25">
      <c r="A21" s="6" t="s">
        <v>544</v>
      </c>
      <c r="C21" s="10">
        <v>24</v>
      </c>
      <c r="D21" s="10">
        <v>24</v>
      </c>
      <c r="E21" s="10">
        <v>24</v>
      </c>
      <c r="F21" s="10">
        <v>24</v>
      </c>
      <c r="G21" s="10">
        <v>24</v>
      </c>
      <c r="H21" s="10">
        <v>24</v>
      </c>
      <c r="I21" s="10">
        <v>24</v>
      </c>
      <c r="J21" s="10">
        <v>24</v>
      </c>
    </row>
    <row r="22" spans="1:10" x14ac:dyDescent="0.25">
      <c r="A22" s="7" t="s">
        <v>541</v>
      </c>
      <c r="B22" s="20">
        <v>6.0999999999999999E-2</v>
      </c>
      <c r="C22" s="10">
        <v>1</v>
      </c>
      <c r="D22" s="10">
        <v>1</v>
      </c>
      <c r="E22" s="10">
        <v>1</v>
      </c>
      <c r="F22" s="10">
        <v>1</v>
      </c>
      <c r="G22" s="10">
        <v>1</v>
      </c>
      <c r="H22" s="10">
        <v>1</v>
      </c>
      <c r="I22" s="10">
        <v>1</v>
      </c>
      <c r="J22" s="10">
        <v>1</v>
      </c>
    </row>
    <row r="23" spans="1:10" x14ac:dyDescent="0.25">
      <c r="A23" s="7" t="s">
        <v>542</v>
      </c>
      <c r="C23" s="20">
        <v>2E-3</v>
      </c>
      <c r="D23" s="20">
        <v>1E-3</v>
      </c>
      <c r="E23" s="20">
        <v>1E-3</v>
      </c>
      <c r="F23" s="20">
        <v>1E-3</v>
      </c>
      <c r="G23" s="20">
        <v>1E-3</v>
      </c>
      <c r="H23" s="20">
        <v>1E-3</v>
      </c>
      <c r="I23" s="20">
        <v>1E-3</v>
      </c>
      <c r="J23" s="20">
        <v>1E-3</v>
      </c>
    </row>
    <row r="24" spans="1:10" x14ac:dyDescent="0.25">
      <c r="A24" s="6" t="s">
        <v>543</v>
      </c>
      <c r="C24" s="28">
        <v>1E-3</v>
      </c>
    </row>
    <row r="25" spans="1:10" x14ac:dyDescent="0.25">
      <c r="A25" s="6" t="s">
        <v>545</v>
      </c>
      <c r="C25" s="10">
        <v>40</v>
      </c>
      <c r="D25" s="10">
        <v>40</v>
      </c>
      <c r="E25" s="10">
        <v>40</v>
      </c>
      <c r="F25" s="10">
        <v>40</v>
      </c>
      <c r="G25" s="10">
        <v>40</v>
      </c>
      <c r="H25" s="10">
        <v>40</v>
      </c>
      <c r="I25" s="10">
        <v>40</v>
      </c>
      <c r="J25" s="10">
        <v>40</v>
      </c>
    </row>
    <row r="26" spans="1:10" x14ac:dyDescent="0.25">
      <c r="A26" s="7" t="s">
        <v>541</v>
      </c>
      <c r="B26" s="20">
        <v>0.11</v>
      </c>
      <c r="C26" s="10">
        <v>4</v>
      </c>
      <c r="D26" s="10">
        <v>4</v>
      </c>
      <c r="E26" s="10">
        <v>4</v>
      </c>
      <c r="F26" s="10">
        <v>4</v>
      </c>
      <c r="G26" s="10">
        <v>4</v>
      </c>
      <c r="H26" s="10">
        <v>4</v>
      </c>
      <c r="I26" s="10">
        <v>4</v>
      </c>
      <c r="J26" s="10">
        <v>4</v>
      </c>
    </row>
    <row r="27" spans="1:10" x14ac:dyDescent="0.25">
      <c r="A27" s="7" t="s">
        <v>542</v>
      </c>
      <c r="C27" s="20">
        <v>5.0000000000000001E-3</v>
      </c>
      <c r="D27" s="20">
        <v>4.0000000000000001E-3</v>
      </c>
      <c r="E27" s="20">
        <v>4.0000000000000001E-3</v>
      </c>
      <c r="F27" s="20">
        <v>4.0000000000000001E-3</v>
      </c>
      <c r="G27" s="20">
        <v>4.0000000000000001E-3</v>
      </c>
      <c r="H27" s="20">
        <v>4.0000000000000001E-3</v>
      </c>
      <c r="I27" s="20">
        <v>4.0000000000000001E-3</v>
      </c>
      <c r="J27" s="20">
        <v>3.0000000000000001E-3</v>
      </c>
    </row>
    <row r="28" spans="1:10" x14ac:dyDescent="0.25">
      <c r="A28" s="6" t="s">
        <v>543</v>
      </c>
      <c r="C28" s="28">
        <v>4.0000000000000001E-3</v>
      </c>
    </row>
    <row r="29" spans="1:10" x14ac:dyDescent="0.25">
      <c r="A29" s="6" t="s">
        <v>546</v>
      </c>
      <c r="C29" s="10">
        <v>80</v>
      </c>
    </row>
    <row r="30" spans="1:10" x14ac:dyDescent="0.25">
      <c r="A30" s="7" t="s">
        <v>541</v>
      </c>
      <c r="B30" s="28">
        <v>0.11</v>
      </c>
      <c r="D30" s="10">
        <v>9</v>
      </c>
      <c r="E30" s="10">
        <v>9</v>
      </c>
      <c r="F30" s="10">
        <v>9</v>
      </c>
      <c r="G30" s="10">
        <v>9</v>
      </c>
      <c r="H30" s="10">
        <v>9</v>
      </c>
      <c r="I30" s="10">
        <v>9</v>
      </c>
      <c r="J30" s="10">
        <v>9</v>
      </c>
    </row>
    <row r="31" spans="1:10" x14ac:dyDescent="0.25">
      <c r="A31" s="7" t="s">
        <v>542</v>
      </c>
      <c r="D31" s="20">
        <v>2.8000000000000001E-2</v>
      </c>
      <c r="E31" s="20">
        <v>2.7E-2</v>
      </c>
      <c r="F31" s="20">
        <v>2.5999999999999999E-2</v>
      </c>
      <c r="G31" s="20">
        <v>2.5000000000000001E-2</v>
      </c>
      <c r="H31" s="20">
        <v>2.5000000000000001E-2</v>
      </c>
      <c r="I31" s="20">
        <v>2.4E-2</v>
      </c>
      <c r="J31" s="20">
        <v>2.3E-2</v>
      </c>
    </row>
    <row r="32" spans="1:10" x14ac:dyDescent="0.25">
      <c r="A32" s="6" t="s">
        <v>547</v>
      </c>
      <c r="C32" s="28">
        <v>2.5000000000000001E-2</v>
      </c>
    </row>
    <row r="33" spans="1:10" x14ac:dyDescent="0.25">
      <c r="A33" s="6" t="s">
        <v>548</v>
      </c>
      <c r="C33" s="10">
        <v>20</v>
      </c>
    </row>
    <row r="34" spans="1:10" x14ac:dyDescent="0.25">
      <c r="A34" s="7" t="s">
        <v>541</v>
      </c>
      <c r="B34" s="28">
        <v>0.11</v>
      </c>
      <c r="D34" s="10">
        <v>2</v>
      </c>
      <c r="E34" s="10">
        <v>2</v>
      </c>
      <c r="F34" s="10">
        <v>2</v>
      </c>
      <c r="G34" s="10">
        <v>2</v>
      </c>
      <c r="H34" s="10">
        <v>2</v>
      </c>
      <c r="I34" s="10">
        <v>2</v>
      </c>
      <c r="J34" s="10">
        <v>2</v>
      </c>
    </row>
    <row r="35" spans="1:10" x14ac:dyDescent="0.25">
      <c r="A35" s="7" t="s">
        <v>542</v>
      </c>
      <c r="D35" s="20">
        <v>2.4E-2</v>
      </c>
      <c r="E35" s="20">
        <v>2.1999999999999999E-2</v>
      </c>
      <c r="F35" s="20">
        <v>2.1000000000000001E-2</v>
      </c>
      <c r="G35" s="20">
        <v>2.1000000000000001E-2</v>
      </c>
      <c r="H35" s="20">
        <v>0.02</v>
      </c>
      <c r="I35" s="20">
        <v>1.9E-2</v>
      </c>
      <c r="J35" s="20">
        <v>1.7999999999999999E-2</v>
      </c>
    </row>
    <row r="36" spans="1:10" x14ac:dyDescent="0.25">
      <c r="A36" s="6" t="s">
        <v>547</v>
      </c>
      <c r="C36" s="28">
        <v>2.1000000000000001E-2</v>
      </c>
    </row>
    <row r="37" spans="1:10" x14ac:dyDescent="0.25">
      <c r="A37" s="6" t="s">
        <v>549</v>
      </c>
      <c r="C37" s="10">
        <v>6</v>
      </c>
    </row>
    <row r="38" spans="1:10" x14ac:dyDescent="0.25">
      <c r="A38" s="7" t="s">
        <v>541</v>
      </c>
      <c r="B38" s="28">
        <v>0.11</v>
      </c>
      <c r="D38" s="10">
        <v>1</v>
      </c>
      <c r="E38" s="10">
        <v>1</v>
      </c>
      <c r="F38" s="10">
        <v>1</v>
      </c>
      <c r="G38" s="10">
        <v>1</v>
      </c>
      <c r="H38" s="10">
        <v>1</v>
      </c>
      <c r="I38" s="10">
        <v>1</v>
      </c>
      <c r="J38" s="10">
        <v>1</v>
      </c>
    </row>
    <row r="39" spans="1:10" x14ac:dyDescent="0.25">
      <c r="A39" s="7" t="s">
        <v>542</v>
      </c>
      <c r="D39" s="20">
        <v>2.8000000000000001E-2</v>
      </c>
      <c r="E39" s="20">
        <v>2.5999999999999999E-2</v>
      </c>
      <c r="F39" s="20">
        <v>2.4E-2</v>
      </c>
      <c r="G39" s="20">
        <v>2.3E-2</v>
      </c>
      <c r="H39" s="20">
        <v>2.1000000000000001E-2</v>
      </c>
      <c r="I39" s="20">
        <v>1.9E-2</v>
      </c>
      <c r="J39" s="20">
        <v>1.7000000000000001E-2</v>
      </c>
    </row>
    <row r="40" spans="1:10" x14ac:dyDescent="0.25">
      <c r="A40" s="6" t="s">
        <v>547</v>
      </c>
      <c r="C40" s="28">
        <v>2.1999999999999999E-2</v>
      </c>
    </row>
    <row r="41" spans="1:10" x14ac:dyDescent="0.25">
      <c r="A41" s="6" t="s">
        <v>550</v>
      </c>
      <c r="C41" s="10">
        <v>7</v>
      </c>
    </row>
    <row r="42" spans="1:10" x14ac:dyDescent="0.25">
      <c r="A42" s="7" t="s">
        <v>541</v>
      </c>
      <c r="B42" s="28">
        <v>0.11</v>
      </c>
      <c r="D42" s="10">
        <v>1</v>
      </c>
      <c r="E42" s="10">
        <v>1</v>
      </c>
      <c r="F42" s="10">
        <v>1</v>
      </c>
      <c r="G42" s="10">
        <v>1</v>
      </c>
      <c r="H42" s="10">
        <v>1</v>
      </c>
      <c r="I42" s="10">
        <v>1</v>
      </c>
      <c r="J42" s="10">
        <v>1</v>
      </c>
    </row>
    <row r="43" spans="1:10" x14ac:dyDescent="0.25">
      <c r="A43" s="7" t="s">
        <v>542</v>
      </c>
      <c r="D43" s="20">
        <v>3.1E-2</v>
      </c>
      <c r="E43" s="20">
        <v>2.9000000000000001E-2</v>
      </c>
      <c r="F43" s="20">
        <v>2.8000000000000001E-2</v>
      </c>
      <c r="G43" s="20">
        <v>2.5999999999999999E-2</v>
      </c>
      <c r="H43" s="20">
        <v>2.5000000000000001E-2</v>
      </c>
      <c r="I43" s="20">
        <v>2.3E-2</v>
      </c>
      <c r="J43" s="20">
        <v>2.1999999999999999E-2</v>
      </c>
    </row>
    <row r="44" spans="1:10" x14ac:dyDescent="0.25">
      <c r="A44" s="6" t="s">
        <v>547</v>
      </c>
      <c r="C44" s="28">
        <v>2.5999999999999999E-2</v>
      </c>
    </row>
    <row r="45" spans="1:10" x14ac:dyDescent="0.25">
      <c r="A45" s="6" t="s">
        <v>551</v>
      </c>
      <c r="C45" s="10">
        <v>30</v>
      </c>
    </row>
    <row r="46" spans="1:10" x14ac:dyDescent="0.25">
      <c r="A46" s="7" t="s">
        <v>541</v>
      </c>
      <c r="B46" s="28">
        <v>0.11</v>
      </c>
      <c r="C46" s="10">
        <v>3</v>
      </c>
      <c r="D46" s="10">
        <v>3</v>
      </c>
      <c r="E46" s="10">
        <v>3</v>
      </c>
      <c r="F46" s="10">
        <v>3</v>
      </c>
      <c r="G46" s="10">
        <v>3</v>
      </c>
      <c r="H46" s="10">
        <v>3</v>
      </c>
      <c r="I46" s="10">
        <v>3</v>
      </c>
      <c r="J46" s="10">
        <v>3</v>
      </c>
    </row>
    <row r="47" spans="1:10" x14ac:dyDescent="0.25">
      <c r="A47" s="7" t="s">
        <v>542</v>
      </c>
      <c r="C47" s="20">
        <v>2.9000000000000001E-2</v>
      </c>
      <c r="D47" s="20">
        <v>2.9000000000000001E-2</v>
      </c>
      <c r="E47" s="20">
        <v>2.8000000000000001E-2</v>
      </c>
      <c r="F47" s="20">
        <v>2.7E-2</v>
      </c>
      <c r="G47" s="20">
        <v>2.7E-2</v>
      </c>
      <c r="H47" s="20">
        <v>2.5999999999999999E-2</v>
      </c>
      <c r="I47" s="20">
        <v>2.5000000000000001E-2</v>
      </c>
      <c r="J47" s="20">
        <v>2.4E-2</v>
      </c>
    </row>
    <row r="48" spans="1:10" x14ac:dyDescent="0.25">
      <c r="A48" s="6" t="s">
        <v>547</v>
      </c>
      <c r="C48" s="28">
        <v>2.5999999999999999E-2</v>
      </c>
    </row>
    <row r="49" spans="1:10" x14ac:dyDescent="0.25">
      <c r="A49" s="6" t="s">
        <v>552</v>
      </c>
      <c r="C49" s="10">
        <v>2</v>
      </c>
    </row>
    <row r="50" spans="1:10" x14ac:dyDescent="0.25">
      <c r="A50" s="7" t="s">
        <v>541</v>
      </c>
      <c r="B50" s="28">
        <v>0.11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</row>
    <row r="51" spans="1:10" x14ac:dyDescent="0.25">
      <c r="A51" s="7" t="s">
        <v>542</v>
      </c>
      <c r="D51" s="20">
        <v>2.7E-2</v>
      </c>
      <c r="E51" s="20">
        <v>2.5999999999999999E-2</v>
      </c>
      <c r="F51" s="20">
        <v>2.5999999999999999E-2</v>
      </c>
      <c r="G51" s="20">
        <v>2.4E-2</v>
      </c>
      <c r="H51" s="20">
        <v>2.1999999999999999E-2</v>
      </c>
      <c r="I51" s="20">
        <v>2.1000000000000001E-2</v>
      </c>
      <c r="J51" s="20">
        <v>0.02</v>
      </c>
    </row>
    <row r="52" spans="1:10" x14ac:dyDescent="0.25">
      <c r="A52" s="6" t="s">
        <v>547</v>
      </c>
      <c r="C52" s="28">
        <v>2.4E-2</v>
      </c>
    </row>
    <row r="53" spans="1:10" x14ac:dyDescent="0.25">
      <c r="A53" s="6" t="s">
        <v>47</v>
      </c>
      <c r="C53" s="10">
        <v>50</v>
      </c>
    </row>
    <row r="54" spans="1:10" x14ac:dyDescent="0.25">
      <c r="A54" s="7" t="s">
        <v>541</v>
      </c>
      <c r="B54" s="28">
        <v>0.11</v>
      </c>
      <c r="D54" s="10">
        <v>6</v>
      </c>
      <c r="E54" s="10">
        <v>6</v>
      </c>
      <c r="F54" s="10">
        <v>6</v>
      </c>
      <c r="G54" s="10">
        <v>6</v>
      </c>
      <c r="H54" s="10">
        <v>6</v>
      </c>
      <c r="I54" s="10">
        <v>6</v>
      </c>
      <c r="J54" s="10">
        <v>6</v>
      </c>
    </row>
    <row r="55" spans="1:10" x14ac:dyDescent="0.25">
      <c r="A55" s="7" t="s">
        <v>542</v>
      </c>
      <c r="D55" s="20">
        <v>1.0999999999999999E-2</v>
      </c>
      <c r="E55" s="20">
        <v>0.01</v>
      </c>
      <c r="F55" s="20">
        <v>0.01</v>
      </c>
      <c r="G55" s="20">
        <v>0.01</v>
      </c>
      <c r="H55" s="20">
        <v>8.9999999999999993E-3</v>
      </c>
      <c r="I55" s="20">
        <v>8.9999999999999993E-3</v>
      </c>
      <c r="J55" s="20">
        <v>8.9999999999999993E-3</v>
      </c>
    </row>
    <row r="56" spans="1:10" x14ac:dyDescent="0.25">
      <c r="A56" s="6" t="s">
        <v>547</v>
      </c>
      <c r="C56" s="28">
        <v>0.01</v>
      </c>
    </row>
    <row r="57" spans="1:10" x14ac:dyDescent="0.25">
      <c r="A57" s="6" t="s">
        <v>553</v>
      </c>
      <c r="C57" s="13">
        <v>100</v>
      </c>
    </row>
    <row r="58" spans="1:10" x14ac:dyDescent="0.25">
      <c r="A58" s="6" t="s">
        <v>554</v>
      </c>
    </row>
    <row r="59" spans="1:10" x14ac:dyDescent="0.25">
      <c r="A59" s="7" t="s">
        <v>541</v>
      </c>
      <c r="B59" s="37">
        <v>0.11</v>
      </c>
      <c r="D59" s="23">
        <v>10.97</v>
      </c>
      <c r="E59" s="10">
        <v>11</v>
      </c>
      <c r="F59" s="10">
        <v>11</v>
      </c>
      <c r="G59" s="10">
        <v>11</v>
      </c>
      <c r="H59" s="10">
        <v>11</v>
      </c>
      <c r="I59" s="10">
        <v>11</v>
      </c>
      <c r="J59" s="10">
        <v>11</v>
      </c>
    </row>
    <row r="60" spans="1:10" x14ac:dyDescent="0.25">
      <c r="A60" s="7" t="s">
        <v>542</v>
      </c>
      <c r="D60" s="28">
        <v>1.4999999999999999E-2</v>
      </c>
      <c r="E60" s="28">
        <v>1.4E-2</v>
      </c>
      <c r="F60" s="28">
        <v>1.4E-2</v>
      </c>
      <c r="G60" s="28">
        <v>1.2999999999999999E-2</v>
      </c>
      <c r="H60" s="28">
        <v>1.2999999999999999E-2</v>
      </c>
      <c r="I60" s="28">
        <v>1.2E-2</v>
      </c>
      <c r="J60" s="28">
        <v>1.2E-2</v>
      </c>
    </row>
    <row r="61" spans="1:10" x14ac:dyDescent="0.25">
      <c r="A61" s="6" t="s">
        <v>547</v>
      </c>
      <c r="C61" s="28">
        <v>1.2999999999999999E-2</v>
      </c>
    </row>
    <row r="62" spans="1:10" x14ac:dyDescent="0.25">
      <c r="A62" s="6" t="s">
        <v>555</v>
      </c>
      <c r="C62" s="28">
        <v>4.4999999999999998E-2</v>
      </c>
    </row>
    <row r="63" spans="1:10" x14ac:dyDescent="0.25">
      <c r="A63" s="6" t="s">
        <v>556</v>
      </c>
      <c r="C63" s="28">
        <v>0.04</v>
      </c>
    </row>
    <row r="64" spans="1:10" x14ac:dyDescent="0.25">
      <c r="A64" s="6" t="s">
        <v>557</v>
      </c>
      <c r="C64" s="28">
        <v>3.2000000000000001E-2</v>
      </c>
    </row>
    <row r="65" spans="1:11" x14ac:dyDescent="0.25">
      <c r="A65" s="6" t="s">
        <v>558</v>
      </c>
      <c r="C65" s="28">
        <v>3.5999999999999997E-2</v>
      </c>
    </row>
    <row r="66" spans="1:11" x14ac:dyDescent="0.25">
      <c r="A66" s="6" t="s">
        <v>559</v>
      </c>
      <c r="C66" s="28">
        <v>4.5999999999999999E-2</v>
      </c>
    </row>
    <row r="67" spans="1:11" x14ac:dyDescent="0.25">
      <c r="A67" s="6" t="s">
        <v>560</v>
      </c>
      <c r="C67" s="28">
        <v>3.4000000000000002E-2</v>
      </c>
    </row>
    <row r="68" spans="1:11" x14ac:dyDescent="0.25">
      <c r="A68" s="16" t="s">
        <v>61</v>
      </c>
    </row>
    <row r="69" spans="1:11" x14ac:dyDescent="0.25">
      <c r="A69" s="4" t="s">
        <v>62</v>
      </c>
      <c r="K69" s="2" t="s">
        <v>63</v>
      </c>
    </row>
    <row r="70" spans="1:11" x14ac:dyDescent="0.25">
      <c r="G70" s="5" t="s">
        <v>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36"/>
  <sheetViews>
    <sheetView topLeftCell="A7"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K3" s="7" t="s">
        <v>561</v>
      </c>
    </row>
    <row r="4" spans="1:13" x14ac:dyDescent="0.25">
      <c r="A4" s="6" t="s">
        <v>9</v>
      </c>
    </row>
    <row r="5" spans="1:13" x14ac:dyDescent="0.25">
      <c r="A5" s="6" t="s">
        <v>562</v>
      </c>
    </row>
    <row r="6" spans="1:13" x14ac:dyDescent="0.25">
      <c r="A6" s="6" t="s">
        <v>11</v>
      </c>
    </row>
    <row r="7" spans="1:13" x14ac:dyDescent="0.25">
      <c r="G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532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563</v>
      </c>
      <c r="C10" s="10">
        <v>241</v>
      </c>
      <c r="D10" s="10">
        <v>250</v>
      </c>
      <c r="E10" s="10">
        <v>260</v>
      </c>
      <c r="F10" s="10">
        <v>270</v>
      </c>
      <c r="G10" s="10">
        <v>280</v>
      </c>
      <c r="H10" s="10">
        <v>291</v>
      </c>
      <c r="I10" s="10">
        <v>303</v>
      </c>
      <c r="J10" s="10">
        <v>316</v>
      </c>
    </row>
    <row r="11" spans="1:13" x14ac:dyDescent="0.25">
      <c r="A11" s="6" t="s">
        <v>564</v>
      </c>
      <c r="C11" s="10">
        <v>127</v>
      </c>
      <c r="D11" s="10">
        <v>130</v>
      </c>
      <c r="E11" s="10">
        <v>133</v>
      </c>
      <c r="F11" s="10">
        <v>137</v>
      </c>
      <c r="G11" s="10">
        <v>140</v>
      </c>
      <c r="H11" s="10">
        <v>144</v>
      </c>
      <c r="I11" s="10">
        <v>148</v>
      </c>
      <c r="J11" s="10">
        <v>152</v>
      </c>
    </row>
    <row r="12" spans="1:13" x14ac:dyDescent="0.25">
      <c r="A12" s="6" t="s">
        <v>540</v>
      </c>
    </row>
    <row r="13" spans="1:13" x14ac:dyDescent="0.25">
      <c r="C13" s="19">
        <v>-65</v>
      </c>
      <c r="D13" s="19">
        <v>-70</v>
      </c>
      <c r="E13" s="19">
        <v>-75</v>
      </c>
      <c r="F13" s="19">
        <v>-81</v>
      </c>
      <c r="G13" s="19">
        <v>-86</v>
      </c>
      <c r="H13" s="19">
        <v>-89</v>
      </c>
      <c r="I13" s="19">
        <v>-93</v>
      </c>
      <c r="J13" s="19">
        <v>-97</v>
      </c>
    </row>
    <row r="14" spans="1:13" x14ac:dyDescent="0.25">
      <c r="A14" s="7" t="s">
        <v>541</v>
      </c>
      <c r="B14" s="20">
        <v>5.1999999999999998E-2</v>
      </c>
      <c r="C14" s="19">
        <v>-3</v>
      </c>
      <c r="D14" s="19">
        <v>-4</v>
      </c>
      <c r="E14" s="19">
        <v>-4</v>
      </c>
      <c r="F14" s="19">
        <v>-4</v>
      </c>
      <c r="G14" s="19">
        <v>-4</v>
      </c>
      <c r="H14" s="19">
        <v>-5</v>
      </c>
      <c r="I14" s="19">
        <v>-5</v>
      </c>
      <c r="J14" s="19">
        <v>-5</v>
      </c>
    </row>
    <row r="15" spans="1:13" x14ac:dyDescent="0.25">
      <c r="A15" s="7" t="s">
        <v>542</v>
      </c>
      <c r="D15" s="20">
        <v>-1.4999999999999999E-2</v>
      </c>
      <c r="E15" s="20">
        <v>-1.4999999999999999E-2</v>
      </c>
      <c r="F15" s="20">
        <v>-1.6E-2</v>
      </c>
      <c r="G15" s="20">
        <v>-1.6E-2</v>
      </c>
      <c r="H15" s="20">
        <v>-1.6E-2</v>
      </c>
      <c r="I15" s="20">
        <v>-1.6E-2</v>
      </c>
      <c r="J15" s="20">
        <v>-1.6E-2</v>
      </c>
    </row>
    <row r="16" spans="1:13" x14ac:dyDescent="0.25">
      <c r="A16" s="6" t="s">
        <v>543</v>
      </c>
      <c r="C16" s="28">
        <v>-1.6E-2</v>
      </c>
    </row>
    <row r="17" spans="1:10" x14ac:dyDescent="0.25">
      <c r="A17" s="6" t="s">
        <v>544</v>
      </c>
      <c r="C17" s="10">
        <v>24</v>
      </c>
      <c r="D17" s="10">
        <v>24</v>
      </c>
      <c r="E17" s="10">
        <v>24</v>
      </c>
      <c r="F17" s="10">
        <v>24</v>
      </c>
      <c r="G17" s="10">
        <v>24</v>
      </c>
      <c r="H17" s="10">
        <v>24</v>
      </c>
      <c r="I17" s="10">
        <v>24</v>
      </c>
      <c r="J17" s="10">
        <v>24</v>
      </c>
    </row>
    <row r="18" spans="1:10" x14ac:dyDescent="0.25">
      <c r="A18" s="7" t="s">
        <v>541</v>
      </c>
      <c r="B18" s="20">
        <v>6.0999999999999999E-2</v>
      </c>
      <c r="C18" s="10">
        <v>1</v>
      </c>
      <c r="D18" s="10">
        <v>1</v>
      </c>
      <c r="E18" s="10">
        <v>1</v>
      </c>
      <c r="F18" s="10">
        <v>1</v>
      </c>
      <c r="G18" s="10">
        <v>1</v>
      </c>
      <c r="H18" s="10">
        <v>1</v>
      </c>
      <c r="I18" s="10">
        <v>1</v>
      </c>
      <c r="J18" s="10">
        <v>1</v>
      </c>
    </row>
    <row r="19" spans="1:10" x14ac:dyDescent="0.25">
      <c r="A19" s="7" t="s">
        <v>542</v>
      </c>
      <c r="D19" s="20">
        <v>1E-3</v>
      </c>
      <c r="E19" s="20">
        <v>1E-3</v>
      </c>
      <c r="F19" s="20">
        <v>1E-3</v>
      </c>
      <c r="G19" s="20">
        <v>1E-3</v>
      </c>
      <c r="H19" s="20">
        <v>1E-3</v>
      </c>
      <c r="I19" s="20">
        <v>1E-3</v>
      </c>
      <c r="J19" s="20">
        <v>1E-3</v>
      </c>
    </row>
    <row r="20" spans="1:10" x14ac:dyDescent="0.25">
      <c r="A20" s="6" t="s">
        <v>543</v>
      </c>
      <c r="C20" s="28">
        <v>1E-3</v>
      </c>
    </row>
    <row r="21" spans="1:10" x14ac:dyDescent="0.25">
      <c r="A21" s="6" t="s">
        <v>545</v>
      </c>
      <c r="C21" s="23">
        <v>36.6</v>
      </c>
      <c r="D21" s="23">
        <v>36.6</v>
      </c>
      <c r="E21" s="23">
        <v>36.6</v>
      </c>
      <c r="F21" s="23">
        <v>36.6</v>
      </c>
      <c r="G21" s="23">
        <v>36.6</v>
      </c>
      <c r="H21" s="23">
        <v>36.6</v>
      </c>
      <c r="I21" s="23">
        <v>36.6</v>
      </c>
      <c r="J21" s="23">
        <v>36.6</v>
      </c>
    </row>
    <row r="22" spans="1:10" x14ac:dyDescent="0.25">
      <c r="A22" s="7" t="s">
        <v>541</v>
      </c>
      <c r="B22" s="20">
        <v>0.11</v>
      </c>
      <c r="C22" s="10">
        <v>1</v>
      </c>
      <c r="D22" s="10">
        <v>4</v>
      </c>
      <c r="E22" s="10">
        <v>4</v>
      </c>
      <c r="F22" s="10">
        <v>4</v>
      </c>
      <c r="G22" s="10">
        <v>4</v>
      </c>
      <c r="H22" s="10">
        <v>4</v>
      </c>
      <c r="I22" s="10">
        <v>4</v>
      </c>
      <c r="J22" s="10">
        <v>4</v>
      </c>
    </row>
    <row r="23" spans="1:10" x14ac:dyDescent="0.25">
      <c r="A23" s="7" t="s">
        <v>542</v>
      </c>
      <c r="D23" s="20">
        <v>4.0000000000000001E-3</v>
      </c>
      <c r="E23" s="20">
        <v>4.0000000000000001E-3</v>
      </c>
      <c r="F23" s="20">
        <v>4.0000000000000001E-3</v>
      </c>
      <c r="G23" s="20">
        <v>4.0000000000000001E-3</v>
      </c>
      <c r="H23" s="20">
        <v>3.0000000000000001E-3</v>
      </c>
      <c r="I23" s="20">
        <v>3.0000000000000001E-3</v>
      </c>
      <c r="J23" s="20">
        <v>3.0000000000000001E-3</v>
      </c>
    </row>
    <row r="24" spans="1:10" x14ac:dyDescent="0.25">
      <c r="A24" s="6" t="s">
        <v>543</v>
      </c>
      <c r="C24" s="28">
        <v>4.0000000000000001E-3</v>
      </c>
    </row>
    <row r="25" spans="1:10" x14ac:dyDescent="0.25">
      <c r="A25" s="6" t="s">
        <v>565</v>
      </c>
      <c r="C25" s="10">
        <v>20</v>
      </c>
    </row>
    <row r="26" spans="1:10" x14ac:dyDescent="0.25">
      <c r="A26" s="7" t="s">
        <v>541</v>
      </c>
      <c r="B26" s="28">
        <v>0.11</v>
      </c>
      <c r="C26" s="10">
        <v>1</v>
      </c>
      <c r="D26" s="10">
        <v>2</v>
      </c>
      <c r="E26" s="10">
        <v>2</v>
      </c>
      <c r="F26" s="10">
        <v>2</v>
      </c>
      <c r="G26" s="10">
        <v>2</v>
      </c>
      <c r="H26" s="10">
        <v>2</v>
      </c>
      <c r="I26" s="10">
        <v>2</v>
      </c>
      <c r="J26" s="10">
        <v>2</v>
      </c>
    </row>
    <row r="27" spans="1:10" x14ac:dyDescent="0.25">
      <c r="A27" s="7" t="s">
        <v>542</v>
      </c>
      <c r="C27" s="20">
        <v>4.0000000000000001E-3</v>
      </c>
      <c r="D27" s="20">
        <v>1.7000000000000001E-2</v>
      </c>
      <c r="E27" s="20">
        <v>1.6E-2</v>
      </c>
      <c r="F27" s="20">
        <v>1.6E-2</v>
      </c>
      <c r="G27" s="20">
        <v>1.6E-2</v>
      </c>
      <c r="H27" s="20">
        <v>1.4999999999999999E-2</v>
      </c>
      <c r="I27" s="20">
        <v>1.4999999999999999E-2</v>
      </c>
      <c r="J27" s="20">
        <v>1.4E-2</v>
      </c>
    </row>
    <row r="28" spans="1:10" x14ac:dyDescent="0.25">
      <c r="A28" s="6" t="s">
        <v>547</v>
      </c>
      <c r="C28" s="28">
        <v>1.6E-2</v>
      </c>
    </row>
    <row r="29" spans="1:10" x14ac:dyDescent="0.25">
      <c r="A29" s="6" t="s">
        <v>566</v>
      </c>
      <c r="C29" s="13">
        <v>100</v>
      </c>
    </row>
    <row r="30" spans="1:10" x14ac:dyDescent="0.25">
      <c r="A30" s="7" t="s">
        <v>541</v>
      </c>
      <c r="B30" s="15">
        <v>0.11</v>
      </c>
      <c r="C30" s="10">
        <v>11</v>
      </c>
      <c r="D30" s="10">
        <v>11</v>
      </c>
      <c r="E30" s="10">
        <v>11</v>
      </c>
      <c r="F30" s="10">
        <v>11</v>
      </c>
      <c r="G30" s="10">
        <v>11</v>
      </c>
      <c r="H30" s="10">
        <v>11</v>
      </c>
      <c r="I30" s="10">
        <v>11</v>
      </c>
      <c r="J30" s="10">
        <v>11</v>
      </c>
    </row>
    <row r="31" spans="1:10" x14ac:dyDescent="0.25">
      <c r="A31" s="7" t="s">
        <v>542</v>
      </c>
      <c r="D31" s="15">
        <v>0.01</v>
      </c>
      <c r="E31" s="15">
        <v>0.01</v>
      </c>
      <c r="F31" s="15">
        <v>0.01</v>
      </c>
      <c r="G31" s="15">
        <v>0.01</v>
      </c>
      <c r="H31" s="15">
        <v>0.01</v>
      </c>
      <c r="I31" s="15">
        <v>0.01</v>
      </c>
      <c r="J31" s="15">
        <v>0.01</v>
      </c>
    </row>
    <row r="32" spans="1:10" x14ac:dyDescent="0.25">
      <c r="A32" s="6" t="s">
        <v>547</v>
      </c>
      <c r="C32" s="28">
        <v>1.2999999999999999E-2</v>
      </c>
    </row>
    <row r="33" spans="1:11" x14ac:dyDescent="0.25">
      <c r="A33" s="6" t="s">
        <v>567</v>
      </c>
      <c r="C33" s="28">
        <v>1.7999999999999999E-2</v>
      </c>
    </row>
    <row r="34" spans="1:11" x14ac:dyDescent="0.25">
      <c r="A34" s="16" t="s">
        <v>61</v>
      </c>
    </row>
    <row r="35" spans="1:11" x14ac:dyDescent="0.25">
      <c r="A35" s="4" t="s">
        <v>62</v>
      </c>
      <c r="K35" s="36" t="s">
        <v>63</v>
      </c>
    </row>
    <row r="36" spans="1:11" x14ac:dyDescent="0.25">
      <c r="F36" s="5" t="s">
        <v>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M26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K3" s="7" t="s">
        <v>568</v>
      </c>
    </row>
    <row r="4" spans="1:13" x14ac:dyDescent="0.25">
      <c r="A4" s="6" t="s">
        <v>9</v>
      </c>
    </row>
    <row r="5" spans="1:13" x14ac:dyDescent="0.25">
      <c r="A5" s="6" t="s">
        <v>569</v>
      </c>
    </row>
    <row r="6" spans="1:13" x14ac:dyDescent="0.25">
      <c r="A6" s="6" t="s">
        <v>11</v>
      </c>
    </row>
    <row r="7" spans="1:13" x14ac:dyDescent="0.25"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570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571</v>
      </c>
    </row>
    <row r="11" spans="1:13" x14ac:dyDescent="0.25">
      <c r="A11" s="6" t="s">
        <v>540</v>
      </c>
      <c r="C11" s="19">
        <v>-158</v>
      </c>
      <c r="D11" s="19">
        <v>-172</v>
      </c>
      <c r="E11" s="19">
        <v>-188</v>
      </c>
      <c r="F11" s="19">
        <v>-201</v>
      </c>
      <c r="G11" s="19">
        <v>-215</v>
      </c>
      <c r="H11" s="19">
        <v>-224</v>
      </c>
      <c r="I11" s="19">
        <v>-233</v>
      </c>
      <c r="J11" s="19">
        <v>-244</v>
      </c>
    </row>
    <row r="12" spans="1:13" x14ac:dyDescent="0.25">
      <c r="A12" s="7" t="s">
        <v>541</v>
      </c>
      <c r="B12" s="20">
        <v>5.1999999999999998E-2</v>
      </c>
      <c r="C12" s="19">
        <v>-8</v>
      </c>
      <c r="D12" s="19">
        <v>-9</v>
      </c>
      <c r="E12" s="19">
        <v>-10</v>
      </c>
      <c r="F12" s="19">
        <v>-10</v>
      </c>
      <c r="G12" s="19">
        <v>-11</v>
      </c>
      <c r="H12" s="19">
        <v>-12</v>
      </c>
      <c r="I12" s="19">
        <v>-12</v>
      </c>
      <c r="J12" s="19">
        <v>-13</v>
      </c>
    </row>
    <row r="13" spans="1:13" x14ac:dyDescent="0.25">
      <c r="A13" s="7" t="s">
        <v>542</v>
      </c>
      <c r="C13" s="20">
        <v>-8.0000000000000002E-3</v>
      </c>
      <c r="D13" s="20">
        <v>-8.9999999999999993E-3</v>
      </c>
      <c r="E13" s="20">
        <v>-8.9999999999999993E-3</v>
      </c>
      <c r="F13" s="21">
        <v>-0.01</v>
      </c>
      <c r="G13" s="21">
        <v>-0.01</v>
      </c>
      <c r="H13" s="21">
        <v>-0.01</v>
      </c>
      <c r="I13" s="21">
        <v>-0.01</v>
      </c>
      <c r="J13" s="21">
        <v>-0.01</v>
      </c>
    </row>
    <row r="14" spans="1:13" x14ac:dyDescent="0.25">
      <c r="A14" s="6" t="s">
        <v>543</v>
      </c>
      <c r="C14" s="38">
        <v>-0.01</v>
      </c>
    </row>
    <row r="15" spans="1:13" x14ac:dyDescent="0.25">
      <c r="A15" s="6" t="s">
        <v>544</v>
      </c>
      <c r="C15" s="10">
        <v>24</v>
      </c>
      <c r="D15" s="10">
        <v>24</v>
      </c>
      <c r="E15" s="10">
        <v>24</v>
      </c>
      <c r="F15" s="10">
        <v>24</v>
      </c>
      <c r="G15" s="10">
        <v>24</v>
      </c>
      <c r="H15" s="10">
        <v>24</v>
      </c>
      <c r="I15" s="10">
        <v>24</v>
      </c>
      <c r="J15" s="10">
        <v>24</v>
      </c>
    </row>
    <row r="16" spans="1:13" x14ac:dyDescent="0.25">
      <c r="A16" s="7" t="s">
        <v>541</v>
      </c>
      <c r="B16" s="20">
        <v>6.0999999999999999E-2</v>
      </c>
      <c r="C16" s="10">
        <v>1</v>
      </c>
      <c r="D16" s="10">
        <v>1</v>
      </c>
      <c r="E16" s="10">
        <v>1</v>
      </c>
      <c r="F16" s="10">
        <v>1</v>
      </c>
      <c r="G16" s="10">
        <v>1</v>
      </c>
      <c r="H16" s="10">
        <v>1</v>
      </c>
      <c r="I16" s="10">
        <v>1</v>
      </c>
      <c r="J16" s="10">
        <v>1</v>
      </c>
    </row>
    <row r="17" spans="1:10" x14ac:dyDescent="0.25">
      <c r="A17" s="7" t="s">
        <v>542</v>
      </c>
      <c r="C17" s="20">
        <v>2E-3</v>
      </c>
      <c r="D17" s="20">
        <v>1E-3</v>
      </c>
      <c r="E17" s="20">
        <v>1E-3</v>
      </c>
      <c r="F17" s="20">
        <v>1E-3</v>
      </c>
      <c r="G17" s="20">
        <v>1E-3</v>
      </c>
      <c r="H17" s="20">
        <v>1E-3</v>
      </c>
      <c r="I17" s="20">
        <v>1E-3</v>
      </c>
      <c r="J17" s="20">
        <v>1E-3</v>
      </c>
    </row>
    <row r="18" spans="1:10" x14ac:dyDescent="0.25">
      <c r="A18" s="6" t="s">
        <v>543</v>
      </c>
      <c r="C18" s="28">
        <v>1E-3</v>
      </c>
    </row>
    <row r="19" spans="1:10" x14ac:dyDescent="0.25">
      <c r="A19" s="6" t="s">
        <v>545</v>
      </c>
      <c r="C19" s="10">
        <v>37</v>
      </c>
      <c r="D19" s="10">
        <v>37</v>
      </c>
      <c r="E19" s="10">
        <v>37</v>
      </c>
      <c r="F19" s="10">
        <v>37</v>
      </c>
      <c r="G19" s="10">
        <v>37</v>
      </c>
      <c r="H19" s="10">
        <v>37</v>
      </c>
      <c r="I19" s="10">
        <v>37</v>
      </c>
      <c r="J19" s="10">
        <v>37</v>
      </c>
    </row>
    <row r="20" spans="1:10" x14ac:dyDescent="0.25">
      <c r="A20" s="7" t="s">
        <v>541</v>
      </c>
      <c r="B20" s="20">
        <v>0.11</v>
      </c>
      <c r="C20" s="10">
        <v>4</v>
      </c>
      <c r="D20" s="10">
        <v>4</v>
      </c>
      <c r="E20" s="10">
        <v>4</v>
      </c>
      <c r="F20" s="10">
        <v>4</v>
      </c>
      <c r="G20" s="10">
        <v>4</v>
      </c>
      <c r="H20" s="10">
        <v>4</v>
      </c>
      <c r="I20" s="10">
        <v>4</v>
      </c>
      <c r="J20" s="10">
        <v>4</v>
      </c>
    </row>
    <row r="21" spans="1:10" x14ac:dyDescent="0.25">
      <c r="A21" s="7" t="s">
        <v>542</v>
      </c>
      <c r="C21" s="20">
        <v>4.0000000000000001E-3</v>
      </c>
      <c r="D21" s="20">
        <v>4.0000000000000001E-3</v>
      </c>
      <c r="E21" s="20">
        <v>4.0000000000000001E-3</v>
      </c>
      <c r="F21" s="20">
        <v>4.0000000000000001E-3</v>
      </c>
      <c r="G21" s="20">
        <v>4.0000000000000001E-3</v>
      </c>
      <c r="H21" s="20">
        <v>3.0000000000000001E-3</v>
      </c>
      <c r="I21" s="20">
        <v>3.0000000000000001E-3</v>
      </c>
      <c r="J21" s="20">
        <v>3.0000000000000001E-3</v>
      </c>
    </row>
    <row r="22" spans="1:10" x14ac:dyDescent="0.25">
      <c r="A22" s="6" t="s">
        <v>543</v>
      </c>
      <c r="C22" s="28">
        <v>4.0000000000000001E-3</v>
      </c>
    </row>
    <row r="23" spans="1:10" x14ac:dyDescent="0.25">
      <c r="A23" s="6" t="s">
        <v>572</v>
      </c>
      <c r="C23" s="28">
        <v>-5.0000000000000001E-3</v>
      </c>
    </row>
    <row r="24" spans="1:10" x14ac:dyDescent="0.25">
      <c r="A24" s="16" t="s">
        <v>61</v>
      </c>
    </row>
    <row r="25" spans="1:10" ht="16.5" x14ac:dyDescent="0.25">
      <c r="A25" s="4" t="s">
        <v>62</v>
      </c>
      <c r="C25" s="39" t="s">
        <v>63</v>
      </c>
    </row>
    <row r="26" spans="1:10" x14ac:dyDescent="0.25">
      <c r="B26" s="5" t="s">
        <v>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N41"/>
  <sheetViews>
    <sheetView workbookViewId="0"/>
  </sheetViews>
  <sheetFormatPr defaultRowHeight="15" x14ac:dyDescent="0.25"/>
  <cols>
    <col min="1" max="1" width="62.7109375" bestFit="1" customWidth="1"/>
    <col min="7" max="8" width="9.85546875" bestFit="1" customWidth="1"/>
  </cols>
  <sheetData>
    <row r="1" spans="1:14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573</v>
      </c>
    </row>
    <row r="3" spans="1:14" x14ac:dyDescent="0.25">
      <c r="A3" s="6" t="s">
        <v>9</v>
      </c>
    </row>
    <row r="4" spans="1:14" x14ac:dyDescent="0.25">
      <c r="A4" s="6" t="s">
        <v>545</v>
      </c>
    </row>
    <row r="5" spans="1:14" x14ac:dyDescent="0.25">
      <c r="A5" s="6" t="s">
        <v>11</v>
      </c>
    </row>
    <row r="6" spans="1:14" x14ac:dyDescent="0.25">
      <c r="A6" s="8" t="s">
        <v>574</v>
      </c>
    </row>
    <row r="7" spans="1:14" x14ac:dyDescent="0.25">
      <c r="B7" s="9" t="s">
        <v>492</v>
      </c>
    </row>
    <row r="8" spans="1:14" x14ac:dyDescent="0.25">
      <c r="B8" s="9" t="s">
        <v>575</v>
      </c>
      <c r="D8" s="9" t="s">
        <v>576</v>
      </c>
      <c r="E8" s="9" t="s">
        <v>577</v>
      </c>
      <c r="F8" s="9" t="s">
        <v>578</v>
      </c>
      <c r="H8" s="9" t="s">
        <v>579</v>
      </c>
      <c r="L8" s="9" t="s">
        <v>580</v>
      </c>
    </row>
    <row r="9" spans="1:14" x14ac:dyDescent="0.25">
      <c r="A9" s="9" t="s">
        <v>581</v>
      </c>
      <c r="B9" s="9" t="s">
        <v>582</v>
      </c>
      <c r="C9" s="9" t="s">
        <v>583</v>
      </c>
      <c r="D9" s="9" t="s">
        <v>584</v>
      </c>
      <c r="E9" s="9" t="s">
        <v>584</v>
      </c>
      <c r="G9" s="9" t="s">
        <v>585</v>
      </c>
      <c r="I9" s="9" t="s">
        <v>585</v>
      </c>
      <c r="J9" s="9" t="s">
        <v>586</v>
      </c>
      <c r="M9" s="9" t="s">
        <v>587</v>
      </c>
      <c r="N9" s="9" t="s">
        <v>588</v>
      </c>
    </row>
    <row r="10" spans="1:14" x14ac:dyDescent="0.25">
      <c r="B10" s="34" t="s">
        <v>589</v>
      </c>
      <c r="C10" s="34" t="s">
        <v>590</v>
      </c>
      <c r="D10" s="34" t="s">
        <v>591</v>
      </c>
      <c r="F10" s="34" t="s">
        <v>592</v>
      </c>
      <c r="H10" s="34" t="s">
        <v>63</v>
      </c>
      <c r="J10" s="34" t="s">
        <v>593</v>
      </c>
      <c r="L10" s="34" t="s">
        <v>594</v>
      </c>
    </row>
    <row r="11" spans="1:14" x14ac:dyDescent="0.25">
      <c r="A11" s="7" t="s">
        <v>595</v>
      </c>
      <c r="B11" s="14">
        <v>71628</v>
      </c>
      <c r="C11" s="20">
        <v>0.26800000000000002</v>
      </c>
      <c r="D11" s="14">
        <v>90824</v>
      </c>
      <c r="E11" s="14">
        <v>1747</v>
      </c>
      <c r="G11" s="14">
        <v>1072</v>
      </c>
      <c r="I11" s="7" t="s">
        <v>90</v>
      </c>
      <c r="K11" s="27">
        <v>4</v>
      </c>
      <c r="M11" s="20">
        <v>1</v>
      </c>
      <c r="N11" s="14">
        <v>6986</v>
      </c>
    </row>
    <row r="12" spans="1:14" x14ac:dyDescent="0.25">
      <c r="A12" s="7" t="s">
        <v>596</v>
      </c>
      <c r="B12" s="14">
        <v>103195</v>
      </c>
      <c r="C12" s="20">
        <v>0.23200000000000001</v>
      </c>
      <c r="D12" s="14">
        <v>127144</v>
      </c>
      <c r="E12" s="14">
        <v>2445</v>
      </c>
      <c r="G12" s="14">
        <v>1873</v>
      </c>
      <c r="I12" s="7" t="s">
        <v>90</v>
      </c>
      <c r="K12" s="27">
        <v>3</v>
      </c>
      <c r="M12" s="20">
        <v>1</v>
      </c>
      <c r="N12" s="14">
        <v>7335</v>
      </c>
    </row>
    <row r="13" spans="1:14" x14ac:dyDescent="0.25">
      <c r="A13" s="7" t="s">
        <v>597</v>
      </c>
      <c r="B13" s="14">
        <v>108300</v>
      </c>
      <c r="C13" s="20">
        <v>0.248</v>
      </c>
      <c r="D13" s="14">
        <v>135111</v>
      </c>
      <c r="E13" s="14">
        <v>2598</v>
      </c>
      <c r="G13" s="10">
        <v>604</v>
      </c>
      <c r="I13" s="7" t="s">
        <v>90</v>
      </c>
      <c r="K13" s="27">
        <v>3</v>
      </c>
      <c r="M13" s="20">
        <v>1</v>
      </c>
      <c r="N13" s="14">
        <v>7795</v>
      </c>
    </row>
    <row r="14" spans="1:14" x14ac:dyDescent="0.25">
      <c r="A14" s="7" t="s">
        <v>598</v>
      </c>
      <c r="B14" s="14">
        <v>123978</v>
      </c>
      <c r="C14" s="20">
        <v>0.25700000000000001</v>
      </c>
      <c r="D14" s="14">
        <v>155841</v>
      </c>
      <c r="E14" s="14">
        <v>2997</v>
      </c>
      <c r="G14" s="10">
        <v>699</v>
      </c>
      <c r="I14" s="7" t="s">
        <v>90</v>
      </c>
      <c r="K14" s="27">
        <v>4</v>
      </c>
      <c r="M14" s="20">
        <v>1</v>
      </c>
      <c r="N14" s="14">
        <v>11988</v>
      </c>
    </row>
    <row r="15" spans="1:14" x14ac:dyDescent="0.25">
      <c r="A15" s="7" t="s">
        <v>599</v>
      </c>
      <c r="B15" s="14">
        <v>23711</v>
      </c>
      <c r="C15" s="20">
        <v>0.192</v>
      </c>
      <c r="D15" s="14">
        <v>28263</v>
      </c>
      <c r="E15" s="10">
        <v>544</v>
      </c>
      <c r="G15" s="10">
        <v>699</v>
      </c>
      <c r="I15" s="7" t="s">
        <v>90</v>
      </c>
      <c r="K15" s="27">
        <v>8</v>
      </c>
      <c r="M15" s="20">
        <v>1</v>
      </c>
      <c r="N15" s="14">
        <v>4348</v>
      </c>
    </row>
    <row r="16" spans="1:14" x14ac:dyDescent="0.25">
      <c r="A16" s="7" t="s">
        <v>600</v>
      </c>
      <c r="B16" s="14">
        <v>192232</v>
      </c>
      <c r="C16" s="20">
        <v>0.22700000000000001</v>
      </c>
      <c r="D16" s="14">
        <v>235921</v>
      </c>
      <c r="E16" s="14">
        <v>4537</v>
      </c>
      <c r="G16" s="14">
        <v>9612</v>
      </c>
      <c r="I16" s="7" t="s">
        <v>90</v>
      </c>
      <c r="K16" s="27">
        <v>3</v>
      </c>
      <c r="M16" s="20">
        <v>1</v>
      </c>
      <c r="N16" s="14">
        <v>13611</v>
      </c>
    </row>
    <row r="17" spans="1:14" x14ac:dyDescent="0.25">
      <c r="A17" s="7" t="s">
        <v>601</v>
      </c>
      <c r="B17" s="14">
        <v>105045</v>
      </c>
      <c r="C17" s="20">
        <v>0.24299999999999999</v>
      </c>
      <c r="D17" s="14">
        <v>130600</v>
      </c>
      <c r="E17" s="14">
        <v>2512</v>
      </c>
      <c r="G17" s="10">
        <v>273</v>
      </c>
      <c r="I17" s="7" t="s">
        <v>90</v>
      </c>
      <c r="K17" s="27">
        <v>3</v>
      </c>
      <c r="M17" s="20">
        <v>1</v>
      </c>
      <c r="N17" s="14">
        <v>7535</v>
      </c>
    </row>
    <row r="18" spans="1:14" x14ac:dyDescent="0.25">
      <c r="A18" s="7" t="s">
        <v>602</v>
      </c>
      <c r="B18" s="14">
        <v>84562</v>
      </c>
      <c r="C18" s="20">
        <v>0.23200000000000001</v>
      </c>
      <c r="D18" s="14">
        <v>104148</v>
      </c>
      <c r="E18" s="14">
        <v>2003</v>
      </c>
      <c r="G18" s="14">
        <v>2042</v>
      </c>
      <c r="I18" s="7" t="s">
        <v>90</v>
      </c>
      <c r="K18" s="27">
        <v>4</v>
      </c>
      <c r="M18" s="20">
        <v>1</v>
      </c>
      <c r="N18" s="14">
        <v>8011</v>
      </c>
    </row>
    <row r="19" spans="1:14" x14ac:dyDescent="0.25">
      <c r="A19" s="7" t="s">
        <v>603</v>
      </c>
      <c r="B19" s="14">
        <v>172405</v>
      </c>
      <c r="C19" s="20">
        <v>0.245</v>
      </c>
      <c r="D19" s="14">
        <v>214664</v>
      </c>
      <c r="E19" s="14">
        <v>4128</v>
      </c>
      <c r="G19" s="10">
        <v>80</v>
      </c>
      <c r="I19" s="7" t="s">
        <v>90</v>
      </c>
      <c r="K19" s="27">
        <v>4</v>
      </c>
      <c r="M19" s="20">
        <v>1</v>
      </c>
      <c r="N19" s="14">
        <v>16513</v>
      </c>
    </row>
    <row r="20" spans="1:14" x14ac:dyDescent="0.25">
      <c r="A20" s="7" t="s">
        <v>604</v>
      </c>
      <c r="B20" s="14">
        <v>89798</v>
      </c>
      <c r="C20" s="20">
        <v>0.248</v>
      </c>
      <c r="D20" s="14">
        <v>112080</v>
      </c>
      <c r="E20" s="14">
        <v>2155</v>
      </c>
      <c r="G20" s="14">
        <v>2182</v>
      </c>
      <c r="K20" s="27">
        <v>4</v>
      </c>
      <c r="M20" s="20">
        <v>1</v>
      </c>
      <c r="N20" s="14">
        <v>8622</v>
      </c>
    </row>
    <row r="21" spans="1:14" x14ac:dyDescent="0.25">
      <c r="A21" s="9" t="s">
        <v>581</v>
      </c>
      <c r="B21" s="9" t="s">
        <v>605</v>
      </c>
      <c r="D21" s="9" t="s">
        <v>606</v>
      </c>
      <c r="E21" s="9" t="s">
        <v>607</v>
      </c>
      <c r="G21" s="9" t="s">
        <v>608</v>
      </c>
      <c r="H21" s="9" t="s">
        <v>609</v>
      </c>
    </row>
    <row r="22" spans="1:14" x14ac:dyDescent="0.25">
      <c r="B22" s="34" t="s">
        <v>610</v>
      </c>
      <c r="D22" s="34" t="s">
        <v>611</v>
      </c>
      <c r="E22" s="34" t="s">
        <v>612</v>
      </c>
      <c r="G22" s="34" t="s">
        <v>613</v>
      </c>
      <c r="H22" s="34" t="s">
        <v>614</v>
      </c>
    </row>
    <row r="23" spans="1:14" x14ac:dyDescent="0.25">
      <c r="A23" s="7" t="s">
        <v>595</v>
      </c>
      <c r="C23" s="10">
        <v>879</v>
      </c>
      <c r="D23" s="14">
        <v>942139</v>
      </c>
      <c r="F23" s="7" t="s">
        <v>90</v>
      </c>
      <c r="G23" s="14">
        <v>6141092</v>
      </c>
      <c r="H23" s="14">
        <v>7083230</v>
      </c>
    </row>
    <row r="24" spans="1:14" x14ac:dyDescent="0.25">
      <c r="A24" s="7" t="s">
        <v>596</v>
      </c>
      <c r="C24" s="10">
        <v>146</v>
      </c>
      <c r="D24" s="14">
        <v>273511</v>
      </c>
      <c r="F24" s="7" t="s">
        <v>90</v>
      </c>
      <c r="G24" s="14">
        <v>1070942</v>
      </c>
      <c r="H24" s="14">
        <v>1344453</v>
      </c>
    </row>
    <row r="25" spans="1:14" x14ac:dyDescent="0.25">
      <c r="A25" s="7" t="s">
        <v>597</v>
      </c>
      <c r="C25" s="10">
        <v>56</v>
      </c>
      <c r="D25" s="14">
        <v>33825</v>
      </c>
      <c r="F25" s="7" t="s">
        <v>90</v>
      </c>
      <c r="G25" s="14">
        <v>436511</v>
      </c>
      <c r="H25" s="14">
        <v>470336</v>
      </c>
    </row>
    <row r="26" spans="1:14" x14ac:dyDescent="0.25">
      <c r="A26" s="7" t="s">
        <v>598</v>
      </c>
      <c r="C26" s="10">
        <v>134</v>
      </c>
      <c r="D26" s="14">
        <v>93599</v>
      </c>
      <c r="F26" s="7" t="s">
        <v>90</v>
      </c>
      <c r="G26" s="14">
        <v>1606359</v>
      </c>
      <c r="H26" s="14">
        <v>1699958</v>
      </c>
    </row>
    <row r="27" spans="1:14" x14ac:dyDescent="0.25">
      <c r="A27" s="7" t="s">
        <v>599</v>
      </c>
      <c r="C27" s="10">
        <v>973</v>
      </c>
      <c r="D27" s="14">
        <v>679641</v>
      </c>
      <c r="F27" s="7" t="s">
        <v>90</v>
      </c>
      <c r="G27" s="14">
        <v>4230752</v>
      </c>
      <c r="H27" s="14">
        <v>4910393</v>
      </c>
    </row>
    <row r="28" spans="1:14" x14ac:dyDescent="0.25">
      <c r="A28" s="7" t="s">
        <v>600</v>
      </c>
      <c r="C28" s="10">
        <v>11</v>
      </c>
      <c r="D28" s="14">
        <v>105728</v>
      </c>
      <c r="F28" s="7" t="s">
        <v>90</v>
      </c>
      <c r="G28" s="14">
        <v>149719</v>
      </c>
      <c r="H28" s="14">
        <v>255446</v>
      </c>
    </row>
    <row r="29" spans="1:14" x14ac:dyDescent="0.25">
      <c r="A29" s="7" t="s">
        <v>601</v>
      </c>
      <c r="C29" s="10">
        <v>65</v>
      </c>
      <c r="D29" s="14">
        <v>17713</v>
      </c>
      <c r="F29" s="7" t="s">
        <v>90</v>
      </c>
      <c r="G29" s="14">
        <v>489750</v>
      </c>
      <c r="H29" s="14">
        <v>507463</v>
      </c>
    </row>
    <row r="30" spans="1:14" x14ac:dyDescent="0.25">
      <c r="A30" s="7" t="s">
        <v>602</v>
      </c>
      <c r="C30" s="14">
        <v>1252</v>
      </c>
      <c r="D30" s="14">
        <v>2555996</v>
      </c>
      <c r="F30" s="7" t="s">
        <v>90</v>
      </c>
      <c r="G30" s="14">
        <v>10030226</v>
      </c>
      <c r="H30" s="14">
        <v>12586221</v>
      </c>
    </row>
    <row r="31" spans="1:14" x14ac:dyDescent="0.25">
      <c r="A31" s="7" t="s">
        <v>603</v>
      </c>
      <c r="C31" s="10">
        <v>17</v>
      </c>
      <c r="D31" s="14">
        <v>1366</v>
      </c>
      <c r="F31" s="7" t="s">
        <v>90</v>
      </c>
      <c r="G31" s="14">
        <v>280714</v>
      </c>
      <c r="H31" s="14">
        <v>282081</v>
      </c>
    </row>
    <row r="32" spans="1:14" x14ac:dyDescent="0.25">
      <c r="A32" s="7" t="s">
        <v>604</v>
      </c>
      <c r="C32" s="10">
        <v>687</v>
      </c>
      <c r="D32" s="14">
        <v>1498849</v>
      </c>
      <c r="G32" s="14">
        <v>5923016</v>
      </c>
      <c r="H32" s="14">
        <v>7421865</v>
      </c>
    </row>
    <row r="33" spans="1:9" x14ac:dyDescent="0.25">
      <c r="A33" s="6" t="s">
        <v>299</v>
      </c>
      <c r="C33" s="14">
        <v>4220</v>
      </c>
    </row>
    <row r="34" spans="1:9" x14ac:dyDescent="0.25">
      <c r="A34" s="6" t="s">
        <v>615</v>
      </c>
      <c r="H34" s="14">
        <v>36561446</v>
      </c>
    </row>
    <row r="35" spans="1:9" x14ac:dyDescent="0.25">
      <c r="A35" s="6" t="s">
        <v>529</v>
      </c>
      <c r="H35" s="10">
        <v>37</v>
      </c>
    </row>
    <row r="36" spans="1:9" x14ac:dyDescent="0.25">
      <c r="A36" s="7" t="s">
        <v>616</v>
      </c>
      <c r="H36" s="12">
        <v>8664</v>
      </c>
    </row>
    <row r="37" spans="1:9" x14ac:dyDescent="0.25">
      <c r="A37" s="8" t="s">
        <v>127</v>
      </c>
    </row>
    <row r="38" spans="1:9" x14ac:dyDescent="0.25">
      <c r="A38" s="7" t="s">
        <v>227</v>
      </c>
    </row>
    <row r="39" spans="1:9" x14ac:dyDescent="0.25">
      <c r="A39" s="16" t="s">
        <v>61</v>
      </c>
    </row>
    <row r="40" spans="1:9" x14ac:dyDescent="0.25">
      <c r="A40" s="9" t="s">
        <v>62</v>
      </c>
      <c r="I40" s="17" t="s">
        <v>63</v>
      </c>
    </row>
    <row r="41" spans="1:9" x14ac:dyDescent="0.25">
      <c r="G41" s="5" t="s">
        <v>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t="e">
        <f>-C0/C0</f>
        <v>#NAME?</v>
      </c>
      <c r="D1" s="61" t="e">
        <f>-D0/D0</f>
        <v>#NAME?</v>
      </c>
      <c r="E1" s="61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s="62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s="61" t="e">
        <f>D1-D0</f>
        <v>#NAME?</v>
      </c>
      <c r="E2" s="61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62" t="e">
        <f>K1-K0</f>
        <v>#NAME?</v>
      </c>
      <c r="L2" s="7" t="s">
        <v>848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617</v>
      </c>
    </row>
    <row r="5" spans="1:13" x14ac:dyDescent="0.25">
      <c r="A5" s="6" t="s">
        <v>11</v>
      </c>
    </row>
    <row r="6" spans="1:13" x14ac:dyDescent="0.25">
      <c r="D6" s="9" t="s">
        <v>95</v>
      </c>
      <c r="H6" s="9" t="s">
        <v>96</v>
      </c>
    </row>
    <row r="7" spans="1:13" x14ac:dyDescent="0.25">
      <c r="A7" s="8" t="s">
        <v>12</v>
      </c>
      <c r="B7" s="16" t="s">
        <v>127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C9" s="10">
        <v>298</v>
      </c>
      <c r="D9" s="10">
        <v>74</v>
      </c>
      <c r="E9" s="10">
        <v>312</v>
      </c>
      <c r="F9" s="10">
        <v>323</v>
      </c>
      <c r="G9" s="10">
        <v>333</v>
      </c>
      <c r="H9" s="10">
        <v>346</v>
      </c>
      <c r="I9" s="10">
        <v>359</v>
      </c>
      <c r="J9" s="10">
        <v>371</v>
      </c>
      <c r="K9" s="10">
        <v>384</v>
      </c>
    </row>
    <row r="10" spans="1:13" x14ac:dyDescent="0.25">
      <c r="A10" s="7" t="s">
        <v>620</v>
      </c>
      <c r="D10" s="19">
        <v>-45</v>
      </c>
      <c r="E10" s="19">
        <v>-189</v>
      </c>
      <c r="F10" s="19">
        <v>-187</v>
      </c>
      <c r="G10" s="19">
        <v>-188</v>
      </c>
      <c r="H10" s="19">
        <v>-194</v>
      </c>
      <c r="I10" s="19">
        <v>-197</v>
      </c>
      <c r="J10" s="19">
        <v>-200</v>
      </c>
      <c r="K10" s="19">
        <v>-203</v>
      </c>
    </row>
    <row r="11" spans="1:13" x14ac:dyDescent="0.25">
      <c r="A11" s="7" t="s">
        <v>621</v>
      </c>
      <c r="D11" s="10">
        <v>30</v>
      </c>
      <c r="E11" s="10">
        <v>123</v>
      </c>
      <c r="F11" s="10">
        <v>137</v>
      </c>
      <c r="G11" s="10">
        <v>146</v>
      </c>
      <c r="H11" s="10">
        <v>151</v>
      </c>
      <c r="I11" s="10">
        <v>161</v>
      </c>
      <c r="J11" s="10">
        <v>171</v>
      </c>
      <c r="K11" s="10">
        <v>181</v>
      </c>
    </row>
    <row r="12" spans="1:13" x14ac:dyDescent="0.25">
      <c r="A12" s="7" t="s">
        <v>622</v>
      </c>
      <c r="D12" s="19">
        <v>-3</v>
      </c>
      <c r="E12" s="19">
        <v>-10</v>
      </c>
      <c r="F12" s="19">
        <v>-11</v>
      </c>
      <c r="G12" s="19">
        <v>-17</v>
      </c>
      <c r="H12" s="19">
        <v>-19</v>
      </c>
      <c r="I12" s="19">
        <v>-19</v>
      </c>
      <c r="J12" s="19">
        <v>-19</v>
      </c>
      <c r="K12" s="19">
        <v>-19</v>
      </c>
    </row>
    <row r="13" spans="1:13" x14ac:dyDescent="0.25">
      <c r="A13" s="7" t="s">
        <v>209</v>
      </c>
      <c r="D13" s="10">
        <v>27</v>
      </c>
      <c r="E13" s="10">
        <v>113</v>
      </c>
      <c r="F13" s="10">
        <v>125</v>
      </c>
      <c r="G13" s="10">
        <v>129</v>
      </c>
      <c r="H13" s="10">
        <v>132</v>
      </c>
      <c r="I13" s="10">
        <v>142</v>
      </c>
      <c r="J13" s="10">
        <v>152</v>
      </c>
      <c r="K13" s="10">
        <v>162</v>
      </c>
    </row>
    <row r="14" spans="1:13" x14ac:dyDescent="0.25">
      <c r="A14" s="7" t="s">
        <v>623</v>
      </c>
      <c r="C14" s="20">
        <v>0.39500000000000002</v>
      </c>
      <c r="D14" s="19">
        <v>-11</v>
      </c>
      <c r="E14" s="19">
        <v>-45</v>
      </c>
      <c r="F14" s="19">
        <v>-50</v>
      </c>
      <c r="G14" s="19">
        <v>-51</v>
      </c>
      <c r="H14" s="19">
        <v>-52</v>
      </c>
      <c r="I14" s="19">
        <v>-56</v>
      </c>
      <c r="J14" s="19">
        <v>-60</v>
      </c>
      <c r="K14" s="19">
        <v>-64</v>
      </c>
    </row>
    <row r="15" spans="1:13" x14ac:dyDescent="0.25">
      <c r="A15" s="7" t="s">
        <v>624</v>
      </c>
      <c r="D15" s="10">
        <v>16</v>
      </c>
      <c r="E15" s="10">
        <v>68</v>
      </c>
      <c r="F15" s="10">
        <v>76</v>
      </c>
      <c r="G15" s="10">
        <v>78</v>
      </c>
      <c r="H15" s="10">
        <v>80</v>
      </c>
      <c r="I15" s="10">
        <v>86</v>
      </c>
      <c r="J15" s="10">
        <v>92</v>
      </c>
      <c r="K15" s="10">
        <v>98</v>
      </c>
    </row>
    <row r="16" spans="1:13" x14ac:dyDescent="0.25">
      <c r="A16" s="7" t="s">
        <v>111</v>
      </c>
      <c r="D16" s="10">
        <v>3</v>
      </c>
      <c r="E16" s="10">
        <v>10</v>
      </c>
      <c r="F16" s="10">
        <v>11</v>
      </c>
      <c r="G16" s="10">
        <v>17</v>
      </c>
      <c r="H16" s="10">
        <v>19</v>
      </c>
      <c r="I16" s="10">
        <v>19</v>
      </c>
      <c r="J16" s="10">
        <v>19</v>
      </c>
      <c r="K16" s="10">
        <v>19</v>
      </c>
    </row>
    <row r="17" spans="1:11" x14ac:dyDescent="0.25">
      <c r="A17" s="7" t="s">
        <v>625</v>
      </c>
      <c r="D17" s="23">
        <v>0.9</v>
      </c>
      <c r="E17" s="10">
        <v>1</v>
      </c>
      <c r="F17" s="10">
        <v>2</v>
      </c>
      <c r="G17" s="10">
        <v>2</v>
      </c>
      <c r="H17" s="10">
        <v>2</v>
      </c>
      <c r="I17" s="10">
        <v>2</v>
      </c>
      <c r="J17" s="10">
        <v>2</v>
      </c>
      <c r="K17" s="10">
        <v>2</v>
      </c>
    </row>
    <row r="18" spans="1:11" x14ac:dyDescent="0.25">
      <c r="A18" s="7" t="s">
        <v>113</v>
      </c>
      <c r="D18" s="19">
        <v>-5</v>
      </c>
      <c r="E18" s="19">
        <v>-19</v>
      </c>
      <c r="F18" s="19">
        <v>-19</v>
      </c>
      <c r="G18" s="19">
        <v>-19</v>
      </c>
      <c r="H18" s="19">
        <v>-19</v>
      </c>
      <c r="I18" s="19">
        <v>-19</v>
      </c>
      <c r="J18" s="19">
        <v>-19</v>
      </c>
      <c r="K18" s="19">
        <v>-19</v>
      </c>
    </row>
    <row r="19" spans="1:11" x14ac:dyDescent="0.25">
      <c r="A19" s="7" t="s">
        <v>626</v>
      </c>
      <c r="D19" s="10">
        <v>15</v>
      </c>
      <c r="E19" s="10">
        <v>61</v>
      </c>
      <c r="F19" s="10">
        <v>69</v>
      </c>
      <c r="G19" s="10">
        <v>77</v>
      </c>
      <c r="H19" s="10">
        <v>82</v>
      </c>
      <c r="I19" s="10">
        <v>88</v>
      </c>
      <c r="J19" s="10">
        <v>94</v>
      </c>
      <c r="K19" s="10">
        <v>100</v>
      </c>
    </row>
    <row r="20" spans="1:11" x14ac:dyDescent="0.25">
      <c r="A20" s="6" t="s">
        <v>627</v>
      </c>
    </row>
    <row r="21" spans="1:11" x14ac:dyDescent="0.25">
      <c r="A21" s="7" t="s">
        <v>628</v>
      </c>
      <c r="E21" s="20">
        <v>2.4E-2</v>
      </c>
      <c r="F21" s="20">
        <v>3.5999999999999997E-2</v>
      </c>
      <c r="G21" s="20">
        <v>3.1E-2</v>
      </c>
      <c r="H21" s="20">
        <v>3.5999999999999997E-2</v>
      </c>
      <c r="I21" s="20">
        <v>3.7999999999999999E-2</v>
      </c>
      <c r="J21" s="20">
        <v>3.5999999999999997E-2</v>
      </c>
      <c r="K21" s="20">
        <v>3.4000000000000002E-2</v>
      </c>
    </row>
    <row r="22" spans="1:11" x14ac:dyDescent="0.25">
      <c r="A22" s="7" t="s">
        <v>629</v>
      </c>
      <c r="D22" s="20">
        <v>0.39800000000000002</v>
      </c>
      <c r="E22" s="20">
        <v>0.39500000000000002</v>
      </c>
      <c r="F22" s="20">
        <v>0.42299999999999999</v>
      </c>
      <c r="G22" s="20">
        <v>0.437</v>
      </c>
      <c r="H22" s="20">
        <v>0.438</v>
      </c>
      <c r="I22" s="20">
        <v>0.45</v>
      </c>
      <c r="J22" s="20">
        <v>0.46100000000000002</v>
      </c>
      <c r="K22" s="20">
        <v>0.47099999999999997</v>
      </c>
    </row>
    <row r="23" spans="1:11" x14ac:dyDescent="0.25">
      <c r="A23" s="7" t="s">
        <v>622</v>
      </c>
      <c r="D23" s="20">
        <v>3.5999999999999997E-2</v>
      </c>
      <c r="E23" s="20">
        <v>3.4000000000000002E-2</v>
      </c>
      <c r="F23" s="20">
        <v>3.5000000000000003E-2</v>
      </c>
      <c r="G23" s="20">
        <v>0.05</v>
      </c>
      <c r="H23" s="20">
        <v>5.5E-2</v>
      </c>
      <c r="I23" s="20">
        <v>5.2999999999999999E-2</v>
      </c>
      <c r="J23" s="20">
        <v>5.0999999999999997E-2</v>
      </c>
      <c r="K23" s="20">
        <v>4.9000000000000002E-2</v>
      </c>
    </row>
    <row r="24" spans="1:11" x14ac:dyDescent="0.25">
      <c r="A24" s="7" t="s">
        <v>630</v>
      </c>
      <c r="D24" s="20">
        <v>-0.14000000000000001</v>
      </c>
      <c r="E24" s="20">
        <v>-0.14799999999999999</v>
      </c>
      <c r="F24" s="20">
        <v>-0.158</v>
      </c>
      <c r="G24" s="20">
        <v>-0.16300000000000001</v>
      </c>
      <c r="H24" s="20">
        <v>-0.16700000000000001</v>
      </c>
      <c r="I24" s="20">
        <v>-0.16700000000000001</v>
      </c>
      <c r="J24" s="20">
        <v>-0.16700000000000001</v>
      </c>
      <c r="K24" s="20">
        <v>-0.16700000000000001</v>
      </c>
    </row>
    <row r="25" spans="1:11" x14ac:dyDescent="0.25">
      <c r="A25" s="7" t="s">
        <v>631</v>
      </c>
      <c r="D25" s="20">
        <v>6.4000000000000001E-2</v>
      </c>
      <c r="E25" s="20">
        <v>6.2E-2</v>
      </c>
      <c r="F25" s="20">
        <v>0.06</v>
      </c>
      <c r="G25" s="20">
        <v>5.7000000000000002E-2</v>
      </c>
      <c r="H25" s="20">
        <v>5.5E-2</v>
      </c>
      <c r="I25" s="20">
        <v>5.2999999999999999E-2</v>
      </c>
      <c r="J25" s="20">
        <v>5.0999999999999997E-2</v>
      </c>
      <c r="K25" s="20">
        <v>0.05</v>
      </c>
    </row>
    <row r="26" spans="1:11" x14ac:dyDescent="0.25">
      <c r="A26" s="6" t="s">
        <v>632</v>
      </c>
    </row>
    <row r="27" spans="1:11" x14ac:dyDescent="0.25">
      <c r="A27" s="7" t="s">
        <v>633</v>
      </c>
      <c r="D27" s="40">
        <v>0.107</v>
      </c>
      <c r="E27" s="40">
        <v>0.53600000000000003</v>
      </c>
      <c r="F27" s="40">
        <v>0.96399999999999997</v>
      </c>
      <c r="G27" s="40">
        <v>1</v>
      </c>
      <c r="H27" s="40">
        <v>1</v>
      </c>
      <c r="I27" s="40">
        <v>1</v>
      </c>
      <c r="J27" s="40">
        <v>1</v>
      </c>
      <c r="K27" s="40">
        <v>1</v>
      </c>
    </row>
    <row r="28" spans="1:11" x14ac:dyDescent="0.25">
      <c r="A28" s="7" t="s">
        <v>634</v>
      </c>
      <c r="D28" s="10">
        <v>8</v>
      </c>
      <c r="E28" s="10">
        <v>167</v>
      </c>
      <c r="F28" s="10">
        <v>312</v>
      </c>
      <c r="G28" s="10">
        <v>333</v>
      </c>
      <c r="H28" s="10">
        <v>346</v>
      </c>
      <c r="I28" s="10">
        <v>359</v>
      </c>
      <c r="J28" s="10">
        <v>371</v>
      </c>
      <c r="K28" s="10">
        <v>384</v>
      </c>
    </row>
    <row r="29" spans="1:11" x14ac:dyDescent="0.25">
      <c r="A29" s="7" t="s">
        <v>635</v>
      </c>
      <c r="D29" s="19">
        <v>-36</v>
      </c>
      <c r="E29" s="19">
        <v>-151</v>
      </c>
      <c r="F29" s="19">
        <v>-149</v>
      </c>
      <c r="G29" s="19">
        <v>-150</v>
      </c>
      <c r="H29" s="19">
        <v>-155</v>
      </c>
      <c r="I29" s="19">
        <v>-158</v>
      </c>
      <c r="J29" s="19">
        <v>-160</v>
      </c>
      <c r="K29" s="19">
        <v>-162</v>
      </c>
    </row>
    <row r="30" spans="1:11" x14ac:dyDescent="0.25">
      <c r="A30" s="7" t="s">
        <v>636</v>
      </c>
      <c r="D30" s="19">
        <v>-1</v>
      </c>
      <c r="E30" s="19">
        <v>-20</v>
      </c>
      <c r="F30" s="19">
        <v>-36</v>
      </c>
      <c r="G30" s="19">
        <v>-38</v>
      </c>
      <c r="H30" s="19">
        <v>-39</v>
      </c>
      <c r="I30" s="19">
        <v>-39</v>
      </c>
      <c r="J30" s="19">
        <v>-40</v>
      </c>
      <c r="K30" s="19">
        <v>-41</v>
      </c>
    </row>
    <row r="31" spans="1:11" x14ac:dyDescent="0.25">
      <c r="A31" s="7" t="s">
        <v>637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  <c r="K31" s="7" t="s">
        <v>90</v>
      </c>
    </row>
    <row r="32" spans="1:11" x14ac:dyDescent="0.25">
      <c r="A32" s="6" t="s">
        <v>621</v>
      </c>
      <c r="D32" s="31">
        <v>-29</v>
      </c>
      <c r="E32" s="31">
        <v>-4</v>
      </c>
      <c r="F32" s="13">
        <v>126</v>
      </c>
      <c r="G32" s="13">
        <v>146</v>
      </c>
      <c r="H32" s="13">
        <v>151</v>
      </c>
      <c r="I32" s="13">
        <v>161</v>
      </c>
      <c r="J32" s="13">
        <v>171</v>
      </c>
      <c r="K32" s="13">
        <v>181</v>
      </c>
    </row>
    <row r="33" spans="1:13" x14ac:dyDescent="0.25">
      <c r="A33" s="11" t="s">
        <v>638</v>
      </c>
      <c r="D33" s="41">
        <v>58</v>
      </c>
      <c r="E33" s="41">
        <v>127</v>
      </c>
      <c r="F33" s="41">
        <v>10</v>
      </c>
      <c r="G33" s="11" t="s">
        <v>90</v>
      </c>
      <c r="H33" s="11" t="s">
        <v>90</v>
      </c>
      <c r="I33" s="11" t="s">
        <v>90</v>
      </c>
      <c r="J33" s="11" t="s">
        <v>90</v>
      </c>
      <c r="K33" s="11" t="s">
        <v>90</v>
      </c>
    </row>
    <row r="34" spans="1:13" x14ac:dyDescent="0.25">
      <c r="A34" s="7" t="s">
        <v>622</v>
      </c>
      <c r="D34" s="19">
        <v>0</v>
      </c>
      <c r="E34" s="19">
        <v>-6</v>
      </c>
      <c r="F34" s="19">
        <v>-11</v>
      </c>
      <c r="G34" s="19">
        <v>-17</v>
      </c>
      <c r="H34" s="19">
        <v>-19</v>
      </c>
      <c r="I34" s="19">
        <v>-19</v>
      </c>
      <c r="J34" s="19">
        <v>-19</v>
      </c>
      <c r="K34" s="19">
        <v>-19</v>
      </c>
    </row>
    <row r="35" spans="1:13" x14ac:dyDescent="0.25">
      <c r="A35" s="6" t="s">
        <v>209</v>
      </c>
      <c r="D35" s="31">
        <v>-29</v>
      </c>
      <c r="E35" s="31">
        <v>-10</v>
      </c>
      <c r="F35" s="13">
        <v>116</v>
      </c>
      <c r="G35" s="13">
        <v>129</v>
      </c>
      <c r="H35" s="13">
        <v>132</v>
      </c>
      <c r="I35" s="13">
        <v>142</v>
      </c>
      <c r="J35" s="13">
        <v>152</v>
      </c>
      <c r="K35" s="13">
        <v>162</v>
      </c>
    </row>
    <row r="36" spans="1:13" x14ac:dyDescent="0.25">
      <c r="A36" s="7" t="s">
        <v>212</v>
      </c>
      <c r="C36" s="20">
        <v>0.39500000000000002</v>
      </c>
      <c r="D36" s="10">
        <v>11</v>
      </c>
      <c r="E36" s="10">
        <v>4</v>
      </c>
      <c r="F36" s="19">
        <v>-46</v>
      </c>
      <c r="G36" s="19">
        <v>-51</v>
      </c>
      <c r="H36" s="19">
        <v>-52</v>
      </c>
      <c r="I36" s="19">
        <v>-56</v>
      </c>
      <c r="J36" s="19">
        <v>-60</v>
      </c>
      <c r="K36" s="19">
        <v>-64</v>
      </c>
    </row>
    <row r="37" spans="1:13" x14ac:dyDescent="0.25">
      <c r="A37" s="7" t="s">
        <v>821</v>
      </c>
      <c r="C37" s="20" t="e">
        <f>C0*B36</f>
        <v>#NAME?</v>
      </c>
      <c r="D37" s="10" t="e">
        <f>D0*B36</f>
        <v>#NAME?</v>
      </c>
      <c r="E37" s="10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s="19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C38" s="20" t="e">
        <f t="shared" ref="C38:M38" si="0">C37-C36</f>
        <v>#NAME?</v>
      </c>
      <c r="D38" s="10" t="e">
        <f t="shared" si="0"/>
        <v>#NAME?</v>
      </c>
      <c r="E38" s="10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s="19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C39" s="20"/>
      <c r="D39" s="10"/>
      <c r="E39" s="10"/>
      <c r="F39" s="19"/>
      <c r="G39" s="19"/>
      <c r="H39" s="19"/>
      <c r="I39" s="19"/>
      <c r="J39" s="19"/>
      <c r="K39" s="19"/>
    </row>
    <row r="40" spans="1:13" x14ac:dyDescent="0.25">
      <c r="A40" s="6" t="s">
        <v>213</v>
      </c>
      <c r="D40" s="31">
        <v>-18</v>
      </c>
      <c r="E40" s="31">
        <v>-6</v>
      </c>
      <c r="F40" s="13">
        <v>70</v>
      </c>
      <c r="G40" s="13">
        <v>78</v>
      </c>
      <c r="H40" s="13">
        <v>80</v>
      </c>
      <c r="I40" s="13">
        <v>86</v>
      </c>
      <c r="J40" s="13">
        <v>92</v>
      </c>
      <c r="K40" s="13">
        <v>98</v>
      </c>
    </row>
    <row r="41" spans="1:13" x14ac:dyDescent="0.25">
      <c r="A41" s="6" t="s">
        <v>819</v>
      </c>
      <c r="C41" s="60" t="e">
        <f>C0-C36</f>
        <v>#NAME?</v>
      </c>
      <c r="D41" s="31" t="e">
        <f>D0-D36</f>
        <v>#NAME?</v>
      </c>
      <c r="E41" s="31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s="13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60" t="e">
        <f t="shared" ref="C42:M42" si="1">C41-C40</f>
        <v>#NAME?</v>
      </c>
      <c r="D42" s="31" t="e">
        <f t="shared" si="1"/>
        <v>#NAME?</v>
      </c>
      <c r="E42" s="31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s="13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D43" s="31"/>
      <c r="E43" s="31"/>
      <c r="F43" s="13"/>
      <c r="G43" s="13"/>
      <c r="H43" s="13"/>
      <c r="I43" s="13"/>
      <c r="J43" s="13"/>
      <c r="K43" s="13"/>
    </row>
    <row r="44" spans="1:13" x14ac:dyDescent="0.25">
      <c r="A44" s="7" t="s">
        <v>111</v>
      </c>
      <c r="D44" s="10">
        <v>0</v>
      </c>
      <c r="E44" s="10">
        <v>6</v>
      </c>
      <c r="F44" s="10">
        <v>11</v>
      </c>
      <c r="G44" s="10">
        <v>17</v>
      </c>
      <c r="H44" s="10">
        <v>19</v>
      </c>
      <c r="I44" s="10">
        <v>19</v>
      </c>
      <c r="J44" s="10">
        <v>19</v>
      </c>
      <c r="K44" s="10">
        <v>19</v>
      </c>
    </row>
    <row r="45" spans="1:13" x14ac:dyDescent="0.25">
      <c r="A45" s="7" t="s">
        <v>625</v>
      </c>
      <c r="D45" s="10">
        <v>1</v>
      </c>
      <c r="E45" s="10">
        <v>20</v>
      </c>
      <c r="F45" s="10">
        <v>23</v>
      </c>
      <c r="G45" s="10">
        <v>4</v>
      </c>
      <c r="H45" s="10">
        <v>2</v>
      </c>
      <c r="I45" s="10">
        <v>2</v>
      </c>
      <c r="J45" s="10">
        <v>2</v>
      </c>
      <c r="K45" s="10">
        <v>2</v>
      </c>
    </row>
    <row r="46" spans="1:13" x14ac:dyDescent="0.25">
      <c r="A46" s="7" t="s">
        <v>113</v>
      </c>
      <c r="D46" s="19">
        <v>-1</v>
      </c>
      <c r="E46" s="19">
        <v>-10</v>
      </c>
      <c r="F46" s="19">
        <v>-19</v>
      </c>
      <c r="G46" s="19">
        <v>-19</v>
      </c>
      <c r="H46" s="19">
        <v>-19</v>
      </c>
      <c r="I46" s="19">
        <v>-19</v>
      </c>
      <c r="J46" s="19">
        <v>-19</v>
      </c>
      <c r="K46" s="19">
        <v>-19</v>
      </c>
    </row>
    <row r="47" spans="1:13" x14ac:dyDescent="0.25">
      <c r="A47" s="6" t="s">
        <v>639</v>
      </c>
      <c r="D47" s="31">
        <v>-17</v>
      </c>
      <c r="E47" s="13">
        <v>9</v>
      </c>
      <c r="F47" s="13">
        <v>85</v>
      </c>
      <c r="G47" s="13">
        <v>79</v>
      </c>
      <c r="H47" s="13">
        <v>82</v>
      </c>
      <c r="I47" s="13">
        <v>88</v>
      </c>
      <c r="J47" s="13">
        <v>94</v>
      </c>
      <c r="K47" s="13">
        <v>100</v>
      </c>
    </row>
    <row r="48" spans="1:13" x14ac:dyDescent="0.25">
      <c r="A48" s="6" t="s">
        <v>640</v>
      </c>
      <c r="D48" s="10">
        <v>15</v>
      </c>
      <c r="E48" s="10">
        <v>61</v>
      </c>
      <c r="F48" s="10">
        <v>69</v>
      </c>
      <c r="G48" s="10">
        <v>77</v>
      </c>
      <c r="H48" s="10">
        <v>82</v>
      </c>
      <c r="I48" s="10">
        <v>88</v>
      </c>
      <c r="J48" s="10">
        <v>94</v>
      </c>
      <c r="K48" s="10">
        <v>100</v>
      </c>
    </row>
    <row r="49" spans="1:13" x14ac:dyDescent="0.25">
      <c r="A49" s="6" t="s">
        <v>641</v>
      </c>
      <c r="D49" s="19">
        <v>-17</v>
      </c>
      <c r="E49" s="10">
        <v>9</v>
      </c>
      <c r="F49" s="10">
        <v>85</v>
      </c>
      <c r="G49" s="10">
        <v>79</v>
      </c>
      <c r="H49" s="10">
        <v>82</v>
      </c>
      <c r="I49" s="10">
        <v>88</v>
      </c>
      <c r="J49" s="10">
        <v>94</v>
      </c>
      <c r="K49" s="10">
        <v>100</v>
      </c>
    </row>
    <row r="50" spans="1:13" x14ac:dyDescent="0.25">
      <c r="A50" s="6" t="s">
        <v>642</v>
      </c>
      <c r="D50" s="13">
        <v>32</v>
      </c>
      <c r="E50" s="13">
        <v>51</v>
      </c>
      <c r="F50" s="31">
        <v>-15</v>
      </c>
      <c r="G50" s="31">
        <v>-2</v>
      </c>
      <c r="H50" s="6" t="s">
        <v>90</v>
      </c>
      <c r="I50" s="6" t="s">
        <v>90</v>
      </c>
      <c r="J50" s="6" t="s">
        <v>90</v>
      </c>
      <c r="K50" s="6" t="s">
        <v>90</v>
      </c>
    </row>
    <row r="51" spans="1:13" x14ac:dyDescent="0.25">
      <c r="A51" s="7" t="s">
        <v>115</v>
      </c>
      <c r="C51" s="20">
        <v>0.11</v>
      </c>
      <c r="D51" s="23">
        <v>0.98740000000000006</v>
      </c>
      <c r="E51" s="23">
        <v>0.92530000000000001</v>
      </c>
      <c r="F51" s="23">
        <v>0.83360000000000001</v>
      </c>
      <c r="G51" s="24">
        <v>0.751</v>
      </c>
      <c r="H51" s="23">
        <v>0.67659999999999998</v>
      </c>
      <c r="I51" s="23">
        <v>0.60950000000000004</v>
      </c>
      <c r="J51" s="23">
        <v>0.54910000000000003</v>
      </c>
      <c r="K51" s="23">
        <v>0.49469999999999997</v>
      </c>
    </row>
    <row r="52" spans="1:13" x14ac:dyDescent="0.25">
      <c r="A52" s="6" t="s">
        <v>116</v>
      </c>
      <c r="D52" s="13">
        <v>31</v>
      </c>
      <c r="E52" s="13">
        <v>47</v>
      </c>
      <c r="F52" s="31">
        <v>-13</v>
      </c>
      <c r="G52" s="31">
        <v>-1</v>
      </c>
      <c r="H52" s="6" t="s">
        <v>90</v>
      </c>
      <c r="I52" s="6" t="s">
        <v>90</v>
      </c>
      <c r="J52" s="6" t="s">
        <v>90</v>
      </c>
      <c r="K52" s="6" t="s">
        <v>90</v>
      </c>
    </row>
    <row r="53" spans="1:13" x14ac:dyDescent="0.25">
      <c r="A53" s="6" t="s">
        <v>822</v>
      </c>
      <c r="C53" t="e">
        <f>C0*C51</f>
        <v>#NAME?</v>
      </c>
      <c r="D53" s="13" t="e">
        <f>D0*D51</f>
        <v>#NAME?</v>
      </c>
      <c r="E53" s="13" t="e">
        <f>E0*E51</f>
        <v>#NAME?</v>
      </c>
      <c r="F53" s="31" t="e">
        <f>F0*F51</f>
        <v>#NAME?</v>
      </c>
      <c r="G53" s="31" t="e">
        <f>G0*G51</f>
        <v>#NAME?</v>
      </c>
      <c r="H53" s="6" t="s">
        <v>808</v>
      </c>
      <c r="I53" s="6" t="s">
        <v>809</v>
      </c>
      <c r="J53" s="6" t="s">
        <v>810</v>
      </c>
      <c r="K53" s="6" t="s">
        <v>811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t="e">
        <f>C53-C52</f>
        <v>#NAME?</v>
      </c>
      <c r="D54" s="13" t="e">
        <f>D53-D52</f>
        <v>#NAME?</v>
      </c>
      <c r="E54" s="13" t="e">
        <f>E53-E52</f>
        <v>#NAME?</v>
      </c>
      <c r="F54" s="31" t="e">
        <f>F53-F52</f>
        <v>#NAME?</v>
      </c>
      <c r="G54" s="31" t="e">
        <f>G53-G52</f>
        <v>#NAME?</v>
      </c>
      <c r="H54" s="6" t="s">
        <v>844</v>
      </c>
      <c r="I54" s="6" t="s">
        <v>845</v>
      </c>
      <c r="J54" s="6" t="s">
        <v>846</v>
      </c>
      <c r="K54" s="6" t="s">
        <v>847</v>
      </c>
      <c r="L54" t="e">
        <f>L53-L52</f>
        <v>#NAME?</v>
      </c>
      <c r="M54" t="e">
        <f>M53-M52</f>
        <v>#NAME?</v>
      </c>
    </row>
    <row r="55" spans="1:13" x14ac:dyDescent="0.25">
      <c r="A55" s="6"/>
      <c r="D55" s="13"/>
      <c r="E55" s="13"/>
      <c r="F55" s="31"/>
      <c r="G55" s="31"/>
      <c r="H55" s="6"/>
      <c r="I55" s="6"/>
      <c r="J55" s="6"/>
      <c r="K55" s="6"/>
    </row>
    <row r="56" spans="1:13" x14ac:dyDescent="0.25">
      <c r="A56" s="7" t="s">
        <v>216</v>
      </c>
      <c r="D56" s="10">
        <v>65</v>
      </c>
      <c r="H56" s="7" t="s">
        <v>643</v>
      </c>
    </row>
    <row r="57" spans="1:13" x14ac:dyDescent="0.25">
      <c r="A57" s="7" t="s">
        <v>121</v>
      </c>
      <c r="B57" s="7" t="s">
        <v>287</v>
      </c>
      <c r="D57" s="10">
        <v>16</v>
      </c>
      <c r="F57" s="10">
        <v>80</v>
      </c>
      <c r="G57" s="15">
        <v>0.25</v>
      </c>
      <c r="H57" s="15">
        <v>0.33</v>
      </c>
      <c r="I57" s="15">
        <v>0.5</v>
      </c>
      <c r="J57" s="15">
        <v>0.75</v>
      </c>
    </row>
    <row r="58" spans="1:13" x14ac:dyDescent="0.25">
      <c r="A58" s="6" t="s">
        <v>219</v>
      </c>
      <c r="D58" s="13">
        <v>80</v>
      </c>
      <c r="F58" s="15">
        <v>0</v>
      </c>
      <c r="G58" s="10">
        <v>82</v>
      </c>
      <c r="H58" s="10">
        <v>82</v>
      </c>
      <c r="I58" s="10">
        <v>104</v>
      </c>
      <c r="J58" s="10">
        <v>104</v>
      </c>
    </row>
    <row r="59" spans="1:13" x14ac:dyDescent="0.25">
      <c r="F59" s="15">
        <v>0.05</v>
      </c>
      <c r="G59" s="10">
        <v>85</v>
      </c>
      <c r="H59" s="10">
        <v>85</v>
      </c>
      <c r="I59" s="10">
        <v>107</v>
      </c>
      <c r="J59" s="10">
        <v>107</v>
      </c>
    </row>
    <row r="60" spans="1:13" x14ac:dyDescent="0.25">
      <c r="E60" s="7" t="s">
        <v>644</v>
      </c>
      <c r="F60" s="15">
        <v>0.1</v>
      </c>
      <c r="G60" s="10">
        <v>99</v>
      </c>
      <c r="H60" s="10">
        <v>99</v>
      </c>
      <c r="I60" s="10">
        <v>121</v>
      </c>
      <c r="J60" s="10">
        <v>121</v>
      </c>
    </row>
    <row r="61" spans="1:13" x14ac:dyDescent="0.25">
      <c r="E61" s="7" t="s">
        <v>645</v>
      </c>
      <c r="F61" s="15">
        <v>0.15</v>
      </c>
      <c r="G61" s="10">
        <v>123</v>
      </c>
      <c r="H61" s="10">
        <v>123</v>
      </c>
      <c r="I61" s="10">
        <v>134</v>
      </c>
      <c r="J61" s="10">
        <v>134</v>
      </c>
    </row>
    <row r="62" spans="1:13" x14ac:dyDescent="0.25">
      <c r="F62" s="15">
        <v>0.2</v>
      </c>
      <c r="G62" s="10">
        <v>147</v>
      </c>
      <c r="H62" s="10">
        <v>147</v>
      </c>
      <c r="I62" s="10">
        <v>148</v>
      </c>
      <c r="J62" s="10">
        <v>148</v>
      </c>
    </row>
    <row r="63" spans="1:13" x14ac:dyDescent="0.25">
      <c r="A63" s="9" t="s">
        <v>221</v>
      </c>
    </row>
    <row r="64" spans="1:13" x14ac:dyDescent="0.25">
      <c r="A64" s="7" t="s">
        <v>646</v>
      </c>
      <c r="D64" s="20">
        <v>0.60199999999999998</v>
      </c>
      <c r="E64" s="20">
        <v>0.60499999999999998</v>
      </c>
      <c r="F64" s="20">
        <v>0.57699999999999996</v>
      </c>
      <c r="G64" s="20">
        <v>0.56299999999999994</v>
      </c>
      <c r="H64" s="20">
        <v>0.56200000000000006</v>
      </c>
      <c r="I64" s="20">
        <v>0.55000000000000004</v>
      </c>
      <c r="J64" s="20">
        <v>0.53900000000000003</v>
      </c>
      <c r="K64" s="20">
        <v>0.52900000000000003</v>
      </c>
    </row>
    <row r="65" spans="1:12" x14ac:dyDescent="0.25">
      <c r="A65" s="7" t="s">
        <v>647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  <c r="K65" s="20">
        <v>0.8</v>
      </c>
    </row>
    <row r="66" spans="1:12" x14ac:dyDescent="0.25">
      <c r="A66" s="7" t="s">
        <v>648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  <c r="K66" s="20">
        <v>0.2</v>
      </c>
    </row>
    <row r="67" spans="1:12" x14ac:dyDescent="0.25">
      <c r="A67" s="7" t="s">
        <v>649</v>
      </c>
      <c r="C67" s="20">
        <v>0.05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  <c r="K67" s="7" t="s">
        <v>71</v>
      </c>
    </row>
    <row r="68" spans="1:12" x14ac:dyDescent="0.25">
      <c r="A68" s="7" t="s">
        <v>622</v>
      </c>
      <c r="D68" s="20">
        <v>3.5999999999999997E-2</v>
      </c>
      <c r="E68" s="20">
        <v>3.4000000000000002E-2</v>
      </c>
      <c r="F68" s="20">
        <v>3.5000000000000003E-2</v>
      </c>
      <c r="G68" s="20">
        <v>0.05</v>
      </c>
      <c r="H68" s="20">
        <v>5.5E-2</v>
      </c>
      <c r="I68" s="20">
        <v>5.2999999999999999E-2</v>
      </c>
      <c r="J68" s="20">
        <v>5.0999999999999997E-2</v>
      </c>
      <c r="K68" s="20">
        <v>4.9000000000000002E-2</v>
      </c>
    </row>
    <row r="69" spans="1:12" x14ac:dyDescent="0.25">
      <c r="A69" s="7" t="s">
        <v>650</v>
      </c>
      <c r="D69" s="21">
        <v>-0.14000000000000001</v>
      </c>
      <c r="E69" s="20">
        <v>-0.14799999999999999</v>
      </c>
      <c r="F69" s="20">
        <v>-0.158</v>
      </c>
      <c r="G69" s="20">
        <v>-0.16300000000000001</v>
      </c>
      <c r="H69" s="20">
        <v>-0.16700000000000001</v>
      </c>
      <c r="I69" s="20">
        <v>-0.16700000000000001</v>
      </c>
      <c r="J69" s="20">
        <v>-0.16700000000000001</v>
      </c>
      <c r="K69" s="20">
        <v>-0.16700000000000001</v>
      </c>
    </row>
    <row r="70" spans="1:12" x14ac:dyDescent="0.25">
      <c r="A70" s="7" t="s">
        <v>651</v>
      </c>
      <c r="D70" s="20">
        <v>6.4000000000000001E-2</v>
      </c>
      <c r="E70" s="20">
        <v>6.2E-2</v>
      </c>
      <c r="F70" s="20">
        <v>0.06</v>
      </c>
      <c r="G70" s="20">
        <v>5.7000000000000002E-2</v>
      </c>
      <c r="H70" s="20">
        <v>5.5E-2</v>
      </c>
      <c r="I70" s="20">
        <v>5.2999999999999999E-2</v>
      </c>
      <c r="J70" s="20">
        <v>5.0999999999999997E-2</v>
      </c>
      <c r="K70" s="20">
        <v>0.05</v>
      </c>
    </row>
    <row r="71" spans="1:12" x14ac:dyDescent="0.25">
      <c r="A71" s="16" t="s">
        <v>127</v>
      </c>
    </row>
    <row r="72" spans="1:12" x14ac:dyDescent="0.25">
      <c r="A72" s="7" t="s">
        <v>652</v>
      </c>
    </row>
    <row r="73" spans="1:12" x14ac:dyDescent="0.25">
      <c r="A73" s="7" t="s">
        <v>290</v>
      </c>
    </row>
    <row r="74" spans="1:12" x14ac:dyDescent="0.25">
      <c r="A74" s="16" t="s">
        <v>61</v>
      </c>
    </row>
    <row r="75" spans="1:12" x14ac:dyDescent="0.25">
      <c r="A75" s="9" t="s">
        <v>62</v>
      </c>
      <c r="L75" s="2" t="s">
        <v>63</v>
      </c>
    </row>
    <row r="76" spans="1:12" x14ac:dyDescent="0.25">
      <c r="F76" s="5" t="s">
        <v>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1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1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653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92</v>
      </c>
      <c r="C9" s="10">
        <v>22</v>
      </c>
      <c r="D9" s="10">
        <v>92</v>
      </c>
      <c r="E9" s="10">
        <v>98</v>
      </c>
      <c r="F9" s="10">
        <v>103</v>
      </c>
      <c r="G9" s="10">
        <v>106</v>
      </c>
      <c r="H9" s="10">
        <v>110</v>
      </c>
      <c r="I9" s="10">
        <v>116</v>
      </c>
      <c r="J9" s="10">
        <v>123</v>
      </c>
    </row>
    <row r="10" spans="1:13" x14ac:dyDescent="0.25">
      <c r="A10" s="7" t="s">
        <v>620</v>
      </c>
      <c r="C10" s="19">
        <v>-15</v>
      </c>
      <c r="D10" s="19">
        <v>-64</v>
      </c>
      <c r="E10" s="19">
        <v>-66</v>
      </c>
      <c r="F10" s="19">
        <v>-68</v>
      </c>
      <c r="G10" s="19">
        <v>-69</v>
      </c>
      <c r="H10" s="19">
        <v>-71</v>
      </c>
      <c r="I10" s="19">
        <v>-73</v>
      </c>
      <c r="J10" s="19">
        <v>-76</v>
      </c>
    </row>
    <row r="11" spans="1:13" x14ac:dyDescent="0.25">
      <c r="A11" s="7" t="s">
        <v>621</v>
      </c>
      <c r="C11" s="10">
        <v>7</v>
      </c>
      <c r="D11" s="10">
        <v>28</v>
      </c>
      <c r="E11" s="10">
        <v>32</v>
      </c>
      <c r="F11" s="10">
        <v>35</v>
      </c>
      <c r="G11" s="10">
        <v>36</v>
      </c>
      <c r="H11" s="10">
        <v>40</v>
      </c>
      <c r="I11" s="10">
        <v>43</v>
      </c>
      <c r="J11" s="10">
        <v>47</v>
      </c>
    </row>
    <row r="12" spans="1:13" x14ac:dyDescent="0.25">
      <c r="A12" s="7" t="s">
        <v>622</v>
      </c>
      <c r="C12" s="19">
        <v>-1</v>
      </c>
      <c r="D12" s="19">
        <v>-3</v>
      </c>
      <c r="E12" s="19">
        <v>-3</v>
      </c>
      <c r="F12" s="19">
        <v>-5</v>
      </c>
      <c r="G12" s="19">
        <v>-6</v>
      </c>
      <c r="H12" s="19">
        <v>-6</v>
      </c>
      <c r="I12" s="19">
        <v>-6</v>
      </c>
      <c r="J12" s="19">
        <v>-6</v>
      </c>
    </row>
    <row r="13" spans="1:13" x14ac:dyDescent="0.25">
      <c r="A13" s="7" t="s">
        <v>209</v>
      </c>
      <c r="C13" s="10">
        <v>6</v>
      </c>
      <c r="D13" s="10">
        <v>25</v>
      </c>
      <c r="E13" s="10">
        <v>29</v>
      </c>
      <c r="F13" s="10">
        <v>30</v>
      </c>
      <c r="G13" s="10">
        <v>31</v>
      </c>
      <c r="H13" s="10">
        <v>34</v>
      </c>
      <c r="I13" s="10">
        <v>37</v>
      </c>
      <c r="J13" s="10">
        <v>41</v>
      </c>
    </row>
    <row r="14" spans="1:13" x14ac:dyDescent="0.25">
      <c r="A14" s="7" t="s">
        <v>623</v>
      </c>
      <c r="B14" s="20">
        <v>0.39500000000000002</v>
      </c>
      <c r="C14" s="19">
        <v>-2</v>
      </c>
      <c r="D14" s="19">
        <v>-10</v>
      </c>
      <c r="E14" s="19">
        <v>-11</v>
      </c>
      <c r="F14" s="19">
        <v>-12</v>
      </c>
      <c r="G14" s="19">
        <v>-12</v>
      </c>
      <c r="H14" s="19">
        <v>-13</v>
      </c>
      <c r="I14" s="19">
        <v>-15</v>
      </c>
      <c r="J14" s="19">
        <v>-16</v>
      </c>
    </row>
    <row r="15" spans="1:13" x14ac:dyDescent="0.25">
      <c r="A15" s="7" t="s">
        <v>624</v>
      </c>
      <c r="C15" s="10">
        <v>4</v>
      </c>
      <c r="D15" s="10">
        <v>15</v>
      </c>
      <c r="E15" s="10">
        <v>18</v>
      </c>
      <c r="F15" s="10">
        <v>18</v>
      </c>
      <c r="G15" s="10">
        <v>18</v>
      </c>
      <c r="H15" s="10">
        <v>20</v>
      </c>
      <c r="I15" s="10">
        <v>22</v>
      </c>
      <c r="J15" s="10">
        <v>25</v>
      </c>
    </row>
    <row r="16" spans="1:13" x14ac:dyDescent="0.25">
      <c r="A16" s="7" t="s">
        <v>111</v>
      </c>
      <c r="C16" s="10">
        <v>1</v>
      </c>
      <c r="D16" s="10">
        <v>3</v>
      </c>
      <c r="E16" s="10">
        <v>3</v>
      </c>
      <c r="F16" s="10">
        <v>5</v>
      </c>
      <c r="G16" s="10">
        <v>6</v>
      </c>
      <c r="H16" s="10">
        <v>6</v>
      </c>
      <c r="I16" s="10">
        <v>6</v>
      </c>
      <c r="J16" s="10">
        <v>6</v>
      </c>
    </row>
    <row r="17" spans="1:10" x14ac:dyDescent="0.25">
      <c r="A17" s="7" t="s">
        <v>625</v>
      </c>
      <c r="C17" s="42">
        <v>-0.6</v>
      </c>
      <c r="D17" s="10">
        <v>1</v>
      </c>
      <c r="E17" s="10">
        <v>1</v>
      </c>
      <c r="F17" s="10">
        <v>1</v>
      </c>
      <c r="G17" s="10">
        <v>0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-1</v>
      </c>
      <c r="D18" s="19">
        <v>-6</v>
      </c>
      <c r="E18" s="19">
        <v>-6</v>
      </c>
      <c r="F18" s="19">
        <v>-6</v>
      </c>
      <c r="G18" s="19">
        <v>-6</v>
      </c>
      <c r="H18" s="19">
        <v>-6</v>
      </c>
      <c r="I18" s="19">
        <v>-6</v>
      </c>
      <c r="J18" s="19">
        <v>-6</v>
      </c>
    </row>
    <row r="19" spans="1:10" x14ac:dyDescent="0.25">
      <c r="A19" s="7" t="s">
        <v>626</v>
      </c>
      <c r="C19" s="10">
        <v>2</v>
      </c>
      <c r="D19" s="10">
        <v>13</v>
      </c>
      <c r="E19" s="10">
        <v>16</v>
      </c>
      <c r="F19" s="10">
        <v>18</v>
      </c>
      <c r="G19" s="10">
        <v>19</v>
      </c>
      <c r="H19" s="10">
        <v>21</v>
      </c>
      <c r="I19" s="10">
        <v>23</v>
      </c>
      <c r="J19" s="10">
        <v>26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4.2999999999999997E-2</v>
      </c>
      <c r="E21" s="20">
        <v>6.6000000000000003E-2</v>
      </c>
      <c r="F21" s="20">
        <v>4.5999999999999999E-2</v>
      </c>
      <c r="G21" s="20">
        <v>2.8000000000000001E-2</v>
      </c>
      <c r="H21" s="20">
        <v>4.7E-2</v>
      </c>
      <c r="I21" s="20">
        <v>5.1999999999999998E-2</v>
      </c>
      <c r="J21" s="20">
        <v>5.6000000000000001E-2</v>
      </c>
    </row>
    <row r="22" spans="1:10" x14ac:dyDescent="0.25">
      <c r="A22" s="7" t="s">
        <v>629</v>
      </c>
      <c r="C22" s="20">
        <v>0.30399999999999999</v>
      </c>
      <c r="D22" s="20">
        <v>0.30299999999999999</v>
      </c>
      <c r="E22" s="20">
        <v>0.32900000000000001</v>
      </c>
      <c r="F22" s="20">
        <v>0.34100000000000003</v>
      </c>
      <c r="G22" s="20">
        <v>0.34499999999999997</v>
      </c>
      <c r="H22" s="20">
        <v>0.35799999999999998</v>
      </c>
      <c r="I22" s="20">
        <v>0.37</v>
      </c>
      <c r="J22" s="20">
        <v>0.38300000000000001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2</v>
      </c>
      <c r="D28" s="10">
        <v>49</v>
      </c>
      <c r="E28" s="10">
        <v>95</v>
      </c>
      <c r="F28" s="10">
        <v>103</v>
      </c>
      <c r="G28" s="10">
        <v>106</v>
      </c>
      <c r="H28" s="10">
        <v>110</v>
      </c>
      <c r="I28" s="10">
        <v>116</v>
      </c>
      <c r="J28" s="10">
        <v>123</v>
      </c>
    </row>
    <row r="29" spans="1:10" x14ac:dyDescent="0.25">
      <c r="A29" s="7" t="s">
        <v>635</v>
      </c>
      <c r="C29" s="19">
        <v>-12</v>
      </c>
      <c r="D29" s="19">
        <v>-51</v>
      </c>
      <c r="E29" s="19">
        <v>-53</v>
      </c>
      <c r="F29" s="19">
        <v>-54</v>
      </c>
      <c r="G29" s="19">
        <v>-55</v>
      </c>
      <c r="H29" s="19">
        <v>-57</v>
      </c>
      <c r="I29" s="19">
        <v>-59</v>
      </c>
      <c r="J29" s="19">
        <v>-61</v>
      </c>
    </row>
    <row r="30" spans="1:10" x14ac:dyDescent="0.25">
      <c r="A30" s="7" t="s">
        <v>636</v>
      </c>
      <c r="C30" s="19">
        <v>0</v>
      </c>
      <c r="D30" s="19">
        <v>-7</v>
      </c>
      <c r="E30" s="19">
        <v>-13</v>
      </c>
      <c r="F30" s="19">
        <v>-14</v>
      </c>
      <c r="G30" s="19">
        <v>-14</v>
      </c>
      <c r="H30" s="19">
        <v>-14</v>
      </c>
      <c r="I30" s="19">
        <v>-15</v>
      </c>
      <c r="J30" s="19">
        <v>-15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-10</v>
      </c>
      <c r="D32" s="31">
        <v>-9</v>
      </c>
      <c r="E32" s="13">
        <v>29</v>
      </c>
      <c r="F32" s="13">
        <v>35</v>
      </c>
      <c r="G32" s="13">
        <v>36</v>
      </c>
      <c r="H32" s="13">
        <v>40</v>
      </c>
      <c r="I32" s="13">
        <v>43</v>
      </c>
      <c r="J32" s="13">
        <v>47</v>
      </c>
    </row>
    <row r="33" spans="1:13" x14ac:dyDescent="0.25">
      <c r="A33" s="11" t="s">
        <v>638</v>
      </c>
      <c r="C33" s="41">
        <v>17</v>
      </c>
      <c r="D33" s="41">
        <v>37</v>
      </c>
      <c r="E33" s="41">
        <v>3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-2</v>
      </c>
      <c r="E34" s="19">
        <v>-3</v>
      </c>
      <c r="F34" s="19">
        <v>-5</v>
      </c>
      <c r="G34" s="19">
        <v>-6</v>
      </c>
      <c r="H34" s="19">
        <v>-6</v>
      </c>
      <c r="I34" s="19">
        <v>-6</v>
      </c>
      <c r="J34" s="19">
        <v>-6</v>
      </c>
    </row>
    <row r="35" spans="1:13" x14ac:dyDescent="0.25">
      <c r="A35" s="6" t="s">
        <v>209</v>
      </c>
      <c r="C35" s="31">
        <v>-10</v>
      </c>
      <c r="D35" s="31">
        <v>-11</v>
      </c>
      <c r="E35" s="13">
        <v>26</v>
      </c>
      <c r="F35" s="13">
        <v>30</v>
      </c>
      <c r="G35" s="13">
        <v>31</v>
      </c>
      <c r="H35" s="13">
        <v>34</v>
      </c>
      <c r="I35" s="13">
        <v>37</v>
      </c>
      <c r="J35" s="13">
        <v>41</v>
      </c>
    </row>
    <row r="36" spans="1:13" x14ac:dyDescent="0.25">
      <c r="A36" s="7" t="s">
        <v>212</v>
      </c>
      <c r="B36" s="20">
        <v>0.39500000000000002</v>
      </c>
      <c r="C36" s="10">
        <v>4</v>
      </c>
      <c r="D36" s="10">
        <v>4</v>
      </c>
      <c r="E36" s="19">
        <v>-10</v>
      </c>
      <c r="F36" s="19">
        <v>-12</v>
      </c>
      <c r="G36" s="19">
        <v>-12</v>
      </c>
      <c r="H36" s="19">
        <v>-13</v>
      </c>
      <c r="I36" s="19">
        <v>-15</v>
      </c>
      <c r="J36" s="19">
        <v>-16</v>
      </c>
    </row>
    <row r="37" spans="1:13" x14ac:dyDescent="0.25">
      <c r="A37" s="7" t="s">
        <v>821</v>
      </c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0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-6</v>
      </c>
      <c r="D40" s="31">
        <v>-6</v>
      </c>
      <c r="E40" s="13">
        <v>16</v>
      </c>
      <c r="F40" s="13">
        <v>18</v>
      </c>
      <c r="G40" s="13">
        <v>18</v>
      </c>
      <c r="H40" s="13">
        <v>20</v>
      </c>
      <c r="I40" s="13">
        <v>22</v>
      </c>
      <c r="J40" s="13">
        <v>25</v>
      </c>
    </row>
    <row r="41" spans="1:13" x14ac:dyDescent="0.25">
      <c r="A41" s="6" t="s">
        <v>819</v>
      </c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31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3</v>
      </c>
      <c r="F44" s="10">
        <v>5</v>
      </c>
      <c r="G44" s="10">
        <v>6</v>
      </c>
      <c r="H44" s="10">
        <v>6</v>
      </c>
      <c r="I44" s="10">
        <v>6</v>
      </c>
      <c r="J44" s="10">
        <v>6</v>
      </c>
    </row>
    <row r="45" spans="1:13" x14ac:dyDescent="0.25">
      <c r="A45" s="7" t="s">
        <v>625</v>
      </c>
      <c r="C45" s="10">
        <v>0</v>
      </c>
      <c r="D45" s="10">
        <v>6</v>
      </c>
      <c r="E45" s="10">
        <v>7</v>
      </c>
      <c r="F45" s="10">
        <v>1</v>
      </c>
      <c r="G45" s="10">
        <v>0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-3</v>
      </c>
      <c r="E46" s="19">
        <v>-6</v>
      </c>
      <c r="F46" s="19">
        <v>-6</v>
      </c>
      <c r="G46" s="19">
        <v>-6</v>
      </c>
      <c r="H46" s="19">
        <v>-6</v>
      </c>
      <c r="I46" s="19">
        <v>-6</v>
      </c>
      <c r="J46" s="19">
        <v>-6</v>
      </c>
    </row>
    <row r="47" spans="1:13" x14ac:dyDescent="0.25">
      <c r="A47" s="6" t="s">
        <v>639</v>
      </c>
      <c r="C47" s="31">
        <v>-6</v>
      </c>
      <c r="D47" s="31">
        <v>-2</v>
      </c>
      <c r="E47" s="13">
        <v>20</v>
      </c>
      <c r="F47" s="13">
        <v>18</v>
      </c>
      <c r="G47" s="13">
        <v>19</v>
      </c>
      <c r="H47" s="13">
        <v>21</v>
      </c>
      <c r="I47" s="13">
        <v>23</v>
      </c>
      <c r="J47" s="13">
        <v>26</v>
      </c>
    </row>
    <row r="48" spans="1:13" x14ac:dyDescent="0.25">
      <c r="A48" s="6" t="s">
        <v>640</v>
      </c>
      <c r="C48" s="10">
        <v>2</v>
      </c>
      <c r="D48" s="10">
        <v>13</v>
      </c>
      <c r="E48" s="10">
        <v>16</v>
      </c>
      <c r="F48" s="10">
        <v>18</v>
      </c>
      <c r="G48" s="10">
        <v>19</v>
      </c>
      <c r="H48" s="10">
        <v>21</v>
      </c>
      <c r="I48" s="10">
        <v>23</v>
      </c>
      <c r="J48" s="10">
        <v>26</v>
      </c>
    </row>
    <row r="49" spans="1:13" x14ac:dyDescent="0.25">
      <c r="A49" s="6" t="s">
        <v>641</v>
      </c>
      <c r="C49" s="19">
        <v>-6</v>
      </c>
      <c r="D49" s="19">
        <v>-2</v>
      </c>
      <c r="E49" s="10">
        <v>20</v>
      </c>
      <c r="F49" s="10">
        <v>18</v>
      </c>
      <c r="G49" s="10">
        <v>19</v>
      </c>
      <c r="H49" s="10">
        <v>21</v>
      </c>
      <c r="I49" s="10">
        <v>23</v>
      </c>
      <c r="J49" s="10">
        <v>26</v>
      </c>
    </row>
    <row r="50" spans="1:13" x14ac:dyDescent="0.25">
      <c r="A50" s="6" t="s">
        <v>642</v>
      </c>
      <c r="C50" s="13">
        <v>8</v>
      </c>
      <c r="D50" s="13">
        <v>15</v>
      </c>
      <c r="E50" s="31">
        <v>-5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8</v>
      </c>
      <c r="D52" s="13">
        <v>14</v>
      </c>
      <c r="E52" s="31">
        <v>-4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18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4</v>
      </c>
      <c r="E57" s="10">
        <v>20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655</v>
      </c>
      <c r="C58" s="13">
        <v>20</v>
      </c>
      <c r="E58" s="15">
        <v>0</v>
      </c>
      <c r="F58" s="10">
        <v>23</v>
      </c>
      <c r="G58" s="10">
        <v>23</v>
      </c>
      <c r="H58" s="10">
        <v>23</v>
      </c>
      <c r="I58" s="10">
        <v>23</v>
      </c>
    </row>
    <row r="59" spans="1:13" x14ac:dyDescent="0.25">
      <c r="E59" s="15">
        <v>0.05</v>
      </c>
      <c r="F59" s="10">
        <v>23</v>
      </c>
      <c r="G59" s="10">
        <v>23</v>
      </c>
      <c r="H59" s="10">
        <v>23</v>
      </c>
      <c r="I59" s="10">
        <v>23</v>
      </c>
    </row>
    <row r="60" spans="1:13" x14ac:dyDescent="0.25">
      <c r="D60" s="7" t="s">
        <v>644</v>
      </c>
      <c r="E60" s="15">
        <v>0.1</v>
      </c>
      <c r="F60" s="10">
        <v>27</v>
      </c>
      <c r="G60" s="10">
        <v>27</v>
      </c>
      <c r="H60" s="10">
        <v>27</v>
      </c>
      <c r="I60" s="10">
        <v>27</v>
      </c>
    </row>
    <row r="61" spans="1:13" x14ac:dyDescent="0.25">
      <c r="D61" s="7" t="s">
        <v>645</v>
      </c>
      <c r="E61" s="15">
        <v>0.15</v>
      </c>
      <c r="F61" s="10">
        <v>34</v>
      </c>
      <c r="G61" s="10">
        <v>34</v>
      </c>
      <c r="H61" s="10">
        <v>34</v>
      </c>
      <c r="I61" s="10">
        <v>34</v>
      </c>
    </row>
    <row r="62" spans="1:13" x14ac:dyDescent="0.25">
      <c r="E62" s="15">
        <v>0.2</v>
      </c>
      <c r="F62" s="10">
        <v>42</v>
      </c>
      <c r="G62" s="10">
        <v>42</v>
      </c>
      <c r="H62" s="10">
        <v>42</v>
      </c>
      <c r="I62" s="10">
        <v>42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0.69599999999999995</v>
      </c>
      <c r="D64" s="20">
        <v>0.69699999999999995</v>
      </c>
      <c r="E64" s="20">
        <v>0.67100000000000004</v>
      </c>
      <c r="F64" s="20">
        <v>0.65900000000000003</v>
      </c>
      <c r="G64" s="20">
        <v>0.65500000000000003</v>
      </c>
      <c r="H64" s="20">
        <v>0.64200000000000002</v>
      </c>
      <c r="I64" s="20">
        <v>0.63</v>
      </c>
      <c r="J64" s="20">
        <v>0.61699999999999999</v>
      </c>
    </row>
    <row r="65" spans="1:11" x14ac:dyDescent="0.25">
      <c r="A65" s="7" t="s">
        <v>647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648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1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1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656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22</v>
      </c>
      <c r="C9" s="10">
        <v>5</v>
      </c>
      <c r="D9" s="10">
        <v>24</v>
      </c>
      <c r="E9" s="10">
        <v>26</v>
      </c>
      <c r="F9" s="10">
        <v>28</v>
      </c>
      <c r="G9" s="10">
        <v>29</v>
      </c>
      <c r="H9" s="10">
        <v>32</v>
      </c>
      <c r="I9" s="10">
        <v>36</v>
      </c>
      <c r="J9" s="10">
        <v>39</v>
      </c>
    </row>
    <row r="10" spans="1:13" x14ac:dyDescent="0.25">
      <c r="A10" s="7" t="s">
        <v>620</v>
      </c>
      <c r="C10" s="19">
        <v>-4</v>
      </c>
      <c r="D10" s="19">
        <v>-16</v>
      </c>
      <c r="E10" s="19">
        <v>-17</v>
      </c>
      <c r="F10" s="19">
        <v>-18</v>
      </c>
      <c r="G10" s="19">
        <v>-19</v>
      </c>
      <c r="H10" s="19">
        <v>-20</v>
      </c>
      <c r="I10" s="19">
        <v>-21</v>
      </c>
      <c r="J10" s="19">
        <v>-23</v>
      </c>
    </row>
    <row r="11" spans="1:13" x14ac:dyDescent="0.25">
      <c r="A11" s="7" t="s">
        <v>621</v>
      </c>
      <c r="C11" s="10">
        <v>2</v>
      </c>
      <c r="D11" s="10">
        <v>8</v>
      </c>
      <c r="E11" s="10">
        <v>9</v>
      </c>
      <c r="F11" s="10">
        <v>10</v>
      </c>
      <c r="G11" s="10">
        <v>11</v>
      </c>
      <c r="H11" s="10">
        <v>12</v>
      </c>
      <c r="I11" s="10">
        <v>14</v>
      </c>
      <c r="J11" s="10">
        <v>16</v>
      </c>
    </row>
    <row r="12" spans="1:13" x14ac:dyDescent="0.25">
      <c r="A12" s="7" t="s">
        <v>622</v>
      </c>
      <c r="C12" s="19">
        <v>0</v>
      </c>
      <c r="D12" s="19">
        <v>-1</v>
      </c>
      <c r="E12" s="19">
        <v>-1</v>
      </c>
      <c r="F12" s="19">
        <v>-1</v>
      </c>
      <c r="G12" s="19">
        <v>-2</v>
      </c>
      <c r="H12" s="19">
        <v>-2</v>
      </c>
      <c r="I12" s="19">
        <v>-2</v>
      </c>
      <c r="J12" s="19">
        <v>-2</v>
      </c>
    </row>
    <row r="13" spans="1:13" x14ac:dyDescent="0.25">
      <c r="A13" s="7" t="s">
        <v>209</v>
      </c>
      <c r="C13" s="10">
        <v>1</v>
      </c>
      <c r="D13" s="10">
        <v>7</v>
      </c>
      <c r="E13" s="10">
        <v>8</v>
      </c>
      <c r="F13" s="10">
        <v>9</v>
      </c>
      <c r="G13" s="10">
        <v>9</v>
      </c>
      <c r="H13" s="10">
        <v>11</v>
      </c>
      <c r="I13" s="10">
        <v>12</v>
      </c>
      <c r="J13" s="10">
        <v>14</v>
      </c>
    </row>
    <row r="14" spans="1:13" x14ac:dyDescent="0.25">
      <c r="A14" s="7" t="s">
        <v>623</v>
      </c>
      <c r="B14" s="20">
        <v>0.39500000000000002</v>
      </c>
      <c r="C14" s="19">
        <v>-1</v>
      </c>
      <c r="D14" s="19">
        <v>-3</v>
      </c>
      <c r="E14" s="19">
        <v>-3</v>
      </c>
      <c r="F14" s="19">
        <v>-3</v>
      </c>
      <c r="G14" s="19">
        <v>-4</v>
      </c>
      <c r="H14" s="19">
        <v>-4</v>
      </c>
      <c r="I14" s="19">
        <v>-5</v>
      </c>
      <c r="J14" s="19">
        <v>-6</v>
      </c>
    </row>
    <row r="15" spans="1:13" x14ac:dyDescent="0.25">
      <c r="A15" s="7" t="s">
        <v>624</v>
      </c>
      <c r="C15" s="10">
        <v>1</v>
      </c>
      <c r="D15" s="10">
        <v>4</v>
      </c>
      <c r="E15" s="10">
        <v>5</v>
      </c>
      <c r="F15" s="10">
        <v>5</v>
      </c>
      <c r="G15" s="10">
        <v>6</v>
      </c>
      <c r="H15" s="10">
        <v>6</v>
      </c>
      <c r="I15" s="10">
        <v>8</v>
      </c>
      <c r="J15" s="10">
        <v>9</v>
      </c>
    </row>
    <row r="16" spans="1:13" x14ac:dyDescent="0.25">
      <c r="A16" s="7" t="s">
        <v>111</v>
      </c>
      <c r="C16" s="10">
        <v>0</v>
      </c>
      <c r="D16" s="10">
        <v>1</v>
      </c>
      <c r="E16" s="10">
        <v>1</v>
      </c>
      <c r="F16" s="10">
        <v>1</v>
      </c>
      <c r="G16" s="10">
        <v>2</v>
      </c>
      <c r="H16" s="10">
        <v>2</v>
      </c>
      <c r="I16" s="10">
        <v>2</v>
      </c>
      <c r="J16" s="10">
        <v>2</v>
      </c>
    </row>
    <row r="17" spans="1:10" x14ac:dyDescent="0.25">
      <c r="A17" s="7" t="s">
        <v>625</v>
      </c>
      <c r="C17" s="42">
        <v>-0.1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0</v>
      </c>
      <c r="D18" s="19">
        <v>-1</v>
      </c>
      <c r="E18" s="19">
        <v>-2</v>
      </c>
      <c r="F18" s="19">
        <v>-2</v>
      </c>
      <c r="G18" s="19">
        <v>-2</v>
      </c>
      <c r="H18" s="19">
        <v>-2</v>
      </c>
      <c r="I18" s="19">
        <v>-2</v>
      </c>
      <c r="J18" s="19">
        <v>-2</v>
      </c>
    </row>
    <row r="19" spans="1:10" x14ac:dyDescent="0.25">
      <c r="A19" s="7" t="s">
        <v>626</v>
      </c>
      <c r="C19" s="10">
        <v>1</v>
      </c>
      <c r="D19" s="10">
        <v>4</v>
      </c>
      <c r="E19" s="10">
        <v>5</v>
      </c>
      <c r="F19" s="10">
        <v>5</v>
      </c>
      <c r="G19" s="10">
        <v>6</v>
      </c>
      <c r="H19" s="10">
        <v>7</v>
      </c>
      <c r="I19" s="10">
        <v>8</v>
      </c>
      <c r="J19" s="10">
        <v>9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0.115</v>
      </c>
      <c r="E21" s="20">
        <v>8.4000000000000005E-2</v>
      </c>
      <c r="F21" s="20">
        <v>7.8E-2</v>
      </c>
      <c r="G21" s="20">
        <v>4.3999999999999997E-2</v>
      </c>
      <c r="H21" s="20">
        <v>0.10100000000000001</v>
      </c>
      <c r="I21" s="20">
        <v>0.10299999999999999</v>
      </c>
      <c r="J21" s="20">
        <v>0.104</v>
      </c>
    </row>
    <row r="22" spans="1:10" x14ac:dyDescent="0.25">
      <c r="A22" s="7" t="s">
        <v>629</v>
      </c>
      <c r="C22" s="20">
        <v>0.313</v>
      </c>
      <c r="D22" s="20">
        <v>0.32</v>
      </c>
      <c r="E22" s="20">
        <v>0.34899999999999998</v>
      </c>
      <c r="F22" s="20">
        <v>0.36599999999999999</v>
      </c>
      <c r="G22" s="20">
        <v>0.36699999999999999</v>
      </c>
      <c r="H22" s="20">
        <v>0.38500000000000001</v>
      </c>
      <c r="I22" s="20">
        <v>0.40200000000000002</v>
      </c>
      <c r="J22" s="20">
        <v>0.41899999999999998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1</v>
      </c>
      <c r="D28" s="10">
        <v>13</v>
      </c>
      <c r="E28" s="10">
        <v>25</v>
      </c>
      <c r="F28" s="10">
        <v>28</v>
      </c>
      <c r="G28" s="10">
        <v>29</v>
      </c>
      <c r="H28" s="10">
        <v>32</v>
      </c>
      <c r="I28" s="10">
        <v>36</v>
      </c>
      <c r="J28" s="10">
        <v>39</v>
      </c>
    </row>
    <row r="29" spans="1:10" x14ac:dyDescent="0.25">
      <c r="A29" s="7" t="s">
        <v>635</v>
      </c>
      <c r="C29" s="19">
        <v>-3</v>
      </c>
      <c r="D29" s="19">
        <v>-13</v>
      </c>
      <c r="E29" s="19">
        <v>-14</v>
      </c>
      <c r="F29" s="19">
        <v>-14</v>
      </c>
      <c r="G29" s="19">
        <v>-15</v>
      </c>
      <c r="H29" s="19">
        <v>-16</v>
      </c>
      <c r="I29" s="19">
        <v>-17</v>
      </c>
      <c r="J29" s="19">
        <v>-18</v>
      </c>
    </row>
    <row r="30" spans="1:10" x14ac:dyDescent="0.25">
      <c r="A30" s="7" t="s">
        <v>636</v>
      </c>
      <c r="C30" s="19">
        <v>0</v>
      </c>
      <c r="D30" s="19">
        <v>-2</v>
      </c>
      <c r="E30" s="19">
        <v>-3</v>
      </c>
      <c r="F30" s="19">
        <v>-4</v>
      </c>
      <c r="G30" s="19">
        <v>-4</v>
      </c>
      <c r="H30" s="19">
        <v>-4</v>
      </c>
      <c r="I30" s="19">
        <v>-4</v>
      </c>
      <c r="J30" s="19">
        <v>-5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-2</v>
      </c>
      <c r="D32" s="31">
        <v>-2</v>
      </c>
      <c r="E32" s="13">
        <v>8</v>
      </c>
      <c r="F32" s="13">
        <v>10</v>
      </c>
      <c r="G32" s="13">
        <v>11</v>
      </c>
      <c r="H32" s="13">
        <v>12</v>
      </c>
      <c r="I32" s="13">
        <v>14</v>
      </c>
      <c r="J32" s="13">
        <v>16</v>
      </c>
    </row>
    <row r="33" spans="1:13" x14ac:dyDescent="0.25">
      <c r="A33" s="11" t="s">
        <v>638</v>
      </c>
      <c r="C33" s="41">
        <v>4</v>
      </c>
      <c r="D33" s="41">
        <v>10</v>
      </c>
      <c r="E33" s="41">
        <v>1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0</v>
      </c>
      <c r="E34" s="19">
        <v>-1</v>
      </c>
      <c r="F34" s="19">
        <v>-1</v>
      </c>
      <c r="G34" s="19">
        <v>-2</v>
      </c>
      <c r="H34" s="19">
        <v>-2</v>
      </c>
      <c r="I34" s="19">
        <v>-2</v>
      </c>
      <c r="J34" s="19">
        <v>-2</v>
      </c>
    </row>
    <row r="35" spans="1:13" x14ac:dyDescent="0.25">
      <c r="A35" s="6" t="s">
        <v>209</v>
      </c>
      <c r="C35" s="31">
        <v>-2</v>
      </c>
      <c r="D35" s="31">
        <v>-2</v>
      </c>
      <c r="E35" s="13">
        <v>7</v>
      </c>
      <c r="F35" s="13">
        <v>9</v>
      </c>
      <c r="G35" s="13">
        <v>9</v>
      </c>
      <c r="H35" s="13">
        <v>11</v>
      </c>
      <c r="I35" s="13">
        <v>12</v>
      </c>
      <c r="J35" s="13">
        <v>14</v>
      </c>
    </row>
    <row r="36" spans="1:13" x14ac:dyDescent="0.25">
      <c r="A36" s="7" t="s">
        <v>212</v>
      </c>
      <c r="B36" s="20">
        <v>0.39500000000000002</v>
      </c>
      <c r="C36" s="10">
        <v>1</v>
      </c>
      <c r="D36" s="10">
        <v>1</v>
      </c>
      <c r="E36" s="19">
        <v>-3</v>
      </c>
      <c r="F36" s="19">
        <v>-3</v>
      </c>
      <c r="G36" s="19">
        <v>-4</v>
      </c>
      <c r="H36" s="19">
        <v>-4</v>
      </c>
      <c r="I36" s="19">
        <v>-5</v>
      </c>
      <c r="J36" s="19">
        <v>-6</v>
      </c>
    </row>
    <row r="37" spans="1:13" x14ac:dyDescent="0.25">
      <c r="A37" s="7" t="s">
        <v>821</v>
      </c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0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31">
        <v>-1</v>
      </c>
      <c r="E40" s="13">
        <v>4</v>
      </c>
      <c r="F40" s="13">
        <v>5</v>
      </c>
      <c r="G40" s="13">
        <v>6</v>
      </c>
      <c r="H40" s="13">
        <v>6</v>
      </c>
      <c r="I40" s="13">
        <v>8</v>
      </c>
      <c r="J40" s="13">
        <v>9</v>
      </c>
    </row>
    <row r="41" spans="1:13" x14ac:dyDescent="0.25">
      <c r="A41" s="6" t="s">
        <v>819</v>
      </c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31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1</v>
      </c>
      <c r="F44" s="10">
        <v>1</v>
      </c>
      <c r="G44" s="10">
        <v>2</v>
      </c>
      <c r="H44" s="10">
        <v>2</v>
      </c>
      <c r="I44" s="10">
        <v>2</v>
      </c>
      <c r="J44" s="10">
        <v>2</v>
      </c>
    </row>
    <row r="45" spans="1:13" x14ac:dyDescent="0.25">
      <c r="A45" s="7" t="s">
        <v>625</v>
      </c>
      <c r="C45" s="10">
        <v>0</v>
      </c>
      <c r="D45" s="10">
        <v>2</v>
      </c>
      <c r="E45" s="10">
        <v>2</v>
      </c>
      <c r="F45" s="10">
        <v>0</v>
      </c>
      <c r="G45" s="10">
        <v>0</v>
      </c>
      <c r="H45" s="10">
        <v>0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-1</v>
      </c>
      <c r="E46" s="19">
        <v>-2</v>
      </c>
      <c r="F46" s="19">
        <v>-2</v>
      </c>
      <c r="G46" s="19">
        <v>-2</v>
      </c>
      <c r="H46" s="19">
        <v>-2</v>
      </c>
      <c r="I46" s="19">
        <v>-2</v>
      </c>
      <c r="J46" s="19">
        <v>-2</v>
      </c>
    </row>
    <row r="47" spans="1:13" x14ac:dyDescent="0.25">
      <c r="A47" s="6" t="s">
        <v>639</v>
      </c>
      <c r="C47" s="31">
        <v>-1</v>
      </c>
      <c r="D47" s="31">
        <v>0</v>
      </c>
      <c r="E47" s="13">
        <v>6</v>
      </c>
      <c r="F47" s="13">
        <v>5</v>
      </c>
      <c r="G47" s="13">
        <v>6</v>
      </c>
      <c r="H47" s="13">
        <v>7</v>
      </c>
      <c r="I47" s="13">
        <v>8</v>
      </c>
      <c r="J47" s="13">
        <v>9</v>
      </c>
    </row>
    <row r="48" spans="1:13" x14ac:dyDescent="0.25">
      <c r="A48" s="6" t="s">
        <v>640</v>
      </c>
      <c r="C48" s="10">
        <v>1</v>
      </c>
      <c r="D48" s="10">
        <v>4</v>
      </c>
      <c r="E48" s="10">
        <v>5</v>
      </c>
      <c r="F48" s="10">
        <v>5</v>
      </c>
      <c r="G48" s="10">
        <v>6</v>
      </c>
      <c r="H48" s="10">
        <v>7</v>
      </c>
      <c r="I48" s="10">
        <v>8</v>
      </c>
      <c r="J48" s="10">
        <v>9</v>
      </c>
    </row>
    <row r="49" spans="1:13" x14ac:dyDescent="0.25">
      <c r="A49" s="6" t="s">
        <v>641</v>
      </c>
      <c r="C49" s="19">
        <v>-1</v>
      </c>
      <c r="D49" s="19">
        <v>0</v>
      </c>
      <c r="E49" s="10">
        <v>6</v>
      </c>
      <c r="F49" s="10">
        <v>5</v>
      </c>
      <c r="G49" s="10">
        <v>6</v>
      </c>
      <c r="H49" s="10">
        <v>7</v>
      </c>
      <c r="I49" s="10">
        <v>8</v>
      </c>
      <c r="J49" s="10">
        <v>9</v>
      </c>
    </row>
    <row r="50" spans="1:13" x14ac:dyDescent="0.25">
      <c r="A50" s="6" t="s">
        <v>642</v>
      </c>
      <c r="C50" s="13">
        <v>2</v>
      </c>
      <c r="D50" s="13">
        <v>4</v>
      </c>
      <c r="E50" s="31">
        <v>-1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2</v>
      </c>
      <c r="D52" s="13">
        <v>4</v>
      </c>
      <c r="E52" s="31">
        <v>-1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5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1</v>
      </c>
      <c r="E57" s="10">
        <v>6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6</v>
      </c>
      <c r="E58" s="15">
        <v>0</v>
      </c>
      <c r="F58" s="10">
        <v>6</v>
      </c>
      <c r="G58" s="10">
        <v>6</v>
      </c>
      <c r="H58" s="10">
        <v>6</v>
      </c>
      <c r="I58" s="10">
        <v>6</v>
      </c>
    </row>
    <row r="59" spans="1:13" x14ac:dyDescent="0.25">
      <c r="E59" s="15">
        <v>0.05</v>
      </c>
      <c r="F59" s="10">
        <v>6</v>
      </c>
      <c r="G59" s="10">
        <v>6</v>
      </c>
      <c r="H59" s="10">
        <v>6</v>
      </c>
      <c r="I59" s="10">
        <v>6</v>
      </c>
    </row>
    <row r="60" spans="1:13" x14ac:dyDescent="0.25">
      <c r="D60" s="7" t="s">
        <v>644</v>
      </c>
      <c r="E60" s="15">
        <v>0.1</v>
      </c>
      <c r="F60" s="10">
        <v>7</v>
      </c>
      <c r="G60" s="10">
        <v>7</v>
      </c>
      <c r="H60" s="10">
        <v>7</v>
      </c>
      <c r="I60" s="10">
        <v>7</v>
      </c>
    </row>
    <row r="61" spans="1:13" x14ac:dyDescent="0.25">
      <c r="D61" s="7" t="s">
        <v>645</v>
      </c>
      <c r="E61" s="15">
        <v>0.15</v>
      </c>
      <c r="F61" s="10">
        <v>9</v>
      </c>
      <c r="G61" s="10">
        <v>9</v>
      </c>
      <c r="H61" s="10">
        <v>9</v>
      </c>
      <c r="I61" s="10">
        <v>9</v>
      </c>
    </row>
    <row r="62" spans="1:13" x14ac:dyDescent="0.25">
      <c r="E62" s="15">
        <v>0.2</v>
      </c>
      <c r="F62" s="10">
        <v>11</v>
      </c>
      <c r="G62" s="10">
        <v>11</v>
      </c>
      <c r="H62" s="10">
        <v>11</v>
      </c>
      <c r="I62" s="10">
        <v>11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0.68700000000000006</v>
      </c>
      <c r="D64" s="20">
        <v>0.68</v>
      </c>
      <c r="E64" s="20">
        <v>0.65100000000000002</v>
      </c>
      <c r="F64" s="20">
        <v>0.63400000000000001</v>
      </c>
      <c r="G64" s="20">
        <v>0.63300000000000001</v>
      </c>
      <c r="H64" s="20">
        <v>0.61499999999999999</v>
      </c>
      <c r="I64" s="20">
        <v>0.59799999999999998</v>
      </c>
      <c r="J64" s="20">
        <v>0.58099999999999996</v>
      </c>
    </row>
    <row r="65" spans="1:11" x14ac:dyDescent="0.25">
      <c r="A65" s="7" t="s">
        <v>647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648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2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2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657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23</v>
      </c>
      <c r="C9" s="10">
        <v>6</v>
      </c>
      <c r="D9" s="10">
        <v>26</v>
      </c>
      <c r="E9" s="10">
        <v>27</v>
      </c>
      <c r="F9" s="10">
        <v>28</v>
      </c>
      <c r="G9" s="10">
        <v>30</v>
      </c>
      <c r="H9" s="10">
        <v>32</v>
      </c>
      <c r="I9" s="10">
        <v>34</v>
      </c>
      <c r="J9" s="10">
        <v>36</v>
      </c>
    </row>
    <row r="10" spans="1:13" x14ac:dyDescent="0.25">
      <c r="A10" s="7" t="s">
        <v>620</v>
      </c>
      <c r="C10" s="19">
        <v>-3</v>
      </c>
      <c r="D10" s="19">
        <v>-13</v>
      </c>
      <c r="E10" s="19">
        <v>-13</v>
      </c>
      <c r="F10" s="19">
        <v>-13</v>
      </c>
      <c r="G10" s="19">
        <v>-14</v>
      </c>
      <c r="H10" s="19">
        <v>-14</v>
      </c>
      <c r="I10" s="19">
        <v>-15</v>
      </c>
      <c r="J10" s="19">
        <v>-15</v>
      </c>
    </row>
    <row r="11" spans="1:13" x14ac:dyDescent="0.25">
      <c r="A11" s="7" t="s">
        <v>621</v>
      </c>
      <c r="C11" s="10">
        <v>3</v>
      </c>
      <c r="D11" s="10">
        <v>13</v>
      </c>
      <c r="E11" s="10">
        <v>14</v>
      </c>
      <c r="F11" s="10">
        <v>15</v>
      </c>
      <c r="G11" s="10">
        <v>16</v>
      </c>
      <c r="H11" s="10">
        <v>17</v>
      </c>
      <c r="I11" s="10">
        <v>19</v>
      </c>
      <c r="J11" s="10">
        <v>20</v>
      </c>
    </row>
    <row r="12" spans="1:13" x14ac:dyDescent="0.25">
      <c r="A12" s="7" t="s">
        <v>622</v>
      </c>
      <c r="C12" s="19">
        <v>0</v>
      </c>
      <c r="D12" s="19">
        <v>-1</v>
      </c>
      <c r="E12" s="19">
        <v>-1</v>
      </c>
      <c r="F12" s="19">
        <v>-1</v>
      </c>
      <c r="G12" s="19">
        <v>-2</v>
      </c>
      <c r="H12" s="19">
        <v>-2</v>
      </c>
      <c r="I12" s="19">
        <v>-2</v>
      </c>
      <c r="J12" s="19">
        <v>-2</v>
      </c>
    </row>
    <row r="13" spans="1:13" x14ac:dyDescent="0.25">
      <c r="A13" s="7" t="s">
        <v>209</v>
      </c>
      <c r="C13" s="10">
        <v>3</v>
      </c>
      <c r="D13" s="10">
        <v>12</v>
      </c>
      <c r="E13" s="10">
        <v>13</v>
      </c>
      <c r="F13" s="10">
        <v>14</v>
      </c>
      <c r="G13" s="10">
        <v>14</v>
      </c>
      <c r="H13" s="10">
        <v>16</v>
      </c>
      <c r="I13" s="10">
        <v>17</v>
      </c>
      <c r="J13" s="10">
        <v>19</v>
      </c>
    </row>
    <row r="14" spans="1:13" x14ac:dyDescent="0.25">
      <c r="A14" s="7" t="s">
        <v>623</v>
      </c>
      <c r="B14" s="20">
        <v>0.39500000000000002</v>
      </c>
      <c r="C14" s="19">
        <v>-1</v>
      </c>
      <c r="D14" s="19">
        <v>-5</v>
      </c>
      <c r="E14" s="19">
        <v>-5</v>
      </c>
      <c r="F14" s="19">
        <v>-5</v>
      </c>
      <c r="G14" s="19">
        <v>-6</v>
      </c>
      <c r="H14" s="19">
        <v>-6</v>
      </c>
      <c r="I14" s="19">
        <v>-7</v>
      </c>
      <c r="J14" s="19">
        <v>-7</v>
      </c>
    </row>
    <row r="15" spans="1:13" x14ac:dyDescent="0.25">
      <c r="A15" s="7" t="s">
        <v>624</v>
      </c>
      <c r="C15" s="10">
        <v>2</v>
      </c>
      <c r="D15" s="10">
        <v>7</v>
      </c>
      <c r="E15" s="10">
        <v>8</v>
      </c>
      <c r="F15" s="10">
        <v>8</v>
      </c>
      <c r="G15" s="10">
        <v>9</v>
      </c>
      <c r="H15" s="10">
        <v>9</v>
      </c>
      <c r="I15" s="10">
        <v>10</v>
      </c>
      <c r="J15" s="10">
        <v>11</v>
      </c>
    </row>
    <row r="16" spans="1:13" x14ac:dyDescent="0.25">
      <c r="A16" s="7" t="s">
        <v>111</v>
      </c>
      <c r="C16" s="10">
        <v>0</v>
      </c>
      <c r="D16" s="10">
        <v>1</v>
      </c>
      <c r="E16" s="10">
        <v>1</v>
      </c>
      <c r="F16" s="10">
        <v>1</v>
      </c>
      <c r="G16" s="10">
        <v>2</v>
      </c>
      <c r="H16" s="10">
        <v>2</v>
      </c>
      <c r="I16" s="10">
        <v>2</v>
      </c>
      <c r="J16" s="10">
        <v>2</v>
      </c>
    </row>
    <row r="17" spans="1:10" x14ac:dyDescent="0.25">
      <c r="A17" s="7" t="s">
        <v>625</v>
      </c>
      <c r="C17" s="23">
        <v>0.2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</row>
    <row r="18" spans="1:10" x14ac:dyDescent="0.25">
      <c r="A18" s="7" t="s">
        <v>113</v>
      </c>
      <c r="C18" s="19">
        <v>0</v>
      </c>
      <c r="D18" s="19">
        <v>-2</v>
      </c>
      <c r="E18" s="19">
        <v>-2</v>
      </c>
      <c r="F18" s="19">
        <v>-2</v>
      </c>
      <c r="G18" s="19">
        <v>-2</v>
      </c>
      <c r="H18" s="19">
        <v>-2</v>
      </c>
      <c r="I18" s="19">
        <v>-2</v>
      </c>
      <c r="J18" s="19">
        <v>-2</v>
      </c>
    </row>
    <row r="19" spans="1:10" x14ac:dyDescent="0.25">
      <c r="A19" s="7" t="s">
        <v>626</v>
      </c>
      <c r="C19" s="10">
        <v>2</v>
      </c>
      <c r="D19" s="10">
        <v>7</v>
      </c>
      <c r="E19" s="10">
        <v>7</v>
      </c>
      <c r="F19" s="10">
        <v>8</v>
      </c>
      <c r="G19" s="10">
        <v>9</v>
      </c>
      <c r="H19" s="10">
        <v>10</v>
      </c>
      <c r="I19" s="10">
        <v>11</v>
      </c>
      <c r="J19" s="10">
        <v>12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0.05</v>
      </c>
      <c r="E21" s="20">
        <v>0.05</v>
      </c>
      <c r="F21" s="20">
        <v>4.1000000000000002E-2</v>
      </c>
      <c r="G21" s="20">
        <v>5.8999999999999997E-2</v>
      </c>
      <c r="H21" s="20">
        <v>6.0999999999999999E-2</v>
      </c>
      <c r="I21" s="20">
        <v>6.3E-2</v>
      </c>
      <c r="J21" s="20">
        <v>6.4000000000000001E-2</v>
      </c>
    </row>
    <row r="22" spans="1:10" x14ac:dyDescent="0.25">
      <c r="A22" s="7" t="s">
        <v>629</v>
      </c>
      <c r="C22" s="20">
        <v>0.49099999999999999</v>
      </c>
      <c r="D22" s="20">
        <v>0.48699999999999999</v>
      </c>
      <c r="E22" s="20">
        <v>0.52</v>
      </c>
      <c r="F22" s="20">
        <v>0.53600000000000003</v>
      </c>
      <c r="G22" s="20">
        <v>0.53600000000000003</v>
      </c>
      <c r="H22" s="20">
        <v>0.54900000000000004</v>
      </c>
      <c r="I22" s="20">
        <v>0.56100000000000005</v>
      </c>
      <c r="J22" s="20">
        <v>0.57199999999999995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1</v>
      </c>
      <c r="D28" s="10">
        <v>14</v>
      </c>
      <c r="E28" s="10">
        <v>26</v>
      </c>
      <c r="F28" s="10">
        <v>28</v>
      </c>
      <c r="G28" s="10">
        <v>30</v>
      </c>
      <c r="H28" s="10">
        <v>32</v>
      </c>
      <c r="I28" s="10">
        <v>34</v>
      </c>
      <c r="J28" s="10">
        <v>36</v>
      </c>
    </row>
    <row r="29" spans="1:10" x14ac:dyDescent="0.25">
      <c r="A29" s="7" t="s">
        <v>635</v>
      </c>
      <c r="C29" s="19">
        <v>-2</v>
      </c>
      <c r="D29" s="19">
        <v>-11</v>
      </c>
      <c r="E29" s="19">
        <v>-10</v>
      </c>
      <c r="F29" s="19">
        <v>-10</v>
      </c>
      <c r="G29" s="19">
        <v>-11</v>
      </c>
      <c r="H29" s="19">
        <v>-11</v>
      </c>
      <c r="I29" s="19">
        <v>-12</v>
      </c>
      <c r="J29" s="19">
        <v>-12</v>
      </c>
    </row>
    <row r="30" spans="1:10" x14ac:dyDescent="0.25">
      <c r="A30" s="7" t="s">
        <v>636</v>
      </c>
      <c r="C30" s="19">
        <v>0</v>
      </c>
      <c r="D30" s="19">
        <v>-1</v>
      </c>
      <c r="E30" s="19">
        <v>-3</v>
      </c>
      <c r="F30" s="19">
        <v>-3</v>
      </c>
      <c r="G30" s="19">
        <v>-3</v>
      </c>
      <c r="H30" s="19">
        <v>-3</v>
      </c>
      <c r="I30" s="19">
        <v>-3</v>
      </c>
      <c r="J30" s="19">
        <v>-3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-2</v>
      </c>
      <c r="D32" s="13">
        <v>2</v>
      </c>
      <c r="E32" s="13">
        <v>13</v>
      </c>
      <c r="F32" s="13">
        <v>15</v>
      </c>
      <c r="G32" s="13">
        <v>16</v>
      </c>
      <c r="H32" s="13">
        <v>17</v>
      </c>
      <c r="I32" s="13">
        <v>19</v>
      </c>
      <c r="J32" s="13">
        <v>20</v>
      </c>
    </row>
    <row r="33" spans="1:13" x14ac:dyDescent="0.25">
      <c r="A33" s="11" t="s">
        <v>638</v>
      </c>
      <c r="C33" s="41">
        <v>5</v>
      </c>
      <c r="D33" s="41">
        <v>11</v>
      </c>
      <c r="E33" s="41">
        <v>1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0</v>
      </c>
      <c r="E34" s="19">
        <v>-1</v>
      </c>
      <c r="F34" s="19">
        <v>-1</v>
      </c>
      <c r="G34" s="19">
        <v>-2</v>
      </c>
      <c r="H34" s="19">
        <v>-2</v>
      </c>
      <c r="I34" s="19">
        <v>-2</v>
      </c>
      <c r="J34" s="19">
        <v>-2</v>
      </c>
    </row>
    <row r="35" spans="1:13" x14ac:dyDescent="0.25">
      <c r="A35" s="6" t="s">
        <v>209</v>
      </c>
      <c r="C35" s="31">
        <v>-2</v>
      </c>
      <c r="D35" s="13">
        <v>1</v>
      </c>
      <c r="E35" s="13">
        <v>12</v>
      </c>
      <c r="F35" s="13">
        <v>14</v>
      </c>
      <c r="G35" s="13">
        <v>14</v>
      </c>
      <c r="H35" s="13">
        <v>16</v>
      </c>
      <c r="I35" s="13">
        <v>17</v>
      </c>
      <c r="J35" s="13">
        <v>19</v>
      </c>
    </row>
    <row r="36" spans="1:13" x14ac:dyDescent="0.25">
      <c r="A36" s="7" t="s">
        <v>212</v>
      </c>
      <c r="B36" s="20">
        <v>0.39500000000000002</v>
      </c>
      <c r="C36" s="10">
        <v>1</v>
      </c>
      <c r="D36" s="19">
        <v>-1</v>
      </c>
      <c r="E36" s="19">
        <v>-5</v>
      </c>
      <c r="F36" s="19">
        <v>-5</v>
      </c>
      <c r="G36" s="19">
        <v>-6</v>
      </c>
      <c r="H36" s="19">
        <v>-6</v>
      </c>
      <c r="I36" s="19">
        <v>-7</v>
      </c>
      <c r="J36" s="19">
        <v>-7</v>
      </c>
    </row>
    <row r="37" spans="1:13" x14ac:dyDescent="0.25">
      <c r="A37" s="7" t="s">
        <v>821</v>
      </c>
      <c r="B37" s="20"/>
      <c r="C37" s="10" t="e">
        <f>C0*B36</f>
        <v>#NAME?</v>
      </c>
      <c r="D37" s="19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9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9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13">
        <v>1</v>
      </c>
      <c r="E40" s="13">
        <v>7</v>
      </c>
      <c r="F40" s="13">
        <v>8</v>
      </c>
      <c r="G40" s="13">
        <v>9</v>
      </c>
      <c r="H40" s="13">
        <v>9</v>
      </c>
      <c r="I40" s="13">
        <v>10</v>
      </c>
      <c r="J40" s="13">
        <v>11</v>
      </c>
    </row>
    <row r="41" spans="1:13" x14ac:dyDescent="0.25">
      <c r="A41" s="6" t="s">
        <v>819</v>
      </c>
      <c r="C41" s="31" t="e">
        <f>C0-C36</f>
        <v>#NAME?</v>
      </c>
      <c r="D41" s="13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13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13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1</v>
      </c>
      <c r="F44" s="10">
        <v>1</v>
      </c>
      <c r="G44" s="10">
        <v>2</v>
      </c>
      <c r="H44" s="10">
        <v>2</v>
      </c>
      <c r="I44" s="10">
        <v>2</v>
      </c>
      <c r="J44" s="10">
        <v>2</v>
      </c>
    </row>
    <row r="45" spans="1:13" x14ac:dyDescent="0.25">
      <c r="A45" s="7" t="s">
        <v>625</v>
      </c>
      <c r="C45" s="10">
        <v>0</v>
      </c>
      <c r="D45" s="10">
        <v>2</v>
      </c>
      <c r="E45" s="10">
        <v>2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</row>
    <row r="46" spans="1:13" x14ac:dyDescent="0.25">
      <c r="A46" s="7" t="s">
        <v>113</v>
      </c>
      <c r="C46" s="19">
        <v>0</v>
      </c>
      <c r="D46" s="19">
        <v>-1</v>
      </c>
      <c r="E46" s="19">
        <v>-2</v>
      </c>
      <c r="F46" s="19">
        <v>-2</v>
      </c>
      <c r="G46" s="19">
        <v>-2</v>
      </c>
      <c r="H46" s="19">
        <v>-2</v>
      </c>
      <c r="I46" s="19">
        <v>-2</v>
      </c>
      <c r="J46" s="19">
        <v>-2</v>
      </c>
    </row>
    <row r="47" spans="1:13" x14ac:dyDescent="0.25">
      <c r="A47" s="6" t="s">
        <v>639</v>
      </c>
      <c r="C47" s="31">
        <v>-1</v>
      </c>
      <c r="D47" s="13">
        <v>2</v>
      </c>
      <c r="E47" s="13">
        <v>9</v>
      </c>
      <c r="F47" s="13">
        <v>8</v>
      </c>
      <c r="G47" s="13">
        <v>9</v>
      </c>
      <c r="H47" s="13">
        <v>10</v>
      </c>
      <c r="I47" s="13">
        <v>11</v>
      </c>
      <c r="J47" s="13">
        <v>12</v>
      </c>
    </row>
    <row r="48" spans="1:13" x14ac:dyDescent="0.25">
      <c r="A48" s="6" t="s">
        <v>640</v>
      </c>
      <c r="C48" s="10">
        <v>2</v>
      </c>
      <c r="D48" s="10">
        <v>7</v>
      </c>
      <c r="E48" s="10">
        <v>7</v>
      </c>
      <c r="F48" s="10">
        <v>8</v>
      </c>
      <c r="G48" s="10">
        <v>9</v>
      </c>
      <c r="H48" s="10">
        <v>10</v>
      </c>
      <c r="I48" s="10">
        <v>11</v>
      </c>
      <c r="J48" s="10">
        <v>12</v>
      </c>
    </row>
    <row r="49" spans="1:13" x14ac:dyDescent="0.25">
      <c r="A49" s="6" t="s">
        <v>641</v>
      </c>
      <c r="C49" s="19">
        <v>-1</v>
      </c>
      <c r="D49" s="10">
        <v>2</v>
      </c>
      <c r="E49" s="10">
        <v>9</v>
      </c>
      <c r="F49" s="10">
        <v>8</v>
      </c>
      <c r="G49" s="10">
        <v>9</v>
      </c>
      <c r="H49" s="10">
        <v>10</v>
      </c>
      <c r="I49" s="10">
        <v>11</v>
      </c>
      <c r="J49" s="10">
        <v>12</v>
      </c>
    </row>
    <row r="50" spans="1:13" x14ac:dyDescent="0.25">
      <c r="A50" s="6" t="s">
        <v>642</v>
      </c>
      <c r="C50" s="13">
        <v>3</v>
      </c>
      <c r="D50" s="13">
        <v>4</v>
      </c>
      <c r="E50" s="31">
        <v>-1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3</v>
      </c>
      <c r="D52" s="13">
        <v>4</v>
      </c>
      <c r="E52" s="31">
        <v>-1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6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1</v>
      </c>
      <c r="E57" s="10">
        <v>7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7</v>
      </c>
      <c r="E58" s="15">
        <v>0</v>
      </c>
      <c r="F58" s="10">
        <v>7</v>
      </c>
      <c r="G58" s="10">
        <v>7</v>
      </c>
      <c r="H58" s="10">
        <v>7</v>
      </c>
      <c r="I58" s="10">
        <v>7</v>
      </c>
    </row>
    <row r="59" spans="1:13" x14ac:dyDescent="0.25">
      <c r="E59" s="15">
        <v>0.05</v>
      </c>
      <c r="F59" s="10">
        <v>7</v>
      </c>
      <c r="G59" s="10">
        <v>7</v>
      </c>
      <c r="H59" s="10">
        <v>7</v>
      </c>
      <c r="I59" s="10">
        <v>7</v>
      </c>
    </row>
    <row r="60" spans="1:13" x14ac:dyDescent="0.25">
      <c r="D60" s="7" t="s">
        <v>644</v>
      </c>
      <c r="E60" s="15">
        <v>0.1</v>
      </c>
      <c r="F60" s="10">
        <v>9</v>
      </c>
      <c r="G60" s="10">
        <v>9</v>
      </c>
      <c r="H60" s="10">
        <v>9</v>
      </c>
      <c r="I60" s="10">
        <v>9</v>
      </c>
    </row>
    <row r="61" spans="1:13" x14ac:dyDescent="0.25">
      <c r="D61" s="7" t="s">
        <v>645</v>
      </c>
      <c r="E61" s="15">
        <v>0.15</v>
      </c>
      <c r="F61" s="10">
        <v>10</v>
      </c>
      <c r="G61" s="10">
        <v>10</v>
      </c>
      <c r="H61" s="10">
        <v>10</v>
      </c>
      <c r="I61" s="10">
        <v>10</v>
      </c>
    </row>
    <row r="62" spans="1:13" x14ac:dyDescent="0.25">
      <c r="E62" s="15">
        <v>0.2</v>
      </c>
      <c r="F62" s="10">
        <v>12</v>
      </c>
      <c r="G62" s="10">
        <v>12</v>
      </c>
      <c r="H62" s="10">
        <v>12</v>
      </c>
      <c r="I62" s="10">
        <v>12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0.50900000000000001</v>
      </c>
      <c r="D64" s="20">
        <v>0.51300000000000001</v>
      </c>
      <c r="E64" s="20">
        <v>0.48</v>
      </c>
      <c r="F64" s="20">
        <v>0.46400000000000002</v>
      </c>
      <c r="G64" s="20">
        <v>0.46400000000000002</v>
      </c>
      <c r="H64" s="20">
        <v>0.45100000000000001</v>
      </c>
      <c r="I64" s="20">
        <v>0.439</v>
      </c>
      <c r="J64" s="20">
        <v>0.42799999999999999</v>
      </c>
    </row>
    <row r="65" spans="1:11" x14ac:dyDescent="0.25">
      <c r="A65" s="7" t="s">
        <v>647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648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1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1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658</v>
      </c>
    </row>
    <row r="5" spans="1:13" x14ac:dyDescent="0.25">
      <c r="A5" s="6" t="s">
        <v>11</v>
      </c>
    </row>
    <row r="6" spans="1:13" x14ac:dyDescent="0.25">
      <c r="C6" s="9" t="s">
        <v>659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115</v>
      </c>
      <c r="C9" s="10">
        <v>28</v>
      </c>
      <c r="D9" s="10">
        <v>116</v>
      </c>
      <c r="E9" s="10">
        <v>119</v>
      </c>
      <c r="F9" s="10">
        <v>122</v>
      </c>
      <c r="G9" s="10">
        <v>123</v>
      </c>
      <c r="H9" s="10">
        <v>128</v>
      </c>
      <c r="I9" s="10">
        <v>132</v>
      </c>
      <c r="J9" s="10">
        <v>137</v>
      </c>
    </row>
    <row r="10" spans="1:13" x14ac:dyDescent="0.25">
      <c r="A10" s="7" t="s">
        <v>620</v>
      </c>
      <c r="C10" s="19">
        <v>-19</v>
      </c>
      <c r="D10" s="19">
        <v>-79</v>
      </c>
      <c r="E10" s="19">
        <v>-78</v>
      </c>
      <c r="F10" s="19">
        <v>-79</v>
      </c>
      <c r="G10" s="19">
        <v>-80</v>
      </c>
      <c r="H10" s="19">
        <v>-82</v>
      </c>
      <c r="I10" s="19">
        <v>-83</v>
      </c>
      <c r="J10" s="19">
        <v>-85</v>
      </c>
    </row>
    <row r="11" spans="1:13" x14ac:dyDescent="0.25">
      <c r="A11" s="7" t="s">
        <v>621</v>
      </c>
      <c r="C11" s="10">
        <v>9</v>
      </c>
      <c r="D11" s="10">
        <v>37</v>
      </c>
      <c r="E11" s="10">
        <v>41</v>
      </c>
      <c r="F11" s="10">
        <v>43</v>
      </c>
      <c r="G11" s="10">
        <v>43</v>
      </c>
      <c r="H11" s="10">
        <v>46</v>
      </c>
      <c r="I11" s="10">
        <v>49</v>
      </c>
      <c r="J11" s="10">
        <v>52</v>
      </c>
    </row>
    <row r="12" spans="1:13" x14ac:dyDescent="0.25">
      <c r="A12" s="7" t="s">
        <v>622</v>
      </c>
      <c r="C12" s="19">
        <v>-1</v>
      </c>
      <c r="D12" s="19">
        <v>-4</v>
      </c>
      <c r="E12" s="19">
        <v>-4</v>
      </c>
      <c r="F12" s="19">
        <v>-6</v>
      </c>
      <c r="G12" s="19">
        <v>-7</v>
      </c>
      <c r="H12" s="19">
        <v>-7</v>
      </c>
      <c r="I12" s="19">
        <v>-7</v>
      </c>
      <c r="J12" s="19">
        <v>-7</v>
      </c>
    </row>
    <row r="13" spans="1:13" x14ac:dyDescent="0.25">
      <c r="A13" s="7" t="s">
        <v>209</v>
      </c>
      <c r="C13" s="10">
        <v>8</v>
      </c>
      <c r="D13" s="10">
        <v>33</v>
      </c>
      <c r="E13" s="10">
        <v>37</v>
      </c>
      <c r="F13" s="10">
        <v>37</v>
      </c>
      <c r="G13" s="10">
        <v>37</v>
      </c>
      <c r="H13" s="10">
        <v>39</v>
      </c>
      <c r="I13" s="10">
        <v>42</v>
      </c>
      <c r="J13" s="10">
        <v>45</v>
      </c>
    </row>
    <row r="14" spans="1:13" x14ac:dyDescent="0.25">
      <c r="A14" s="7" t="s">
        <v>623</v>
      </c>
      <c r="B14" s="20">
        <v>0.39500000000000002</v>
      </c>
      <c r="C14" s="19">
        <v>-3</v>
      </c>
      <c r="D14" s="19">
        <v>-13</v>
      </c>
      <c r="E14" s="19">
        <v>-14</v>
      </c>
      <c r="F14" s="19">
        <v>-15</v>
      </c>
      <c r="G14" s="19">
        <v>-14</v>
      </c>
      <c r="H14" s="19">
        <v>-16</v>
      </c>
      <c r="I14" s="19">
        <v>-17</v>
      </c>
      <c r="J14" s="19">
        <v>-18</v>
      </c>
    </row>
    <row r="15" spans="1:13" x14ac:dyDescent="0.25">
      <c r="A15" s="7" t="s">
        <v>624</v>
      </c>
      <c r="C15" s="10">
        <v>5</v>
      </c>
      <c r="D15" s="10">
        <v>20</v>
      </c>
      <c r="E15" s="10">
        <v>22</v>
      </c>
      <c r="F15" s="10">
        <v>22</v>
      </c>
      <c r="G15" s="10">
        <v>22</v>
      </c>
      <c r="H15" s="10">
        <v>24</v>
      </c>
      <c r="I15" s="10">
        <v>26</v>
      </c>
      <c r="J15" s="10">
        <v>27</v>
      </c>
    </row>
    <row r="16" spans="1:13" x14ac:dyDescent="0.25">
      <c r="A16" s="7" t="s">
        <v>111</v>
      </c>
      <c r="C16" s="10">
        <v>1</v>
      </c>
      <c r="D16" s="10">
        <v>4</v>
      </c>
      <c r="E16" s="10">
        <v>4</v>
      </c>
      <c r="F16" s="10">
        <v>6</v>
      </c>
      <c r="G16" s="10">
        <v>7</v>
      </c>
      <c r="H16" s="10">
        <v>7</v>
      </c>
      <c r="I16" s="10">
        <v>7</v>
      </c>
      <c r="J16" s="10">
        <v>7</v>
      </c>
    </row>
    <row r="17" spans="1:10" x14ac:dyDescent="0.25">
      <c r="A17" s="7" t="s">
        <v>625</v>
      </c>
      <c r="C17" s="42">
        <v>-0.1</v>
      </c>
      <c r="D17" s="10">
        <v>0</v>
      </c>
      <c r="E17" s="10">
        <v>1</v>
      </c>
      <c r="F17" s="10">
        <v>0</v>
      </c>
      <c r="G17" s="10">
        <v>0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-2</v>
      </c>
      <c r="D18" s="19">
        <v>-7</v>
      </c>
      <c r="E18" s="19">
        <v>-7</v>
      </c>
      <c r="F18" s="19">
        <v>-7</v>
      </c>
      <c r="G18" s="19">
        <v>-7</v>
      </c>
      <c r="H18" s="19">
        <v>-7</v>
      </c>
      <c r="I18" s="19">
        <v>-7</v>
      </c>
      <c r="J18" s="19">
        <v>-7</v>
      </c>
    </row>
    <row r="19" spans="1:10" x14ac:dyDescent="0.25">
      <c r="A19" s="7" t="s">
        <v>626</v>
      </c>
      <c r="C19" s="10">
        <v>4</v>
      </c>
      <c r="D19" s="10">
        <v>17</v>
      </c>
      <c r="E19" s="10">
        <v>20</v>
      </c>
      <c r="F19" s="10">
        <v>22</v>
      </c>
      <c r="G19" s="10">
        <v>22</v>
      </c>
      <c r="H19" s="10">
        <v>25</v>
      </c>
      <c r="I19" s="10">
        <v>26</v>
      </c>
      <c r="J19" s="10">
        <v>28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1.2E-2</v>
      </c>
      <c r="E21" s="20">
        <v>2.9000000000000001E-2</v>
      </c>
      <c r="F21" s="20">
        <v>2.1000000000000001E-2</v>
      </c>
      <c r="G21" s="20">
        <v>1.4999999999999999E-2</v>
      </c>
      <c r="H21" s="20">
        <v>3.5999999999999997E-2</v>
      </c>
      <c r="I21" s="20">
        <v>3.5000000000000003E-2</v>
      </c>
      <c r="J21" s="20">
        <v>3.3000000000000002E-2</v>
      </c>
    </row>
    <row r="22" spans="1:10" x14ac:dyDescent="0.25">
      <c r="A22" s="7" t="s">
        <v>629</v>
      </c>
      <c r="C22" s="20">
        <v>0.32300000000000001</v>
      </c>
      <c r="D22" s="20">
        <v>0.31900000000000001</v>
      </c>
      <c r="E22" s="20">
        <v>0.34200000000000003</v>
      </c>
      <c r="F22" s="20">
        <v>0.35199999999999998</v>
      </c>
      <c r="G22" s="20">
        <v>0.35099999999999998</v>
      </c>
      <c r="H22" s="20">
        <v>0.36199999999999999</v>
      </c>
      <c r="I22" s="20">
        <v>0.371</v>
      </c>
      <c r="J22" s="20">
        <v>0.38100000000000001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3</v>
      </c>
      <c r="D28" s="10">
        <v>62</v>
      </c>
      <c r="E28" s="10">
        <v>115</v>
      </c>
      <c r="F28" s="10">
        <v>122</v>
      </c>
      <c r="G28" s="10">
        <v>123</v>
      </c>
      <c r="H28" s="10">
        <v>128</v>
      </c>
      <c r="I28" s="10">
        <v>132</v>
      </c>
      <c r="J28" s="10">
        <v>137</v>
      </c>
    </row>
    <row r="29" spans="1:10" x14ac:dyDescent="0.25">
      <c r="A29" s="7" t="s">
        <v>635</v>
      </c>
      <c r="C29" s="19">
        <v>-15</v>
      </c>
      <c r="D29" s="19">
        <v>-63</v>
      </c>
      <c r="E29" s="19">
        <v>-63</v>
      </c>
      <c r="F29" s="19">
        <v>-63</v>
      </c>
      <c r="G29" s="19">
        <v>-64</v>
      </c>
      <c r="H29" s="19">
        <v>-65</v>
      </c>
      <c r="I29" s="19">
        <v>-67</v>
      </c>
      <c r="J29" s="19">
        <v>-68</v>
      </c>
    </row>
    <row r="30" spans="1:10" x14ac:dyDescent="0.25">
      <c r="A30" s="7" t="s">
        <v>636</v>
      </c>
      <c r="C30" s="19">
        <v>0</v>
      </c>
      <c r="D30" s="19">
        <v>-8</v>
      </c>
      <c r="E30" s="19">
        <v>-15</v>
      </c>
      <c r="F30" s="19">
        <v>-16</v>
      </c>
      <c r="G30" s="19">
        <v>-16</v>
      </c>
      <c r="H30" s="19">
        <v>-16</v>
      </c>
      <c r="I30" s="19">
        <v>-17</v>
      </c>
      <c r="J30" s="19">
        <v>-17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-13</v>
      </c>
      <c r="D32" s="31">
        <v>-9</v>
      </c>
      <c r="E32" s="13">
        <v>37</v>
      </c>
      <c r="F32" s="13">
        <v>43</v>
      </c>
      <c r="G32" s="13">
        <v>43</v>
      </c>
      <c r="H32" s="13">
        <v>46</v>
      </c>
      <c r="I32" s="13">
        <v>49</v>
      </c>
      <c r="J32" s="13">
        <v>52</v>
      </c>
    </row>
    <row r="33" spans="1:13" x14ac:dyDescent="0.25">
      <c r="A33" s="11" t="s">
        <v>638</v>
      </c>
      <c r="C33" s="41">
        <v>22</v>
      </c>
      <c r="D33" s="41">
        <v>46</v>
      </c>
      <c r="E33" s="41">
        <v>4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-2</v>
      </c>
      <c r="E34" s="19">
        <v>-4</v>
      </c>
      <c r="F34" s="19">
        <v>-6</v>
      </c>
      <c r="G34" s="19">
        <v>-7</v>
      </c>
      <c r="H34" s="19">
        <v>-7</v>
      </c>
      <c r="I34" s="19">
        <v>-7</v>
      </c>
      <c r="J34" s="19">
        <v>-7</v>
      </c>
    </row>
    <row r="35" spans="1:13" x14ac:dyDescent="0.25">
      <c r="A35" s="6" t="s">
        <v>209</v>
      </c>
      <c r="C35" s="31">
        <v>-13</v>
      </c>
      <c r="D35" s="31">
        <v>-12</v>
      </c>
      <c r="E35" s="13">
        <v>33</v>
      </c>
      <c r="F35" s="13">
        <v>37</v>
      </c>
      <c r="G35" s="13">
        <v>37</v>
      </c>
      <c r="H35" s="13">
        <v>39</v>
      </c>
      <c r="I35" s="13">
        <v>42</v>
      </c>
      <c r="J35" s="13">
        <v>45</v>
      </c>
    </row>
    <row r="36" spans="1:13" x14ac:dyDescent="0.25">
      <c r="A36" s="7" t="s">
        <v>212</v>
      </c>
      <c r="B36" s="20">
        <v>0.39500000000000002</v>
      </c>
      <c r="C36" s="10">
        <v>5</v>
      </c>
      <c r="D36" s="10">
        <v>5</v>
      </c>
      <c r="E36" s="19">
        <v>-13</v>
      </c>
      <c r="F36" s="19">
        <v>-15</v>
      </c>
      <c r="G36" s="19">
        <v>-14</v>
      </c>
      <c r="H36" s="19">
        <v>-16</v>
      </c>
      <c r="I36" s="19">
        <v>-17</v>
      </c>
      <c r="J36" s="19">
        <v>-18</v>
      </c>
    </row>
    <row r="37" spans="1:13" x14ac:dyDescent="0.25">
      <c r="A37" s="7" t="s">
        <v>821</v>
      </c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0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-8</v>
      </c>
      <c r="D40" s="31">
        <v>-7</v>
      </c>
      <c r="E40" s="13">
        <v>20</v>
      </c>
      <c r="F40" s="13">
        <v>22</v>
      </c>
      <c r="G40" s="13">
        <v>22</v>
      </c>
      <c r="H40" s="13">
        <v>24</v>
      </c>
      <c r="I40" s="13">
        <v>26</v>
      </c>
      <c r="J40" s="13">
        <v>27</v>
      </c>
    </row>
    <row r="41" spans="1:13" x14ac:dyDescent="0.25">
      <c r="A41" s="6" t="s">
        <v>819</v>
      </c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31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4</v>
      </c>
      <c r="F44" s="10">
        <v>6</v>
      </c>
      <c r="G44" s="10">
        <v>7</v>
      </c>
      <c r="H44" s="10">
        <v>7</v>
      </c>
      <c r="I44" s="10">
        <v>7</v>
      </c>
      <c r="J44" s="10">
        <v>7</v>
      </c>
    </row>
    <row r="45" spans="1:13" x14ac:dyDescent="0.25">
      <c r="A45" s="7" t="s">
        <v>625</v>
      </c>
      <c r="C45" s="10">
        <v>0</v>
      </c>
      <c r="D45" s="10">
        <v>7</v>
      </c>
      <c r="E45" s="10">
        <v>8</v>
      </c>
      <c r="F45" s="10">
        <v>0</v>
      </c>
      <c r="G45" s="10">
        <v>0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-4</v>
      </c>
      <c r="E46" s="19">
        <v>-7</v>
      </c>
      <c r="F46" s="19">
        <v>-7</v>
      </c>
      <c r="G46" s="19">
        <v>-7</v>
      </c>
      <c r="H46" s="19">
        <v>-7</v>
      </c>
      <c r="I46" s="19">
        <v>-7</v>
      </c>
      <c r="J46" s="19">
        <v>-7</v>
      </c>
    </row>
    <row r="47" spans="1:13" x14ac:dyDescent="0.25">
      <c r="A47" s="6" t="s">
        <v>639</v>
      </c>
      <c r="C47" s="31">
        <v>-7</v>
      </c>
      <c r="D47" s="31">
        <v>-1</v>
      </c>
      <c r="E47" s="13">
        <v>25</v>
      </c>
      <c r="F47" s="13">
        <v>22</v>
      </c>
      <c r="G47" s="13">
        <v>22</v>
      </c>
      <c r="H47" s="13">
        <v>25</v>
      </c>
      <c r="I47" s="13">
        <v>26</v>
      </c>
      <c r="J47" s="13">
        <v>28</v>
      </c>
    </row>
    <row r="48" spans="1:13" x14ac:dyDescent="0.25">
      <c r="A48" s="6" t="s">
        <v>640</v>
      </c>
      <c r="C48" s="10">
        <v>4</v>
      </c>
      <c r="D48" s="10">
        <v>17</v>
      </c>
      <c r="E48" s="10">
        <v>20</v>
      </c>
      <c r="F48" s="10">
        <v>22</v>
      </c>
      <c r="G48" s="10">
        <v>22</v>
      </c>
      <c r="H48" s="10">
        <v>25</v>
      </c>
      <c r="I48" s="10">
        <v>26</v>
      </c>
      <c r="J48" s="10">
        <v>28</v>
      </c>
    </row>
    <row r="49" spans="1:13" x14ac:dyDescent="0.25">
      <c r="A49" s="6" t="s">
        <v>641</v>
      </c>
      <c r="C49" s="19">
        <v>-7</v>
      </c>
      <c r="D49" s="19">
        <v>-1</v>
      </c>
      <c r="E49" s="10">
        <v>25</v>
      </c>
      <c r="F49" s="10">
        <v>22</v>
      </c>
      <c r="G49" s="10">
        <v>22</v>
      </c>
      <c r="H49" s="10">
        <v>25</v>
      </c>
      <c r="I49" s="10">
        <v>26</v>
      </c>
      <c r="J49" s="10">
        <v>28</v>
      </c>
    </row>
    <row r="50" spans="1:13" x14ac:dyDescent="0.25">
      <c r="A50" s="6" t="s">
        <v>642</v>
      </c>
      <c r="C50" s="13">
        <v>11</v>
      </c>
      <c r="D50" s="13">
        <v>18</v>
      </c>
      <c r="E50" s="31">
        <v>-6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11</v>
      </c>
      <c r="D52" s="13">
        <v>17</v>
      </c>
      <c r="E52" s="31">
        <v>-5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23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6</v>
      </c>
      <c r="E57" s="10">
        <v>30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30</v>
      </c>
      <c r="E58" s="15">
        <v>0</v>
      </c>
      <c r="F58" s="10">
        <v>29</v>
      </c>
      <c r="G58" s="10">
        <v>29</v>
      </c>
      <c r="H58" s="10">
        <v>29</v>
      </c>
      <c r="I58" s="10">
        <v>29</v>
      </c>
    </row>
    <row r="59" spans="1:13" x14ac:dyDescent="0.25">
      <c r="E59" s="15">
        <v>0.05</v>
      </c>
      <c r="F59" s="10">
        <v>30</v>
      </c>
      <c r="G59" s="10">
        <v>30</v>
      </c>
      <c r="H59" s="10">
        <v>30</v>
      </c>
      <c r="I59" s="10">
        <v>30</v>
      </c>
    </row>
    <row r="60" spans="1:13" x14ac:dyDescent="0.25">
      <c r="D60" s="7" t="s">
        <v>644</v>
      </c>
      <c r="E60" s="15">
        <v>0.1</v>
      </c>
      <c r="F60" s="10">
        <v>35</v>
      </c>
      <c r="G60" s="10">
        <v>35</v>
      </c>
      <c r="H60" s="10">
        <v>35</v>
      </c>
      <c r="I60" s="10">
        <v>35</v>
      </c>
    </row>
    <row r="61" spans="1:13" x14ac:dyDescent="0.25">
      <c r="D61" s="7" t="s">
        <v>645</v>
      </c>
      <c r="E61" s="15">
        <v>0.15</v>
      </c>
      <c r="F61" s="10">
        <v>44</v>
      </c>
      <c r="G61" s="10">
        <v>44</v>
      </c>
      <c r="H61" s="10">
        <v>44</v>
      </c>
      <c r="I61" s="10">
        <v>44</v>
      </c>
    </row>
    <row r="62" spans="1:13" x14ac:dyDescent="0.25">
      <c r="E62" s="15">
        <v>0.2</v>
      </c>
      <c r="F62" s="10">
        <v>53</v>
      </c>
      <c r="G62" s="10">
        <v>53</v>
      </c>
      <c r="H62" s="10">
        <v>53</v>
      </c>
      <c r="I62" s="10">
        <v>53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0.67700000000000005</v>
      </c>
      <c r="D64" s="20">
        <v>0.68100000000000005</v>
      </c>
      <c r="E64" s="20">
        <v>0.65800000000000003</v>
      </c>
      <c r="F64" s="20">
        <v>0.64800000000000002</v>
      </c>
      <c r="G64" s="20">
        <v>0.64900000000000002</v>
      </c>
      <c r="H64" s="20">
        <v>0.63800000000000001</v>
      </c>
      <c r="I64" s="20">
        <v>0.629</v>
      </c>
      <c r="J64" s="20">
        <v>0.61899999999999999</v>
      </c>
    </row>
    <row r="65" spans="1:11" x14ac:dyDescent="0.25">
      <c r="A65" s="7" t="s">
        <v>647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648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1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1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660</v>
      </c>
    </row>
    <row r="5" spans="1:13" x14ac:dyDescent="0.25">
      <c r="A5" s="6" t="s">
        <v>11</v>
      </c>
    </row>
    <row r="6" spans="1:13" x14ac:dyDescent="0.25">
      <c r="C6" s="9" t="s">
        <v>659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123</v>
      </c>
      <c r="C9" s="10">
        <v>31</v>
      </c>
      <c r="D9" s="10">
        <v>130</v>
      </c>
      <c r="E9" s="10">
        <v>133</v>
      </c>
      <c r="F9" s="10">
        <v>137</v>
      </c>
      <c r="G9" s="10">
        <v>140</v>
      </c>
      <c r="H9" s="10">
        <v>144</v>
      </c>
      <c r="I9" s="10">
        <v>148</v>
      </c>
      <c r="J9" s="10">
        <v>152</v>
      </c>
    </row>
    <row r="10" spans="1:13" x14ac:dyDescent="0.25">
      <c r="A10" s="7" t="s">
        <v>620</v>
      </c>
      <c r="C10" s="19">
        <v>-21</v>
      </c>
      <c r="D10" s="19">
        <v>-87</v>
      </c>
      <c r="E10" s="19">
        <v>-86</v>
      </c>
      <c r="F10" s="19">
        <v>-86</v>
      </c>
      <c r="G10" s="19">
        <v>-86</v>
      </c>
      <c r="H10" s="19">
        <v>-87</v>
      </c>
      <c r="I10" s="19">
        <v>-89</v>
      </c>
      <c r="J10" s="19">
        <v>-90</v>
      </c>
    </row>
    <row r="11" spans="1:13" x14ac:dyDescent="0.25">
      <c r="A11" s="7" t="s">
        <v>621</v>
      </c>
      <c r="C11" s="10">
        <v>10</v>
      </c>
      <c r="D11" s="10">
        <v>43</v>
      </c>
      <c r="E11" s="10">
        <v>48</v>
      </c>
      <c r="F11" s="10">
        <v>51</v>
      </c>
      <c r="G11" s="10">
        <v>54</v>
      </c>
      <c r="H11" s="10">
        <v>57</v>
      </c>
      <c r="I11" s="10">
        <v>59</v>
      </c>
      <c r="J11" s="10">
        <v>62</v>
      </c>
    </row>
    <row r="12" spans="1:13" x14ac:dyDescent="0.25">
      <c r="A12" s="7" t="s">
        <v>622</v>
      </c>
      <c r="C12" s="19">
        <v>-1</v>
      </c>
      <c r="D12" s="19">
        <v>-4</v>
      </c>
      <c r="E12" s="19">
        <v>-5</v>
      </c>
      <c r="F12" s="19">
        <v>-7</v>
      </c>
      <c r="G12" s="19">
        <v>-8</v>
      </c>
      <c r="H12" s="19">
        <v>-8</v>
      </c>
      <c r="I12" s="19">
        <v>-7</v>
      </c>
      <c r="J12" s="19">
        <v>-7</v>
      </c>
    </row>
    <row r="13" spans="1:13" x14ac:dyDescent="0.25">
      <c r="A13" s="7" t="s">
        <v>209</v>
      </c>
      <c r="C13" s="10">
        <v>9</v>
      </c>
      <c r="D13" s="10">
        <v>39</v>
      </c>
      <c r="E13" s="10">
        <v>43</v>
      </c>
      <c r="F13" s="10">
        <v>44</v>
      </c>
      <c r="G13" s="10">
        <v>46</v>
      </c>
      <c r="H13" s="10">
        <v>49</v>
      </c>
      <c r="I13" s="10">
        <v>52</v>
      </c>
      <c r="J13" s="10">
        <v>54</v>
      </c>
    </row>
    <row r="14" spans="1:13" x14ac:dyDescent="0.25">
      <c r="A14" s="7" t="s">
        <v>623</v>
      </c>
      <c r="B14" s="20">
        <v>0.39500000000000002</v>
      </c>
      <c r="C14" s="19">
        <v>-4</v>
      </c>
      <c r="D14" s="19">
        <v>-15</v>
      </c>
      <c r="E14" s="19">
        <v>-17</v>
      </c>
      <c r="F14" s="19">
        <v>-17</v>
      </c>
      <c r="G14" s="19">
        <v>-18</v>
      </c>
      <c r="H14" s="19">
        <v>-19</v>
      </c>
      <c r="I14" s="19">
        <v>-20</v>
      </c>
      <c r="J14" s="19">
        <v>-22</v>
      </c>
    </row>
    <row r="15" spans="1:13" x14ac:dyDescent="0.25">
      <c r="A15" s="7" t="s">
        <v>624</v>
      </c>
      <c r="C15" s="10">
        <v>5</v>
      </c>
      <c r="D15" s="10">
        <v>24</v>
      </c>
      <c r="E15" s="10">
        <v>26</v>
      </c>
      <c r="F15" s="10">
        <v>26</v>
      </c>
      <c r="G15" s="10">
        <v>28</v>
      </c>
      <c r="H15" s="10">
        <v>30</v>
      </c>
      <c r="I15" s="10">
        <v>31</v>
      </c>
      <c r="J15" s="10">
        <v>33</v>
      </c>
    </row>
    <row r="16" spans="1:13" x14ac:dyDescent="0.25">
      <c r="A16" s="7" t="s">
        <v>111</v>
      </c>
      <c r="C16" s="10">
        <v>1</v>
      </c>
      <c r="D16" s="10">
        <v>4</v>
      </c>
      <c r="E16" s="10">
        <v>5</v>
      </c>
      <c r="F16" s="10">
        <v>7</v>
      </c>
      <c r="G16" s="10">
        <v>8</v>
      </c>
      <c r="H16" s="10">
        <v>8</v>
      </c>
      <c r="I16" s="10">
        <v>7</v>
      </c>
      <c r="J16" s="10">
        <v>7</v>
      </c>
    </row>
    <row r="17" spans="1:10" x14ac:dyDescent="0.25">
      <c r="A17" s="7" t="s">
        <v>625</v>
      </c>
      <c r="C17" s="10">
        <v>1</v>
      </c>
      <c r="D17" s="10">
        <v>1</v>
      </c>
      <c r="E17" s="10">
        <v>1</v>
      </c>
      <c r="F17" s="10">
        <v>1</v>
      </c>
      <c r="G17" s="10">
        <v>1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-2</v>
      </c>
      <c r="D18" s="19">
        <v>-8</v>
      </c>
      <c r="E18" s="19">
        <v>-8</v>
      </c>
      <c r="F18" s="19">
        <v>-8</v>
      </c>
      <c r="G18" s="19">
        <v>-8</v>
      </c>
      <c r="H18" s="19">
        <v>-8</v>
      </c>
      <c r="I18" s="19">
        <v>-8</v>
      </c>
      <c r="J18" s="19">
        <v>-8</v>
      </c>
    </row>
    <row r="19" spans="1:10" x14ac:dyDescent="0.25">
      <c r="A19" s="7" t="s">
        <v>626</v>
      </c>
      <c r="C19" s="10">
        <v>6</v>
      </c>
      <c r="D19" s="10">
        <v>21</v>
      </c>
      <c r="E19" s="10">
        <v>23</v>
      </c>
      <c r="F19" s="10">
        <v>27</v>
      </c>
      <c r="G19" s="10">
        <v>29</v>
      </c>
      <c r="H19" s="10">
        <v>31</v>
      </c>
      <c r="I19" s="10">
        <v>32</v>
      </c>
      <c r="J19" s="10">
        <v>34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2.4E-2</v>
      </c>
      <c r="E21" s="20">
        <v>2.4E-2</v>
      </c>
      <c r="F21" s="20">
        <v>2.5000000000000001E-2</v>
      </c>
      <c r="G21" s="20">
        <v>2.5999999999999999E-2</v>
      </c>
      <c r="H21" s="20">
        <v>2.5999999999999999E-2</v>
      </c>
      <c r="I21" s="20">
        <v>2.7E-2</v>
      </c>
      <c r="J21" s="20">
        <v>2.8000000000000001E-2</v>
      </c>
    </row>
    <row r="22" spans="1:10" x14ac:dyDescent="0.25">
      <c r="A22" s="7" t="s">
        <v>629</v>
      </c>
      <c r="C22" s="20">
        <v>0.32400000000000001</v>
      </c>
      <c r="D22" s="20">
        <v>0.33300000000000002</v>
      </c>
      <c r="E22" s="20">
        <v>0.35699999999999998</v>
      </c>
      <c r="F22" s="20">
        <v>0.371</v>
      </c>
      <c r="G22" s="20">
        <v>0.38300000000000001</v>
      </c>
      <c r="H22" s="20">
        <v>0.39300000000000002</v>
      </c>
      <c r="I22" s="20">
        <v>0.4</v>
      </c>
      <c r="J22" s="20">
        <v>0.40799999999999997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-0.27100000000000002</v>
      </c>
      <c r="D24" s="20">
        <v>-0.28199999999999997</v>
      </c>
      <c r="E24" s="20">
        <v>-0.29099999999999998</v>
      </c>
      <c r="F24" s="20">
        <v>-0.29899999999999999</v>
      </c>
      <c r="G24" s="20">
        <v>-0.30599999999999999</v>
      </c>
      <c r="H24" s="20">
        <v>-0.30599999999999999</v>
      </c>
      <c r="I24" s="20">
        <v>-0.30599999999999999</v>
      </c>
      <c r="J24" s="20">
        <v>-0.30599999999999999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3</v>
      </c>
      <c r="D28" s="10">
        <v>70</v>
      </c>
      <c r="E28" s="10">
        <v>128</v>
      </c>
      <c r="F28" s="10">
        <v>137</v>
      </c>
      <c r="G28" s="10">
        <v>140</v>
      </c>
      <c r="H28" s="10">
        <v>144</v>
      </c>
      <c r="I28" s="10">
        <v>148</v>
      </c>
      <c r="J28" s="10">
        <v>152</v>
      </c>
    </row>
    <row r="29" spans="1:10" x14ac:dyDescent="0.25">
      <c r="A29" s="7" t="s">
        <v>635</v>
      </c>
      <c r="C29" s="19">
        <v>-18</v>
      </c>
      <c r="D29" s="19">
        <v>-74</v>
      </c>
      <c r="E29" s="19">
        <v>-73</v>
      </c>
      <c r="F29" s="19">
        <v>-73</v>
      </c>
      <c r="G29" s="19">
        <v>-73</v>
      </c>
      <c r="H29" s="19">
        <v>-74</v>
      </c>
      <c r="I29" s="19">
        <v>-75</v>
      </c>
      <c r="J29" s="19">
        <v>-76</v>
      </c>
    </row>
    <row r="30" spans="1:10" x14ac:dyDescent="0.25">
      <c r="A30" s="7" t="s">
        <v>636</v>
      </c>
      <c r="C30" s="19">
        <v>0</v>
      </c>
      <c r="D30" s="19">
        <v>-7</v>
      </c>
      <c r="E30" s="19">
        <v>-12</v>
      </c>
      <c r="F30" s="19">
        <v>-13</v>
      </c>
      <c r="G30" s="19">
        <v>-13</v>
      </c>
      <c r="H30" s="19">
        <v>-13</v>
      </c>
      <c r="I30" s="19">
        <v>-13</v>
      </c>
      <c r="J30" s="19">
        <v>-13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-15</v>
      </c>
      <c r="D32" s="31">
        <v>-11</v>
      </c>
      <c r="E32" s="13">
        <v>43</v>
      </c>
      <c r="F32" s="13">
        <v>51</v>
      </c>
      <c r="G32" s="13">
        <v>54</v>
      </c>
      <c r="H32" s="13">
        <v>57</v>
      </c>
      <c r="I32" s="13">
        <v>59</v>
      </c>
      <c r="J32" s="13">
        <v>62</v>
      </c>
    </row>
    <row r="33" spans="1:13" x14ac:dyDescent="0.25">
      <c r="A33" s="11" t="s">
        <v>638</v>
      </c>
      <c r="C33" s="41">
        <v>25</v>
      </c>
      <c r="D33" s="41">
        <v>54</v>
      </c>
      <c r="E33" s="41">
        <v>4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-2</v>
      </c>
      <c r="E34" s="19">
        <v>-4</v>
      </c>
      <c r="F34" s="19">
        <v>-7</v>
      </c>
      <c r="G34" s="19">
        <v>-8</v>
      </c>
      <c r="H34" s="19">
        <v>-8</v>
      </c>
      <c r="I34" s="19">
        <v>-7</v>
      </c>
      <c r="J34" s="19">
        <v>-7</v>
      </c>
    </row>
    <row r="35" spans="1:13" x14ac:dyDescent="0.25">
      <c r="A35" s="6" t="s">
        <v>209</v>
      </c>
      <c r="C35" s="31">
        <v>-15</v>
      </c>
      <c r="D35" s="31">
        <v>-13</v>
      </c>
      <c r="E35" s="13">
        <v>39</v>
      </c>
      <c r="F35" s="13">
        <v>44</v>
      </c>
      <c r="G35" s="13">
        <v>46</v>
      </c>
      <c r="H35" s="13">
        <v>49</v>
      </c>
      <c r="I35" s="13">
        <v>52</v>
      </c>
      <c r="J35" s="13">
        <v>54</v>
      </c>
    </row>
    <row r="36" spans="1:13" x14ac:dyDescent="0.25">
      <c r="A36" s="7" t="s">
        <v>212</v>
      </c>
      <c r="B36" s="20">
        <v>0.39500000000000002</v>
      </c>
      <c r="C36" s="10">
        <v>6</v>
      </c>
      <c r="D36" s="10">
        <v>5</v>
      </c>
      <c r="E36" s="19">
        <v>-15</v>
      </c>
      <c r="F36" s="19">
        <v>-17</v>
      </c>
      <c r="G36" s="19">
        <v>-18</v>
      </c>
      <c r="H36" s="19">
        <v>-19</v>
      </c>
      <c r="I36" s="19">
        <v>-20</v>
      </c>
      <c r="J36" s="19">
        <v>-22</v>
      </c>
    </row>
    <row r="37" spans="1:13" x14ac:dyDescent="0.25">
      <c r="A37" s="7" t="s">
        <v>821</v>
      </c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0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-9</v>
      </c>
      <c r="D40" s="31">
        <v>-8</v>
      </c>
      <c r="E40" s="13">
        <v>23</v>
      </c>
      <c r="F40" s="13">
        <v>26</v>
      </c>
      <c r="G40" s="13">
        <v>28</v>
      </c>
      <c r="H40" s="13">
        <v>30</v>
      </c>
      <c r="I40" s="13">
        <v>31</v>
      </c>
      <c r="J40" s="13">
        <v>33</v>
      </c>
    </row>
    <row r="41" spans="1:13" x14ac:dyDescent="0.25">
      <c r="A41" s="6" t="s">
        <v>819</v>
      </c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31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4</v>
      </c>
      <c r="F44" s="10">
        <v>7</v>
      </c>
      <c r="G44" s="10">
        <v>8</v>
      </c>
      <c r="H44" s="10">
        <v>8</v>
      </c>
      <c r="I44" s="10">
        <v>7</v>
      </c>
      <c r="J44" s="10">
        <v>7</v>
      </c>
    </row>
    <row r="45" spans="1:13" x14ac:dyDescent="0.25">
      <c r="A45" s="7" t="s">
        <v>625</v>
      </c>
      <c r="C45" s="10">
        <v>1</v>
      </c>
      <c r="D45" s="10">
        <v>16</v>
      </c>
      <c r="E45" s="10">
        <v>17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-4</v>
      </c>
      <c r="E46" s="19">
        <v>-8</v>
      </c>
      <c r="F46" s="19">
        <v>-8</v>
      </c>
      <c r="G46" s="19">
        <v>-8</v>
      </c>
      <c r="H46" s="19">
        <v>-8</v>
      </c>
      <c r="I46" s="19">
        <v>-8</v>
      </c>
      <c r="J46" s="19">
        <v>-8</v>
      </c>
    </row>
    <row r="47" spans="1:13" x14ac:dyDescent="0.25">
      <c r="A47" s="6" t="s">
        <v>639</v>
      </c>
      <c r="C47" s="31">
        <v>-8</v>
      </c>
      <c r="D47" s="13">
        <v>6</v>
      </c>
      <c r="E47" s="13">
        <v>37</v>
      </c>
      <c r="F47" s="13">
        <v>27</v>
      </c>
      <c r="G47" s="13">
        <v>29</v>
      </c>
      <c r="H47" s="13">
        <v>31</v>
      </c>
      <c r="I47" s="13">
        <v>32</v>
      </c>
      <c r="J47" s="13">
        <v>34</v>
      </c>
    </row>
    <row r="48" spans="1:13" x14ac:dyDescent="0.25">
      <c r="A48" s="6" t="s">
        <v>640</v>
      </c>
      <c r="C48" s="10">
        <v>6</v>
      </c>
      <c r="D48" s="10">
        <v>21</v>
      </c>
      <c r="E48" s="10">
        <v>23</v>
      </c>
      <c r="F48" s="10">
        <v>27</v>
      </c>
      <c r="G48" s="10">
        <v>29</v>
      </c>
      <c r="H48" s="10">
        <v>31</v>
      </c>
      <c r="I48" s="10">
        <v>32</v>
      </c>
      <c r="J48" s="10">
        <v>34</v>
      </c>
    </row>
    <row r="49" spans="1:13" x14ac:dyDescent="0.25">
      <c r="A49" s="6" t="s">
        <v>641</v>
      </c>
      <c r="C49" s="19">
        <v>-8</v>
      </c>
      <c r="D49" s="10">
        <v>6</v>
      </c>
      <c r="E49" s="10">
        <v>37</v>
      </c>
      <c r="F49" s="10">
        <v>27</v>
      </c>
      <c r="G49" s="10">
        <v>29</v>
      </c>
      <c r="H49" s="10">
        <v>31</v>
      </c>
      <c r="I49" s="10">
        <v>32</v>
      </c>
      <c r="J49" s="10">
        <v>34</v>
      </c>
    </row>
    <row r="50" spans="1:13" x14ac:dyDescent="0.25">
      <c r="A50" s="6" t="s">
        <v>642</v>
      </c>
      <c r="C50" s="13">
        <v>14</v>
      </c>
      <c r="D50" s="13">
        <v>15</v>
      </c>
      <c r="E50" s="31">
        <v>-14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14</v>
      </c>
      <c r="D52" s="13">
        <v>14</v>
      </c>
      <c r="E52" s="31">
        <v>-11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16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4</v>
      </c>
      <c r="E57" s="10">
        <v>20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20</v>
      </c>
      <c r="E58" s="15">
        <v>0</v>
      </c>
      <c r="F58" s="10">
        <v>20</v>
      </c>
      <c r="G58" s="10">
        <v>20</v>
      </c>
      <c r="H58" s="10">
        <v>20</v>
      </c>
      <c r="I58" s="10">
        <v>20</v>
      </c>
    </row>
    <row r="59" spans="1:13" x14ac:dyDescent="0.25">
      <c r="E59" s="15">
        <v>0.05</v>
      </c>
      <c r="F59" s="10">
        <v>21</v>
      </c>
      <c r="G59" s="10">
        <v>21</v>
      </c>
      <c r="H59" s="10">
        <v>21</v>
      </c>
      <c r="I59" s="10">
        <v>21</v>
      </c>
    </row>
    <row r="60" spans="1:13" x14ac:dyDescent="0.25">
      <c r="D60" s="7" t="s">
        <v>644</v>
      </c>
      <c r="E60" s="15">
        <v>0.1</v>
      </c>
      <c r="F60" s="10">
        <v>27</v>
      </c>
      <c r="G60" s="10">
        <v>27</v>
      </c>
      <c r="H60" s="10">
        <v>27</v>
      </c>
      <c r="I60" s="10">
        <v>27</v>
      </c>
    </row>
    <row r="61" spans="1:13" x14ac:dyDescent="0.25">
      <c r="D61" s="7" t="s">
        <v>645</v>
      </c>
      <c r="E61" s="15">
        <v>0.15</v>
      </c>
      <c r="F61" s="10">
        <v>37</v>
      </c>
      <c r="G61" s="10">
        <v>37</v>
      </c>
      <c r="H61" s="10">
        <v>37</v>
      </c>
      <c r="I61" s="10">
        <v>37</v>
      </c>
    </row>
    <row r="62" spans="1:13" x14ac:dyDescent="0.25">
      <c r="E62" s="15">
        <v>0.2</v>
      </c>
      <c r="F62" s="10">
        <v>47</v>
      </c>
      <c r="G62" s="10">
        <v>47</v>
      </c>
      <c r="H62" s="10">
        <v>47</v>
      </c>
      <c r="I62" s="10">
        <v>47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0.67600000000000005</v>
      </c>
      <c r="D64" s="20">
        <v>0.66700000000000004</v>
      </c>
      <c r="E64" s="20">
        <v>0.64300000000000002</v>
      </c>
      <c r="F64" s="20">
        <v>0.629</v>
      </c>
      <c r="G64" s="20">
        <v>0.61699999999999999</v>
      </c>
      <c r="H64" s="20">
        <v>0.60699999999999998</v>
      </c>
      <c r="I64" s="20">
        <v>0.6</v>
      </c>
      <c r="J64" s="20">
        <v>0.59199999999999997</v>
      </c>
    </row>
    <row r="65" spans="1:11" x14ac:dyDescent="0.25">
      <c r="A65" s="7" t="s">
        <v>647</v>
      </c>
      <c r="C65" s="20">
        <v>0.85</v>
      </c>
      <c r="D65" s="20">
        <v>0.85</v>
      </c>
      <c r="E65" s="20">
        <v>0.85</v>
      </c>
      <c r="F65" s="20">
        <v>0.85</v>
      </c>
      <c r="G65" s="20">
        <v>0.85</v>
      </c>
      <c r="H65" s="20">
        <v>0.85</v>
      </c>
      <c r="I65" s="20">
        <v>0.85</v>
      </c>
      <c r="J65" s="20">
        <v>0.85</v>
      </c>
    </row>
    <row r="66" spans="1:11" x14ac:dyDescent="0.25">
      <c r="A66" s="7" t="s">
        <v>648</v>
      </c>
      <c r="C66" s="20">
        <v>0.15</v>
      </c>
      <c r="D66" s="20">
        <v>0.15</v>
      </c>
      <c r="E66" s="20">
        <v>0.15</v>
      </c>
      <c r="F66" s="20">
        <v>0.15</v>
      </c>
      <c r="G66" s="20">
        <v>0.15</v>
      </c>
      <c r="H66" s="20">
        <v>0.15</v>
      </c>
      <c r="I66" s="20">
        <v>0.15</v>
      </c>
      <c r="J66" s="20">
        <v>0.15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0">
        <v>-0.27100000000000002</v>
      </c>
      <c r="D69" s="20">
        <v>-0.28199999999999997</v>
      </c>
      <c r="E69" s="20">
        <v>-0.29099999999999998</v>
      </c>
      <c r="F69" s="20">
        <v>-0.29899999999999999</v>
      </c>
      <c r="G69" s="20">
        <v>-0.30599999999999999</v>
      </c>
      <c r="H69" s="20">
        <v>-0.30599999999999999</v>
      </c>
      <c r="I69" s="20">
        <v>-0.30599999999999999</v>
      </c>
      <c r="J69" s="20">
        <v>-0.30599999999999999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s="61" t="e">
        <f>-C0/C0</f>
        <v>#NAME?</v>
      </c>
      <c r="D1" s="61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s="61" t="e">
        <f>C1-C0</f>
        <v>#NAME?</v>
      </c>
      <c r="D2" s="61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7" t="s">
        <v>843</v>
      </c>
      <c r="L2" t="e">
        <f>L1-L0</f>
        <v>#NAME?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661</v>
      </c>
    </row>
    <row r="5" spans="1:13" x14ac:dyDescent="0.25">
      <c r="A5" s="6" t="s">
        <v>11</v>
      </c>
    </row>
    <row r="6" spans="1:13" x14ac:dyDescent="0.25">
      <c r="C6" s="9" t="s">
        <v>659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618</v>
      </c>
    </row>
    <row r="9" spans="1:13" x14ac:dyDescent="0.25">
      <c r="A9" s="7" t="s">
        <v>619</v>
      </c>
      <c r="B9" s="10">
        <v>9</v>
      </c>
      <c r="C9" s="10">
        <v>2</v>
      </c>
      <c r="D9" s="23">
        <v>8.8000000000000007</v>
      </c>
      <c r="E9" s="10">
        <v>9</v>
      </c>
      <c r="F9" s="10">
        <v>9</v>
      </c>
      <c r="G9" s="10">
        <v>10</v>
      </c>
      <c r="H9" s="10">
        <v>11</v>
      </c>
      <c r="I9" s="10">
        <v>11</v>
      </c>
      <c r="J9" s="10">
        <v>12</v>
      </c>
    </row>
    <row r="10" spans="1:13" x14ac:dyDescent="0.25">
      <c r="A10" s="7" t="s">
        <v>620</v>
      </c>
      <c r="C10" s="19">
        <v>-2</v>
      </c>
      <c r="D10" s="19">
        <v>-7</v>
      </c>
      <c r="E10" s="19">
        <v>-7</v>
      </c>
      <c r="F10" s="19">
        <v>-7</v>
      </c>
      <c r="G10" s="19">
        <v>-8</v>
      </c>
      <c r="H10" s="19">
        <v>-8</v>
      </c>
      <c r="I10" s="19">
        <v>-8</v>
      </c>
      <c r="J10" s="19">
        <v>-9</v>
      </c>
    </row>
    <row r="11" spans="1:13" x14ac:dyDescent="0.25">
      <c r="A11" s="7" t="s">
        <v>621</v>
      </c>
      <c r="C11" s="10">
        <v>0</v>
      </c>
      <c r="D11" s="10">
        <v>2</v>
      </c>
      <c r="E11" s="10">
        <v>2</v>
      </c>
      <c r="F11" s="10">
        <v>2</v>
      </c>
      <c r="G11" s="10">
        <v>2</v>
      </c>
      <c r="H11" s="10">
        <v>3</v>
      </c>
      <c r="I11" s="10">
        <v>3</v>
      </c>
      <c r="J11" s="10">
        <v>3</v>
      </c>
    </row>
    <row r="12" spans="1:13" x14ac:dyDescent="0.25">
      <c r="A12" s="7" t="s">
        <v>622</v>
      </c>
      <c r="C12" s="19">
        <v>0</v>
      </c>
      <c r="D12" s="19">
        <v>0</v>
      </c>
      <c r="E12" s="19">
        <v>0</v>
      </c>
      <c r="F12" s="19">
        <v>0</v>
      </c>
      <c r="G12" s="19">
        <v>-1</v>
      </c>
      <c r="H12" s="19">
        <v>-1</v>
      </c>
      <c r="I12" s="19">
        <v>-1</v>
      </c>
      <c r="J12" s="19">
        <v>-1</v>
      </c>
    </row>
    <row r="13" spans="1:13" x14ac:dyDescent="0.25">
      <c r="A13" s="7" t="s">
        <v>209</v>
      </c>
      <c r="C13" s="10">
        <v>0</v>
      </c>
      <c r="D13" s="10">
        <v>1</v>
      </c>
      <c r="E13" s="10">
        <v>2</v>
      </c>
      <c r="F13" s="10">
        <v>2</v>
      </c>
      <c r="G13" s="10">
        <v>2</v>
      </c>
      <c r="H13" s="10">
        <v>2</v>
      </c>
      <c r="I13" s="10">
        <v>2</v>
      </c>
      <c r="J13" s="10">
        <v>2</v>
      </c>
    </row>
    <row r="14" spans="1:13" x14ac:dyDescent="0.25">
      <c r="A14" s="7" t="s">
        <v>623</v>
      </c>
      <c r="B14" s="20">
        <v>0.39500000000000002</v>
      </c>
      <c r="C14" s="19">
        <v>0</v>
      </c>
      <c r="D14" s="19">
        <v>-1</v>
      </c>
      <c r="E14" s="19">
        <v>-1</v>
      </c>
      <c r="F14" s="19">
        <v>-1</v>
      </c>
      <c r="G14" s="19">
        <v>-1</v>
      </c>
      <c r="H14" s="19">
        <v>-1</v>
      </c>
      <c r="I14" s="19">
        <v>-1</v>
      </c>
      <c r="J14" s="19">
        <v>-1</v>
      </c>
    </row>
    <row r="15" spans="1:13" x14ac:dyDescent="0.25">
      <c r="A15" s="7" t="s">
        <v>624</v>
      </c>
      <c r="C15" s="10">
        <v>0</v>
      </c>
      <c r="D15" s="10">
        <v>1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</row>
    <row r="16" spans="1:13" x14ac:dyDescent="0.25">
      <c r="A16" s="7" t="s">
        <v>111</v>
      </c>
      <c r="C16" s="10">
        <v>0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1</v>
      </c>
      <c r="J16" s="10">
        <v>1</v>
      </c>
    </row>
    <row r="17" spans="1:10" x14ac:dyDescent="0.25">
      <c r="A17" s="7" t="s">
        <v>625</v>
      </c>
      <c r="C17" s="21">
        <v>0</v>
      </c>
      <c r="D17" s="19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</row>
    <row r="18" spans="1:10" x14ac:dyDescent="0.25">
      <c r="A18" s="7" t="s">
        <v>113</v>
      </c>
      <c r="C18" s="19">
        <v>0</v>
      </c>
      <c r="D18" s="19">
        <v>-1</v>
      </c>
      <c r="E18" s="19">
        <v>-1</v>
      </c>
      <c r="F18" s="19">
        <v>-1</v>
      </c>
      <c r="G18" s="19">
        <v>-1</v>
      </c>
      <c r="H18" s="19">
        <v>-1</v>
      </c>
      <c r="I18" s="19">
        <v>-1</v>
      </c>
      <c r="J18" s="19">
        <v>-1</v>
      </c>
    </row>
    <row r="19" spans="1:10" x14ac:dyDescent="0.25">
      <c r="A19" s="7" t="s">
        <v>626</v>
      </c>
      <c r="C19" s="10">
        <v>0</v>
      </c>
      <c r="D19" s="10">
        <v>1</v>
      </c>
      <c r="E19" s="10">
        <v>1</v>
      </c>
      <c r="F19" s="10">
        <v>1</v>
      </c>
      <c r="G19" s="10">
        <v>1</v>
      </c>
      <c r="H19" s="10">
        <v>1</v>
      </c>
      <c r="I19" s="10">
        <v>1</v>
      </c>
      <c r="J19" s="10">
        <v>2</v>
      </c>
    </row>
    <row r="20" spans="1:10" x14ac:dyDescent="0.25">
      <c r="A20" s="6" t="s">
        <v>627</v>
      </c>
    </row>
    <row r="21" spans="1:10" x14ac:dyDescent="0.25">
      <c r="A21" s="7" t="s">
        <v>628</v>
      </c>
      <c r="D21" s="20">
        <v>-2E-3</v>
      </c>
      <c r="E21" s="20">
        <v>2.3E-2</v>
      </c>
      <c r="F21" s="20">
        <v>1.4E-2</v>
      </c>
      <c r="G21" s="20">
        <v>7.9000000000000001E-2</v>
      </c>
      <c r="H21" s="20">
        <v>7.1999999999999995E-2</v>
      </c>
      <c r="I21" s="20">
        <v>4.5999999999999999E-2</v>
      </c>
      <c r="J21" s="20">
        <v>4.5999999999999999E-2</v>
      </c>
    </row>
    <row r="22" spans="1:10" x14ac:dyDescent="0.25">
      <c r="A22" s="7" t="s">
        <v>629</v>
      </c>
      <c r="C22" s="20">
        <v>0.20300000000000001</v>
      </c>
      <c r="D22" s="20">
        <v>0.19600000000000001</v>
      </c>
      <c r="E22" s="20">
        <v>0.215</v>
      </c>
      <c r="F22" s="20">
        <v>0.22700000000000001</v>
      </c>
      <c r="G22" s="20">
        <v>0.22700000000000001</v>
      </c>
      <c r="H22" s="20">
        <v>0.23799999999999999</v>
      </c>
      <c r="I22" s="20">
        <v>0.249</v>
      </c>
      <c r="J22" s="20">
        <v>0.26</v>
      </c>
    </row>
    <row r="23" spans="1:10" x14ac:dyDescent="0.25">
      <c r="A23" s="7" t="s">
        <v>622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630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631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654</v>
      </c>
    </row>
    <row r="27" spans="1:10" x14ac:dyDescent="0.25">
      <c r="A27" s="7" t="s">
        <v>633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634</v>
      </c>
      <c r="C28" s="10">
        <v>0</v>
      </c>
      <c r="D28" s="10">
        <v>5</v>
      </c>
      <c r="E28" s="10">
        <v>9</v>
      </c>
      <c r="F28" s="10">
        <v>9</v>
      </c>
      <c r="G28" s="10">
        <v>10</v>
      </c>
      <c r="H28" s="10">
        <v>11</v>
      </c>
      <c r="I28" s="10">
        <v>11</v>
      </c>
      <c r="J28" s="10">
        <v>12</v>
      </c>
    </row>
    <row r="29" spans="1:10" x14ac:dyDescent="0.25">
      <c r="A29" s="7" t="s">
        <v>635</v>
      </c>
      <c r="C29" s="19">
        <v>-1</v>
      </c>
      <c r="D29" s="19">
        <v>-6</v>
      </c>
      <c r="E29" s="19">
        <v>-6</v>
      </c>
      <c r="F29" s="19">
        <v>-6</v>
      </c>
      <c r="G29" s="19">
        <v>-6</v>
      </c>
      <c r="H29" s="19">
        <v>-6</v>
      </c>
      <c r="I29" s="19">
        <v>-7</v>
      </c>
      <c r="J29" s="19">
        <v>-7</v>
      </c>
    </row>
    <row r="30" spans="1:10" x14ac:dyDescent="0.25">
      <c r="A30" s="7" t="s">
        <v>636</v>
      </c>
      <c r="C30" s="19">
        <v>0</v>
      </c>
      <c r="D30" s="19">
        <v>-1</v>
      </c>
      <c r="E30" s="19">
        <v>-1</v>
      </c>
      <c r="F30" s="19">
        <v>-1</v>
      </c>
      <c r="G30" s="19">
        <v>-2</v>
      </c>
      <c r="H30" s="19">
        <v>-2</v>
      </c>
      <c r="I30" s="19">
        <v>-2</v>
      </c>
      <c r="J30" s="19">
        <v>-2</v>
      </c>
    </row>
    <row r="31" spans="1:10" x14ac:dyDescent="0.25">
      <c r="A31" s="7" t="s">
        <v>637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621</v>
      </c>
      <c r="C32" s="31">
        <v>-1</v>
      </c>
      <c r="D32" s="31">
        <v>-2</v>
      </c>
      <c r="E32" s="13">
        <v>2</v>
      </c>
      <c r="F32" s="13">
        <v>2</v>
      </c>
      <c r="G32" s="13">
        <v>2</v>
      </c>
      <c r="H32" s="13">
        <v>3</v>
      </c>
      <c r="I32" s="13">
        <v>3</v>
      </c>
      <c r="J32" s="13">
        <v>3</v>
      </c>
    </row>
    <row r="33" spans="1:13" x14ac:dyDescent="0.25">
      <c r="A33" s="11" t="s">
        <v>638</v>
      </c>
      <c r="C33" s="41">
        <v>2</v>
      </c>
      <c r="D33" s="41">
        <v>3</v>
      </c>
      <c r="E33" s="41">
        <v>0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622</v>
      </c>
      <c r="C34" s="19">
        <v>0</v>
      </c>
      <c r="D34" s="19">
        <v>0</v>
      </c>
      <c r="E34" s="19">
        <v>0</v>
      </c>
      <c r="F34" s="19">
        <v>0</v>
      </c>
      <c r="G34" s="19">
        <v>-1</v>
      </c>
      <c r="H34" s="19">
        <v>-1</v>
      </c>
      <c r="I34" s="19">
        <v>-1</v>
      </c>
      <c r="J34" s="19">
        <v>-1</v>
      </c>
    </row>
    <row r="35" spans="1:13" x14ac:dyDescent="0.25">
      <c r="A35" s="6" t="s">
        <v>209</v>
      </c>
      <c r="C35" s="31">
        <v>-1</v>
      </c>
      <c r="D35" s="31">
        <v>-2</v>
      </c>
      <c r="E35" s="13">
        <v>1</v>
      </c>
      <c r="F35" s="13">
        <v>2</v>
      </c>
      <c r="G35" s="13">
        <v>2</v>
      </c>
      <c r="H35" s="13">
        <v>2</v>
      </c>
      <c r="I35" s="13">
        <v>2</v>
      </c>
      <c r="J35" s="13">
        <v>2</v>
      </c>
    </row>
    <row r="36" spans="1:13" x14ac:dyDescent="0.25">
      <c r="A36" s="7" t="s">
        <v>212</v>
      </c>
      <c r="B36" s="20">
        <v>0.39500000000000002</v>
      </c>
      <c r="C36" s="10">
        <v>0</v>
      </c>
      <c r="D36" s="10">
        <v>1</v>
      </c>
      <c r="E36" s="19">
        <v>-1</v>
      </c>
      <c r="F36" s="19">
        <v>-1</v>
      </c>
      <c r="G36" s="19">
        <v>-1</v>
      </c>
      <c r="H36" s="19">
        <v>-1</v>
      </c>
      <c r="I36" s="19">
        <v>-1</v>
      </c>
      <c r="J36" s="19">
        <v>-1</v>
      </c>
    </row>
    <row r="37" spans="1:13" x14ac:dyDescent="0.25">
      <c r="A37" s="7" t="s">
        <v>821</v>
      </c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 t="s">
        <v>832</v>
      </c>
      <c r="B38" s="20"/>
      <c r="C38" s="10" t="e">
        <f t="shared" ref="C38:M38" si="0">C37-C36</f>
        <v>#NAME?</v>
      </c>
      <c r="D38" s="10" t="e">
        <f t="shared" si="0"/>
        <v>#NAME?</v>
      </c>
      <c r="E38" s="19" t="e">
        <f t="shared" si="0"/>
        <v>#NAME?</v>
      </c>
      <c r="F38" s="19" t="e">
        <f t="shared" si="0"/>
        <v>#NAME?</v>
      </c>
      <c r="G38" s="19" t="e">
        <f t="shared" si="0"/>
        <v>#NAME?</v>
      </c>
      <c r="H38" s="19" t="e">
        <f t="shared" si="0"/>
        <v>#NAME?</v>
      </c>
      <c r="I38" s="19" t="e">
        <f t="shared" si="0"/>
        <v>#NAME?</v>
      </c>
      <c r="J38" s="19" t="e">
        <f t="shared" si="0"/>
        <v>#NAME?</v>
      </c>
      <c r="K38" t="e">
        <f t="shared" si="0"/>
        <v>#NAME?</v>
      </c>
      <c r="L38" t="e">
        <f t="shared" si="0"/>
        <v>#NAME?</v>
      </c>
      <c r="M38" t="e">
        <f t="shared" si="0"/>
        <v>#NAME?</v>
      </c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31">
        <v>-1</v>
      </c>
      <c r="E40" s="13">
        <v>1</v>
      </c>
      <c r="F40" s="13">
        <v>1</v>
      </c>
      <c r="G40" s="13">
        <v>1</v>
      </c>
      <c r="H40" s="13">
        <v>1</v>
      </c>
      <c r="I40" s="13">
        <v>1</v>
      </c>
      <c r="J40" s="13">
        <v>1</v>
      </c>
    </row>
    <row r="41" spans="1:13" x14ac:dyDescent="0.25">
      <c r="A41" s="6" t="s">
        <v>819</v>
      </c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 t="s">
        <v>830</v>
      </c>
      <c r="C42" s="31" t="e">
        <f t="shared" ref="C42:M42" si="1">C41-C40</f>
        <v>#NAME?</v>
      </c>
      <c r="D42" s="31" t="e">
        <f t="shared" si="1"/>
        <v>#NAME?</v>
      </c>
      <c r="E42" s="13" t="e">
        <f t="shared" si="1"/>
        <v>#NAME?</v>
      </c>
      <c r="F42" s="13" t="e">
        <f t="shared" si="1"/>
        <v>#NAME?</v>
      </c>
      <c r="G42" s="13" t="e">
        <f t="shared" si="1"/>
        <v>#NAME?</v>
      </c>
      <c r="H42" s="13" t="e">
        <f t="shared" si="1"/>
        <v>#NAME?</v>
      </c>
      <c r="I42" s="13" t="e">
        <f t="shared" si="1"/>
        <v>#NAME?</v>
      </c>
      <c r="J42" s="13" t="e">
        <f t="shared" si="1"/>
        <v>#NAME?</v>
      </c>
      <c r="K42" t="e">
        <f t="shared" si="1"/>
        <v>#NAME?</v>
      </c>
      <c r="L42" t="e">
        <f t="shared" si="1"/>
        <v>#NAME?</v>
      </c>
      <c r="M42" t="e">
        <f t="shared" si="1"/>
        <v>#NAME?</v>
      </c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0</v>
      </c>
      <c r="F44" s="10">
        <v>0</v>
      </c>
      <c r="G44" s="10">
        <v>1</v>
      </c>
      <c r="H44" s="10">
        <v>1</v>
      </c>
      <c r="I44" s="10">
        <v>1</v>
      </c>
      <c r="J44" s="10">
        <v>1</v>
      </c>
    </row>
    <row r="45" spans="1:13" x14ac:dyDescent="0.25">
      <c r="A45" s="7" t="s">
        <v>625</v>
      </c>
      <c r="C45" s="10">
        <v>0</v>
      </c>
      <c r="D45" s="10">
        <v>1</v>
      </c>
      <c r="E45" s="10">
        <v>1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</row>
    <row r="46" spans="1:13" x14ac:dyDescent="0.25">
      <c r="A46" s="7" t="s">
        <v>113</v>
      </c>
      <c r="C46" s="19">
        <v>0</v>
      </c>
      <c r="D46" s="19">
        <v>0</v>
      </c>
      <c r="E46" s="19">
        <v>-1</v>
      </c>
      <c r="F46" s="19">
        <v>-1</v>
      </c>
      <c r="G46" s="19">
        <v>-1</v>
      </c>
      <c r="H46" s="19">
        <v>-1</v>
      </c>
      <c r="I46" s="19">
        <v>-1</v>
      </c>
      <c r="J46" s="19">
        <v>-1</v>
      </c>
    </row>
    <row r="47" spans="1:13" x14ac:dyDescent="0.25">
      <c r="A47" s="6" t="s">
        <v>639</v>
      </c>
      <c r="C47" s="31">
        <v>-1</v>
      </c>
      <c r="D47" s="31">
        <v>-1</v>
      </c>
      <c r="E47" s="13">
        <v>1</v>
      </c>
      <c r="F47" s="13">
        <v>1</v>
      </c>
      <c r="G47" s="13">
        <v>1</v>
      </c>
      <c r="H47" s="13">
        <v>1</v>
      </c>
      <c r="I47" s="13">
        <v>1</v>
      </c>
      <c r="J47" s="13">
        <v>2</v>
      </c>
    </row>
    <row r="48" spans="1:13" x14ac:dyDescent="0.25">
      <c r="A48" s="6" t="s">
        <v>640</v>
      </c>
      <c r="C48" s="10">
        <v>0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2</v>
      </c>
    </row>
    <row r="49" spans="1:13" x14ac:dyDescent="0.25">
      <c r="A49" s="6" t="s">
        <v>641</v>
      </c>
      <c r="C49" s="19">
        <v>-1</v>
      </c>
      <c r="D49" s="19">
        <v>-1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2</v>
      </c>
    </row>
    <row r="50" spans="1:13" x14ac:dyDescent="0.25">
      <c r="A50" s="6" t="s">
        <v>642</v>
      </c>
      <c r="C50" s="13">
        <v>1</v>
      </c>
      <c r="D50" s="13">
        <v>1</v>
      </c>
      <c r="E50" s="31">
        <v>0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</v>
      </c>
      <c r="D52" s="13">
        <v>1</v>
      </c>
      <c r="E52" s="31">
        <v>0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 t="s">
        <v>822</v>
      </c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812</v>
      </c>
      <c r="G53" s="6" t="s">
        <v>813</v>
      </c>
      <c r="H53" s="6" t="s">
        <v>808</v>
      </c>
      <c r="I53" s="6" t="s">
        <v>809</v>
      </c>
      <c r="J53" s="6" t="s">
        <v>810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 t="s">
        <v>833</v>
      </c>
      <c r="C54" s="13" t="e">
        <f>C53-C52</f>
        <v>#NAME?</v>
      </c>
      <c r="D54" s="13" t="e">
        <f>D53-D52</f>
        <v>#NAME?</v>
      </c>
      <c r="E54" s="31" t="e">
        <f>E53-E52</f>
        <v>#NAME?</v>
      </c>
      <c r="F54" s="6" t="s">
        <v>849</v>
      </c>
      <c r="G54" s="6" t="s">
        <v>850</v>
      </c>
      <c r="H54" s="6" t="s">
        <v>844</v>
      </c>
      <c r="I54" s="6" t="s">
        <v>845</v>
      </c>
      <c r="J54" s="6" t="s">
        <v>846</v>
      </c>
      <c r="K54" t="e">
        <f>K53-K52</f>
        <v>#NAME?</v>
      </c>
      <c r="L54" t="e">
        <f>L53-L52</f>
        <v>#NAME?</v>
      </c>
      <c r="M54" t="e">
        <f>M53-M52</f>
        <v>#NAME?</v>
      </c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2</v>
      </c>
      <c r="G56" s="7" t="s">
        <v>643</v>
      </c>
    </row>
    <row r="57" spans="1:13" x14ac:dyDescent="0.25">
      <c r="A57" s="7" t="s">
        <v>121</v>
      </c>
      <c r="B57" s="7" t="s">
        <v>287</v>
      </c>
      <c r="C57" s="10">
        <v>0</v>
      </c>
      <c r="E57" s="10">
        <v>2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655</v>
      </c>
      <c r="C58" s="13">
        <v>2</v>
      </c>
      <c r="E58" s="15">
        <v>0</v>
      </c>
      <c r="F58" s="10">
        <v>2</v>
      </c>
      <c r="G58" s="10">
        <v>2</v>
      </c>
      <c r="H58" s="10">
        <v>2</v>
      </c>
      <c r="I58" s="10">
        <v>2</v>
      </c>
    </row>
    <row r="59" spans="1:13" x14ac:dyDescent="0.25">
      <c r="E59" s="15">
        <v>0.05</v>
      </c>
      <c r="F59" s="10">
        <v>2</v>
      </c>
      <c r="G59" s="10">
        <v>2</v>
      </c>
      <c r="H59" s="10">
        <v>2</v>
      </c>
      <c r="I59" s="10">
        <v>2</v>
      </c>
    </row>
    <row r="60" spans="1:13" x14ac:dyDescent="0.25">
      <c r="D60" s="7" t="s">
        <v>644</v>
      </c>
      <c r="E60" s="15">
        <v>0.1</v>
      </c>
      <c r="F60" s="10">
        <v>3</v>
      </c>
      <c r="G60" s="10">
        <v>3</v>
      </c>
      <c r="H60" s="10">
        <v>3</v>
      </c>
      <c r="I60" s="10">
        <v>3</v>
      </c>
    </row>
    <row r="61" spans="1:13" x14ac:dyDescent="0.25">
      <c r="D61" s="7" t="s">
        <v>645</v>
      </c>
      <c r="E61" s="15">
        <v>0.15</v>
      </c>
      <c r="F61" s="10">
        <v>3</v>
      </c>
      <c r="G61" s="10">
        <v>3</v>
      </c>
      <c r="H61" s="10">
        <v>3</v>
      </c>
      <c r="I61" s="10">
        <v>3</v>
      </c>
    </row>
    <row r="62" spans="1:13" x14ac:dyDescent="0.25">
      <c r="E62" s="15">
        <v>0.2</v>
      </c>
      <c r="F62" s="10">
        <v>4</v>
      </c>
      <c r="G62" s="10">
        <v>4</v>
      </c>
      <c r="H62" s="10">
        <v>4</v>
      </c>
      <c r="I62" s="10">
        <v>4</v>
      </c>
    </row>
    <row r="63" spans="1:13" x14ac:dyDescent="0.25">
      <c r="A63" s="9" t="s">
        <v>221</v>
      </c>
    </row>
    <row r="64" spans="1:13" x14ac:dyDescent="0.25">
      <c r="A64" s="7" t="s">
        <v>646</v>
      </c>
      <c r="C64" s="20">
        <v>0.79700000000000004</v>
      </c>
      <c r="D64" s="20">
        <v>0.80400000000000005</v>
      </c>
      <c r="E64" s="20">
        <v>0.78500000000000003</v>
      </c>
      <c r="F64" s="20">
        <v>0.77300000000000002</v>
      </c>
      <c r="G64" s="20">
        <v>0.77300000000000002</v>
      </c>
      <c r="H64" s="20">
        <v>0.76200000000000001</v>
      </c>
      <c r="I64" s="20">
        <v>0.751</v>
      </c>
      <c r="J64" s="20">
        <v>0.74</v>
      </c>
    </row>
    <row r="65" spans="1:11" x14ac:dyDescent="0.25">
      <c r="A65" s="7" t="s">
        <v>647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648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649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622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650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651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652</v>
      </c>
    </row>
    <row r="73" spans="1:11" x14ac:dyDescent="0.25">
      <c r="A73" s="7" t="s">
        <v>290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N29"/>
  <sheetViews>
    <sheetView workbookViewId="0"/>
  </sheetViews>
  <sheetFormatPr defaultRowHeight="15" x14ac:dyDescent="0.25"/>
  <cols>
    <col min="1" max="1" width="75" bestFit="1" customWidth="1"/>
  </cols>
  <sheetData>
    <row r="1" spans="1:14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662</v>
      </c>
    </row>
    <row r="3" spans="1:14" x14ac:dyDescent="0.25">
      <c r="A3" s="6" t="s">
        <v>9</v>
      </c>
    </row>
    <row r="4" spans="1:14" x14ac:dyDescent="0.25">
      <c r="A4" s="6" t="s">
        <v>663</v>
      </c>
    </row>
    <row r="5" spans="1:14" x14ac:dyDescent="0.25">
      <c r="A5" s="6" t="s">
        <v>11</v>
      </c>
    </row>
    <row r="6" spans="1:14" x14ac:dyDescent="0.25">
      <c r="C6" s="9" t="s">
        <v>95</v>
      </c>
      <c r="H6" s="9" t="s">
        <v>96</v>
      </c>
    </row>
    <row r="7" spans="1:14" x14ac:dyDescent="0.25">
      <c r="A7" s="8" t="s">
        <v>12</v>
      </c>
      <c r="C7" s="9" t="s">
        <v>97</v>
      </c>
      <c r="D7" s="9" t="s">
        <v>98</v>
      </c>
      <c r="E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664</v>
      </c>
      <c r="B8" s="43" t="s">
        <v>90</v>
      </c>
    </row>
    <row r="9" spans="1:14" x14ac:dyDescent="0.25">
      <c r="A9" s="7" t="s">
        <v>665</v>
      </c>
      <c r="B9" s="43" t="s">
        <v>90</v>
      </c>
    </row>
    <row r="10" spans="1:14" x14ac:dyDescent="0.25">
      <c r="A10" s="7" t="s">
        <v>666</v>
      </c>
      <c r="C10" s="10">
        <v>237</v>
      </c>
      <c r="D10" s="14">
        <v>1000</v>
      </c>
      <c r="E10" s="14">
        <v>1037</v>
      </c>
      <c r="G10" s="14">
        <v>1079</v>
      </c>
      <c r="H10" s="14">
        <v>1119</v>
      </c>
      <c r="I10" s="14">
        <v>1166</v>
      </c>
      <c r="J10" s="14">
        <v>1217</v>
      </c>
      <c r="K10" s="14">
        <v>1271</v>
      </c>
      <c r="L10" s="14">
        <v>1309</v>
      </c>
      <c r="M10" s="14">
        <v>1348</v>
      </c>
    </row>
    <row r="11" spans="1:14" x14ac:dyDescent="0.25">
      <c r="A11" s="7" t="s">
        <v>667</v>
      </c>
      <c r="C11" s="20">
        <v>1</v>
      </c>
      <c r="D11" s="20">
        <v>1</v>
      </c>
      <c r="E11" s="20">
        <v>1</v>
      </c>
      <c r="G11" s="20">
        <v>1</v>
      </c>
      <c r="H11" s="20">
        <v>1</v>
      </c>
      <c r="I11" s="20">
        <v>1</v>
      </c>
      <c r="J11" s="20">
        <v>1</v>
      </c>
      <c r="K11" s="20">
        <v>1</v>
      </c>
      <c r="L11" s="20">
        <v>1</v>
      </c>
      <c r="M11" s="20">
        <v>1.125</v>
      </c>
    </row>
    <row r="12" spans="1:14" x14ac:dyDescent="0.25">
      <c r="A12" s="6" t="s">
        <v>668</v>
      </c>
      <c r="C12" s="13">
        <v>237</v>
      </c>
      <c r="D12" s="12">
        <v>1000</v>
      </c>
      <c r="E12" s="12">
        <v>1037</v>
      </c>
      <c r="G12" s="12">
        <v>1079</v>
      </c>
      <c r="H12" s="12">
        <v>1119</v>
      </c>
      <c r="I12" s="12">
        <v>1166</v>
      </c>
      <c r="J12" s="12">
        <v>1217</v>
      </c>
      <c r="K12" s="12">
        <v>1271</v>
      </c>
      <c r="L12" s="12">
        <v>1309</v>
      </c>
      <c r="M12" s="12">
        <v>1348</v>
      </c>
    </row>
    <row r="13" spans="1:14" x14ac:dyDescent="0.25">
      <c r="A13" s="7" t="s">
        <v>310</v>
      </c>
      <c r="B13" s="20">
        <v>1.4999999999999999E-2</v>
      </c>
      <c r="C13" s="10">
        <v>4</v>
      </c>
      <c r="D13" s="10">
        <v>15</v>
      </c>
      <c r="E13" s="10">
        <v>16</v>
      </c>
      <c r="G13" s="10">
        <v>16</v>
      </c>
      <c r="H13" s="10">
        <v>17</v>
      </c>
      <c r="I13" s="10">
        <v>17</v>
      </c>
      <c r="J13" s="10">
        <v>18</v>
      </c>
      <c r="K13" s="10">
        <v>19</v>
      </c>
      <c r="L13" s="10">
        <v>20</v>
      </c>
      <c r="M13" s="10">
        <v>20</v>
      </c>
    </row>
    <row r="14" spans="1:14" x14ac:dyDescent="0.25">
      <c r="A14" s="6" t="s">
        <v>311</v>
      </c>
      <c r="C14" s="10">
        <v>4</v>
      </c>
      <c r="D14" s="10">
        <v>15</v>
      </c>
      <c r="E14" s="10">
        <v>16</v>
      </c>
      <c r="G14" s="10">
        <v>16</v>
      </c>
      <c r="H14" s="10">
        <v>17</v>
      </c>
      <c r="I14" s="10">
        <v>17</v>
      </c>
      <c r="J14" s="10">
        <v>18</v>
      </c>
      <c r="K14" s="10">
        <v>19</v>
      </c>
      <c r="L14" s="10">
        <v>20</v>
      </c>
      <c r="M14" s="10">
        <v>20</v>
      </c>
    </row>
    <row r="15" spans="1:14" x14ac:dyDescent="0.25">
      <c r="A15" s="7" t="s">
        <v>109</v>
      </c>
      <c r="B15" s="20">
        <v>0.218</v>
      </c>
      <c r="C15" s="19">
        <v>-1</v>
      </c>
      <c r="D15" s="19">
        <v>-3</v>
      </c>
      <c r="E15" s="19">
        <v>-3</v>
      </c>
      <c r="G15" s="19">
        <v>-4</v>
      </c>
      <c r="H15" s="19">
        <v>-4</v>
      </c>
      <c r="I15" s="19">
        <v>-4</v>
      </c>
      <c r="J15" s="19">
        <v>-4</v>
      </c>
      <c r="K15" s="19">
        <v>-4</v>
      </c>
      <c r="L15" s="19">
        <v>-4</v>
      </c>
      <c r="M15" s="19">
        <v>-4</v>
      </c>
    </row>
    <row r="16" spans="1:14" x14ac:dyDescent="0.25">
      <c r="A16" s="6" t="s">
        <v>312</v>
      </c>
      <c r="C16" s="13">
        <v>3</v>
      </c>
      <c r="D16" s="13">
        <v>12</v>
      </c>
      <c r="E16" s="13">
        <v>12</v>
      </c>
      <c r="G16" s="13">
        <v>13</v>
      </c>
      <c r="H16" s="13">
        <v>13</v>
      </c>
      <c r="I16" s="13">
        <v>14</v>
      </c>
      <c r="J16" s="13">
        <v>14</v>
      </c>
      <c r="K16" s="13">
        <v>15</v>
      </c>
      <c r="L16" s="13">
        <v>15</v>
      </c>
      <c r="M16" s="13">
        <v>16</v>
      </c>
    </row>
    <row r="17" spans="1:14" x14ac:dyDescent="0.25">
      <c r="A17" s="7" t="s">
        <v>115</v>
      </c>
      <c r="B17" s="20">
        <v>0.11</v>
      </c>
      <c r="C17" s="23">
        <v>0.98740000000000006</v>
      </c>
      <c r="D17" s="23">
        <v>0.92530000000000001</v>
      </c>
      <c r="E17" s="23">
        <v>0.83360000000000001</v>
      </c>
      <c r="G17" s="24">
        <v>0.751</v>
      </c>
      <c r="H17" s="23">
        <v>0.67659999999999998</v>
      </c>
      <c r="I17" s="23">
        <v>0.60950000000000004</v>
      </c>
      <c r="J17" s="23">
        <v>0.54910000000000003</v>
      </c>
      <c r="K17" s="23">
        <v>0.49469999999999997</v>
      </c>
      <c r="L17" s="23">
        <v>0.44569999999999999</v>
      </c>
      <c r="M17" s="23">
        <v>0.40150000000000002</v>
      </c>
    </row>
    <row r="18" spans="1:14" x14ac:dyDescent="0.25">
      <c r="A18" s="6" t="s">
        <v>313</v>
      </c>
      <c r="C18" s="10">
        <v>3</v>
      </c>
      <c r="D18" s="10">
        <v>11</v>
      </c>
      <c r="E18" s="10">
        <v>10</v>
      </c>
      <c r="G18" s="10">
        <v>9</v>
      </c>
      <c r="H18" s="10">
        <v>9</v>
      </c>
      <c r="I18" s="10">
        <v>8</v>
      </c>
      <c r="J18" s="10">
        <v>8</v>
      </c>
      <c r="K18" s="10">
        <v>7</v>
      </c>
      <c r="L18" s="10">
        <v>7</v>
      </c>
      <c r="M18" s="10">
        <v>6</v>
      </c>
    </row>
    <row r="19" spans="1:14" x14ac:dyDescent="0.25">
      <c r="A19" s="7" t="s">
        <v>216</v>
      </c>
      <c r="C19" s="10">
        <v>122</v>
      </c>
      <c r="I19" s="7" t="s">
        <v>669</v>
      </c>
    </row>
    <row r="20" spans="1:14" x14ac:dyDescent="0.25">
      <c r="A20" s="7" t="s">
        <v>670</v>
      </c>
      <c r="C20" s="10">
        <v>5</v>
      </c>
      <c r="G20" s="10">
        <v>140</v>
      </c>
      <c r="H20" s="20">
        <v>0.01</v>
      </c>
      <c r="I20" s="20">
        <v>1.2999999999999999E-2</v>
      </c>
      <c r="J20" s="20">
        <v>1.4999999999999999E-2</v>
      </c>
    </row>
    <row r="21" spans="1:14" x14ac:dyDescent="0.25">
      <c r="A21" s="6" t="s">
        <v>218</v>
      </c>
      <c r="C21" s="13">
        <v>127</v>
      </c>
      <c r="G21" s="20">
        <v>0.02</v>
      </c>
      <c r="H21" s="10">
        <v>89</v>
      </c>
      <c r="I21" s="10">
        <v>111</v>
      </c>
      <c r="J21" s="10">
        <v>134</v>
      </c>
    </row>
    <row r="22" spans="1:14" x14ac:dyDescent="0.25">
      <c r="A22" s="7" t="s">
        <v>121</v>
      </c>
      <c r="B22" s="5" t="s">
        <v>122</v>
      </c>
      <c r="C22" s="10">
        <v>11</v>
      </c>
      <c r="E22" s="7" t="s">
        <v>295</v>
      </c>
      <c r="G22" s="20">
        <v>0.03</v>
      </c>
      <c r="H22" s="10">
        <v>92</v>
      </c>
      <c r="I22" s="10">
        <v>115</v>
      </c>
      <c r="J22" s="10">
        <v>138</v>
      </c>
    </row>
    <row r="23" spans="1:14" x14ac:dyDescent="0.25">
      <c r="A23" s="6" t="s">
        <v>219</v>
      </c>
      <c r="C23" s="13">
        <v>140</v>
      </c>
      <c r="G23" s="20">
        <v>0.04</v>
      </c>
      <c r="H23" s="10">
        <v>95</v>
      </c>
      <c r="I23" s="10">
        <v>119</v>
      </c>
      <c r="J23" s="10">
        <v>143</v>
      </c>
    </row>
    <row r="24" spans="1:14" x14ac:dyDescent="0.25">
      <c r="A24" s="7" t="s">
        <v>628</v>
      </c>
      <c r="D24" s="20">
        <v>2.8000000000000001E-2</v>
      </c>
      <c r="E24" s="20">
        <v>3.7999999999999999E-2</v>
      </c>
      <c r="G24" s="20">
        <v>0.04</v>
      </c>
      <c r="H24" s="20">
        <v>3.7999999999999999E-2</v>
      </c>
      <c r="I24" s="20">
        <v>4.2000000000000003E-2</v>
      </c>
      <c r="J24" s="20">
        <v>4.3999999999999997E-2</v>
      </c>
      <c r="K24" s="20">
        <v>4.3999999999999997E-2</v>
      </c>
      <c r="L24" s="20">
        <v>0.03</v>
      </c>
      <c r="M24" s="20">
        <v>0.03</v>
      </c>
    </row>
    <row r="25" spans="1:14" x14ac:dyDescent="0.25">
      <c r="A25" s="16" t="s">
        <v>127</v>
      </c>
    </row>
    <row r="26" spans="1:14" x14ac:dyDescent="0.25">
      <c r="A26" s="7" t="s">
        <v>227</v>
      </c>
    </row>
    <row r="27" spans="1:14" x14ac:dyDescent="0.25">
      <c r="A27" s="16" t="s">
        <v>61</v>
      </c>
    </row>
    <row r="28" spans="1:14" ht="15.75" x14ac:dyDescent="0.25">
      <c r="A28" s="4" t="s">
        <v>62</v>
      </c>
      <c r="N28" s="30" t="s">
        <v>63</v>
      </c>
    </row>
    <row r="29" spans="1:14" x14ac:dyDescent="0.25">
      <c r="F29" s="5" t="s">
        <v>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1"/>
  <sheetViews>
    <sheetView workbookViewId="0"/>
  </sheetViews>
  <sheetFormatPr defaultRowHeight="15" x14ac:dyDescent="0.25"/>
  <cols>
    <col min="1" max="1" width="75" bestFit="1" customWidth="1"/>
  </cols>
  <sheetData>
    <row r="1" spans="1:14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  <c r="N2" s="7" t="s">
        <v>671</v>
      </c>
    </row>
    <row r="3" spans="1:14" x14ac:dyDescent="0.25">
      <c r="A3" s="6" t="s">
        <v>9</v>
      </c>
    </row>
    <row r="4" spans="1:14" x14ac:dyDescent="0.25">
      <c r="A4" s="6" t="s">
        <v>663</v>
      </c>
    </row>
    <row r="5" spans="1:14" x14ac:dyDescent="0.25">
      <c r="A5" s="6" t="s">
        <v>11</v>
      </c>
    </row>
    <row r="6" spans="1:14" x14ac:dyDescent="0.25">
      <c r="G6" s="9" t="s">
        <v>96</v>
      </c>
    </row>
    <row r="7" spans="1:14" x14ac:dyDescent="0.25">
      <c r="A7" s="8" t="s">
        <v>12</v>
      </c>
      <c r="C7" s="9" t="s">
        <v>202</v>
      </c>
      <c r="D7" s="9" t="s">
        <v>229</v>
      </c>
      <c r="E7" s="9" t="s">
        <v>230</v>
      </c>
      <c r="G7" s="9" t="s">
        <v>231</v>
      </c>
      <c r="H7" s="9" t="s">
        <v>232</v>
      </c>
      <c r="I7" s="9" t="s">
        <v>233</v>
      </c>
      <c r="J7" s="9" t="s">
        <v>234</v>
      </c>
      <c r="K7" s="9" t="s">
        <v>235</v>
      </c>
      <c r="L7" s="9" t="s">
        <v>236</v>
      </c>
      <c r="M7" s="9" t="s">
        <v>237</v>
      </c>
    </row>
    <row r="8" spans="1:14" x14ac:dyDescent="0.25">
      <c r="A8" s="7" t="s">
        <v>666</v>
      </c>
      <c r="C8" s="14">
        <v>1389</v>
      </c>
      <c r="D8" s="14">
        <v>1430</v>
      </c>
      <c r="E8" s="14">
        <v>1473</v>
      </c>
      <c r="G8" s="14">
        <v>1518</v>
      </c>
      <c r="H8" s="14">
        <v>1563</v>
      </c>
      <c r="I8" s="14">
        <v>1610</v>
      </c>
      <c r="J8" s="14">
        <v>1658</v>
      </c>
      <c r="K8" s="14">
        <v>1708</v>
      </c>
      <c r="L8" s="14">
        <v>1759</v>
      </c>
      <c r="M8" s="14">
        <v>1812</v>
      </c>
    </row>
    <row r="9" spans="1:14" x14ac:dyDescent="0.25">
      <c r="A9" s="7" t="s">
        <v>667</v>
      </c>
      <c r="C9" s="10">
        <v>1</v>
      </c>
      <c r="D9" s="10">
        <v>1</v>
      </c>
      <c r="E9" s="10">
        <v>2</v>
      </c>
      <c r="G9" s="10">
        <v>2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4" x14ac:dyDescent="0.25">
      <c r="A10" s="6" t="s">
        <v>668</v>
      </c>
      <c r="C10" s="12">
        <v>1389</v>
      </c>
      <c r="D10" s="12">
        <v>1430</v>
      </c>
      <c r="E10" s="12">
        <v>1473</v>
      </c>
      <c r="G10" s="12">
        <v>1518</v>
      </c>
      <c r="H10" s="12">
        <v>1563</v>
      </c>
      <c r="I10" s="12">
        <v>1610</v>
      </c>
      <c r="J10" s="12">
        <v>1658</v>
      </c>
      <c r="K10" s="12">
        <v>1708</v>
      </c>
      <c r="L10" s="12">
        <v>1759</v>
      </c>
      <c r="M10" s="12">
        <v>1812</v>
      </c>
    </row>
    <row r="11" spans="1:14" x14ac:dyDescent="0.25">
      <c r="A11" s="7" t="s">
        <v>310</v>
      </c>
      <c r="B11" s="20">
        <v>1.4999999999999999E-2</v>
      </c>
      <c r="C11" s="10">
        <v>21</v>
      </c>
      <c r="D11" s="10">
        <v>21</v>
      </c>
      <c r="E11" s="10">
        <v>22</v>
      </c>
      <c r="G11" s="10">
        <v>23</v>
      </c>
      <c r="H11" s="10">
        <v>23</v>
      </c>
      <c r="I11" s="10">
        <v>24</v>
      </c>
      <c r="J11" s="10">
        <v>25</v>
      </c>
      <c r="K11" s="10">
        <v>26</v>
      </c>
      <c r="L11" s="10">
        <v>26</v>
      </c>
      <c r="M11" s="10">
        <v>27</v>
      </c>
    </row>
    <row r="12" spans="1:14" x14ac:dyDescent="0.25">
      <c r="A12" s="6" t="s">
        <v>311</v>
      </c>
      <c r="C12" s="10">
        <v>21</v>
      </c>
      <c r="D12" s="10">
        <v>21</v>
      </c>
      <c r="E12" s="10">
        <v>22</v>
      </c>
      <c r="G12" s="10">
        <v>23</v>
      </c>
      <c r="H12" s="10">
        <v>23</v>
      </c>
      <c r="I12" s="10">
        <v>24</v>
      </c>
      <c r="J12" s="10">
        <v>25</v>
      </c>
      <c r="K12" s="10">
        <v>26</v>
      </c>
      <c r="L12" s="10">
        <v>26</v>
      </c>
      <c r="M12" s="10">
        <v>27</v>
      </c>
    </row>
    <row r="13" spans="1:14" x14ac:dyDescent="0.25">
      <c r="A13" s="7" t="s">
        <v>109</v>
      </c>
      <c r="B13" s="20">
        <v>0.218</v>
      </c>
      <c r="C13" s="19">
        <v>-5</v>
      </c>
      <c r="D13" s="19">
        <v>-5</v>
      </c>
      <c r="E13" s="19">
        <v>-5</v>
      </c>
      <c r="G13" s="19">
        <v>-5</v>
      </c>
      <c r="H13" s="19">
        <v>-5</v>
      </c>
      <c r="I13" s="19">
        <v>-5</v>
      </c>
      <c r="J13" s="19">
        <v>-5</v>
      </c>
      <c r="K13" s="19">
        <v>-6</v>
      </c>
      <c r="L13" s="19">
        <v>-6</v>
      </c>
      <c r="M13" s="19">
        <v>-6</v>
      </c>
    </row>
    <row r="14" spans="1:14" x14ac:dyDescent="0.25">
      <c r="A14" s="6" t="s">
        <v>312</v>
      </c>
      <c r="C14" s="10">
        <v>16</v>
      </c>
      <c r="D14" s="10">
        <v>17</v>
      </c>
      <c r="E14" s="10">
        <v>17</v>
      </c>
      <c r="G14" s="10">
        <v>18</v>
      </c>
      <c r="H14" s="10">
        <v>18</v>
      </c>
      <c r="I14" s="10">
        <v>19</v>
      </c>
      <c r="J14" s="10">
        <v>19</v>
      </c>
      <c r="K14" s="10">
        <v>20</v>
      </c>
      <c r="L14" s="10">
        <v>21</v>
      </c>
      <c r="M14" s="10">
        <v>21</v>
      </c>
    </row>
    <row r="15" spans="1:14" x14ac:dyDescent="0.25">
      <c r="A15" s="7" t="s">
        <v>115</v>
      </c>
      <c r="B15" s="20">
        <v>0.11</v>
      </c>
      <c r="C15" s="23">
        <v>0.36170000000000002</v>
      </c>
      <c r="D15" s="23">
        <v>0.32590000000000002</v>
      </c>
      <c r="E15" s="23">
        <v>0.29360000000000003</v>
      </c>
      <c r="G15" s="23">
        <v>0.26450000000000001</v>
      </c>
      <c r="H15" s="23">
        <v>0.23830000000000001</v>
      </c>
      <c r="I15" s="23">
        <v>0.2147</v>
      </c>
      <c r="J15" s="23">
        <v>0.19339999999999999</v>
      </c>
      <c r="K15" s="23">
        <v>0.17419999999999999</v>
      </c>
      <c r="L15" s="24">
        <v>0.157</v>
      </c>
      <c r="M15" s="23">
        <v>0.1414</v>
      </c>
    </row>
    <row r="16" spans="1:14" x14ac:dyDescent="0.25">
      <c r="A16" s="6" t="s">
        <v>313</v>
      </c>
      <c r="C16" s="10">
        <v>6</v>
      </c>
      <c r="D16" s="10">
        <v>5</v>
      </c>
      <c r="E16" s="10">
        <v>5</v>
      </c>
      <c r="G16" s="10">
        <v>5</v>
      </c>
      <c r="H16" s="10">
        <v>4</v>
      </c>
      <c r="I16" s="10">
        <v>4</v>
      </c>
      <c r="J16" s="10">
        <v>4</v>
      </c>
      <c r="K16" s="10">
        <v>3</v>
      </c>
      <c r="L16" s="10">
        <v>3</v>
      </c>
      <c r="M16" s="10">
        <v>3</v>
      </c>
    </row>
    <row r="17" spans="1:13" x14ac:dyDescent="0.25">
      <c r="A17" s="7" t="s">
        <v>628</v>
      </c>
      <c r="C17" s="20">
        <v>0.03</v>
      </c>
      <c r="D17" s="20">
        <v>0.03</v>
      </c>
      <c r="E17" s="20">
        <v>0.03</v>
      </c>
      <c r="G17" s="20">
        <v>0.03</v>
      </c>
      <c r="H17" s="20">
        <v>0.03</v>
      </c>
      <c r="I17" s="20">
        <v>0.03</v>
      </c>
      <c r="J17" s="20">
        <v>0.03</v>
      </c>
      <c r="K17" s="20">
        <v>0.03</v>
      </c>
      <c r="L17" s="20">
        <v>0.03</v>
      </c>
      <c r="M17" s="20">
        <v>0.03</v>
      </c>
    </row>
    <row r="18" spans="1:13" x14ac:dyDescent="0.25">
      <c r="A18" s="16" t="s">
        <v>127</v>
      </c>
    </row>
    <row r="19" spans="1:13" x14ac:dyDescent="0.25">
      <c r="A19" s="16" t="s">
        <v>61</v>
      </c>
    </row>
    <row r="20" spans="1:13" x14ac:dyDescent="0.25">
      <c r="A20" s="4" t="s">
        <v>62</v>
      </c>
    </row>
    <row r="21" spans="1:13" x14ac:dyDescent="0.25">
      <c r="F21" s="5" t="s">
        <v>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33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18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J3" s="7" t="s">
        <v>672</v>
      </c>
    </row>
    <row r="4" spans="1:13" x14ac:dyDescent="0.25">
      <c r="A4" s="18" t="s">
        <v>9</v>
      </c>
    </row>
    <row r="5" spans="1:13" x14ac:dyDescent="0.25">
      <c r="A5" s="18" t="s">
        <v>673</v>
      </c>
    </row>
    <row r="6" spans="1:13" x14ac:dyDescent="0.25">
      <c r="A6" s="18" t="s">
        <v>11</v>
      </c>
    </row>
    <row r="7" spans="1:13" x14ac:dyDescent="0.25">
      <c r="C7" s="9" t="s">
        <v>95</v>
      </c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7" t="s">
        <v>674</v>
      </c>
      <c r="C9" s="10">
        <v>24</v>
      </c>
      <c r="D9" s="10">
        <v>31</v>
      </c>
      <c r="E9" s="10">
        <v>59</v>
      </c>
      <c r="F9" s="10">
        <v>85</v>
      </c>
      <c r="G9" s="10">
        <v>93</v>
      </c>
      <c r="H9" s="10">
        <v>92</v>
      </c>
      <c r="I9" s="10">
        <v>93</v>
      </c>
      <c r="J9" s="10">
        <v>93</v>
      </c>
    </row>
    <row r="10" spans="1:13" x14ac:dyDescent="0.25">
      <c r="A10" s="7" t="s">
        <v>675</v>
      </c>
      <c r="C10" s="10">
        <v>15</v>
      </c>
      <c r="D10" s="10">
        <v>62</v>
      </c>
      <c r="E10" s="10">
        <v>62</v>
      </c>
      <c r="F10" s="10">
        <v>62</v>
      </c>
      <c r="G10" s="10">
        <v>61</v>
      </c>
      <c r="H10" s="10">
        <v>62</v>
      </c>
      <c r="I10" s="10">
        <v>62</v>
      </c>
      <c r="J10" s="10">
        <v>63</v>
      </c>
    </row>
    <row r="11" spans="1:13" x14ac:dyDescent="0.25">
      <c r="A11" s="7" t="s">
        <v>622</v>
      </c>
    </row>
    <row r="12" spans="1:13" x14ac:dyDescent="0.25">
      <c r="A12" s="7" t="s">
        <v>676</v>
      </c>
      <c r="C12" s="10">
        <v>6</v>
      </c>
      <c r="D12" s="10">
        <v>18</v>
      </c>
      <c r="E12" s="7" t="s">
        <v>90</v>
      </c>
      <c r="F12" s="7" t="s">
        <v>90</v>
      </c>
      <c r="G12" s="7" t="s">
        <v>90</v>
      </c>
      <c r="H12" s="7" t="s">
        <v>90</v>
      </c>
      <c r="I12" s="7" t="s">
        <v>90</v>
      </c>
      <c r="J12" s="7" t="s">
        <v>90</v>
      </c>
    </row>
    <row r="13" spans="1:13" x14ac:dyDescent="0.25">
      <c r="A13" s="7" t="s">
        <v>677</v>
      </c>
      <c r="C13" s="10">
        <v>3</v>
      </c>
      <c r="D13" s="10">
        <v>5</v>
      </c>
      <c r="E13" s="10">
        <v>5</v>
      </c>
      <c r="F13" s="10">
        <v>3</v>
      </c>
      <c r="G13" s="7" t="s">
        <v>90</v>
      </c>
      <c r="H13" s="7" t="s">
        <v>90</v>
      </c>
      <c r="I13" s="7" t="s">
        <v>90</v>
      </c>
      <c r="J13" s="7" t="s">
        <v>90</v>
      </c>
    </row>
    <row r="14" spans="1:13" x14ac:dyDescent="0.25">
      <c r="A14" s="7" t="s">
        <v>678</v>
      </c>
      <c r="D14" s="10">
        <v>10</v>
      </c>
      <c r="E14" s="10">
        <v>21</v>
      </c>
      <c r="F14" s="10">
        <v>21</v>
      </c>
      <c r="G14" s="10">
        <v>10</v>
      </c>
      <c r="H14" s="7" t="s">
        <v>90</v>
      </c>
      <c r="I14" s="7" t="s">
        <v>90</v>
      </c>
      <c r="J14" s="7" t="s">
        <v>90</v>
      </c>
    </row>
    <row r="15" spans="1:13" x14ac:dyDescent="0.25">
      <c r="A15" s="7" t="s">
        <v>679</v>
      </c>
      <c r="E15" s="10">
        <v>10</v>
      </c>
      <c r="F15" s="10">
        <v>21</v>
      </c>
      <c r="G15" s="10">
        <v>21</v>
      </c>
      <c r="H15" s="10">
        <v>10</v>
      </c>
      <c r="I15" s="7" t="s">
        <v>90</v>
      </c>
      <c r="J15" s="7" t="s">
        <v>90</v>
      </c>
    </row>
    <row r="16" spans="1:13" x14ac:dyDescent="0.25">
      <c r="A16" s="7" t="s">
        <v>680</v>
      </c>
      <c r="F16" s="10">
        <v>10</v>
      </c>
      <c r="G16" s="10">
        <v>21</v>
      </c>
      <c r="H16" s="10">
        <v>21</v>
      </c>
      <c r="I16" s="10">
        <v>10</v>
      </c>
      <c r="J16" s="7" t="s">
        <v>90</v>
      </c>
    </row>
    <row r="17" spans="1:10" x14ac:dyDescent="0.25">
      <c r="A17" s="7" t="s">
        <v>681</v>
      </c>
      <c r="G17" s="10">
        <v>10</v>
      </c>
      <c r="H17" s="10">
        <v>20</v>
      </c>
      <c r="I17" s="10">
        <v>20</v>
      </c>
      <c r="J17" s="10">
        <v>10</v>
      </c>
    </row>
    <row r="18" spans="1:10" x14ac:dyDescent="0.25">
      <c r="A18" s="7" t="s">
        <v>682</v>
      </c>
      <c r="H18" s="10">
        <v>10</v>
      </c>
      <c r="I18" s="10">
        <v>21</v>
      </c>
      <c r="J18" s="10">
        <v>21</v>
      </c>
    </row>
    <row r="19" spans="1:10" x14ac:dyDescent="0.25">
      <c r="A19" s="7" t="s">
        <v>683</v>
      </c>
      <c r="I19" s="10">
        <v>10</v>
      </c>
      <c r="J19" s="10">
        <v>21</v>
      </c>
    </row>
    <row r="20" spans="1:10" x14ac:dyDescent="0.25">
      <c r="A20" s="7" t="s">
        <v>684</v>
      </c>
      <c r="J20" s="10">
        <v>11</v>
      </c>
    </row>
    <row r="21" spans="1:10" x14ac:dyDescent="0.25">
      <c r="A21" s="6" t="s">
        <v>218</v>
      </c>
      <c r="C21" s="13">
        <v>8</v>
      </c>
      <c r="D21" s="13">
        <v>34</v>
      </c>
      <c r="E21" s="13">
        <v>36</v>
      </c>
      <c r="F21" s="13">
        <v>54</v>
      </c>
      <c r="G21" s="13">
        <v>62</v>
      </c>
      <c r="H21" s="13">
        <v>62</v>
      </c>
      <c r="I21" s="13">
        <v>62</v>
      </c>
      <c r="J21" s="13">
        <v>62</v>
      </c>
    </row>
    <row r="22" spans="1:10" x14ac:dyDescent="0.25">
      <c r="A22" s="7" t="s">
        <v>685</v>
      </c>
      <c r="C22" s="10">
        <v>31</v>
      </c>
      <c r="D22" s="10">
        <v>59</v>
      </c>
      <c r="E22" s="10">
        <v>85</v>
      </c>
      <c r="F22" s="10">
        <v>93</v>
      </c>
      <c r="G22" s="10">
        <v>92</v>
      </c>
      <c r="H22" s="10">
        <v>93</v>
      </c>
      <c r="I22" s="10">
        <v>93</v>
      </c>
      <c r="J22" s="10">
        <v>94</v>
      </c>
    </row>
    <row r="23" spans="1:10" x14ac:dyDescent="0.25">
      <c r="A23" s="7" t="s">
        <v>686</v>
      </c>
      <c r="C23" s="10">
        <v>28</v>
      </c>
      <c r="D23" s="10">
        <v>45</v>
      </c>
      <c r="E23" s="10">
        <v>72</v>
      </c>
      <c r="F23" s="10">
        <v>89</v>
      </c>
      <c r="G23" s="10">
        <v>93</v>
      </c>
      <c r="H23" s="10">
        <v>92</v>
      </c>
      <c r="I23" s="10">
        <v>93</v>
      </c>
      <c r="J23" s="10">
        <v>93</v>
      </c>
    </row>
    <row r="24" spans="1:10" x14ac:dyDescent="0.25">
      <c r="A24" s="7" t="s">
        <v>619</v>
      </c>
      <c r="C24" s="10">
        <v>237</v>
      </c>
      <c r="D24" s="14">
        <v>1000</v>
      </c>
      <c r="E24" s="14">
        <v>1037</v>
      </c>
      <c r="F24" s="14">
        <v>1079</v>
      </c>
      <c r="G24" s="14">
        <v>1119</v>
      </c>
      <c r="H24" s="14">
        <v>1166</v>
      </c>
      <c r="I24" s="14">
        <v>1217</v>
      </c>
      <c r="J24" s="14">
        <v>1271</v>
      </c>
    </row>
    <row r="25" spans="1:10" x14ac:dyDescent="0.25">
      <c r="A25" s="6" t="s">
        <v>687</v>
      </c>
      <c r="C25" s="6" t="s">
        <v>688</v>
      </c>
      <c r="D25" s="13">
        <v>22</v>
      </c>
      <c r="E25" s="13">
        <v>14</v>
      </c>
      <c r="F25" s="13">
        <v>12</v>
      </c>
      <c r="G25" s="13">
        <v>12</v>
      </c>
      <c r="H25" s="13">
        <v>13</v>
      </c>
      <c r="I25" s="13">
        <v>13</v>
      </c>
      <c r="J25" s="13">
        <v>14</v>
      </c>
    </row>
    <row r="26" spans="1:10" x14ac:dyDescent="0.25">
      <c r="A26" s="7" t="s">
        <v>689</v>
      </c>
    </row>
    <row r="27" spans="1:10" x14ac:dyDescent="0.25">
      <c r="A27" s="7" t="s">
        <v>676</v>
      </c>
      <c r="C27" s="27">
        <v>1</v>
      </c>
      <c r="D27" s="7" t="s">
        <v>690</v>
      </c>
    </row>
    <row r="28" spans="1:10" x14ac:dyDescent="0.25">
      <c r="A28" s="7" t="s">
        <v>691</v>
      </c>
      <c r="C28" s="27">
        <v>3</v>
      </c>
      <c r="D28" s="7" t="s">
        <v>690</v>
      </c>
    </row>
    <row r="29" spans="1:10" x14ac:dyDescent="0.25">
      <c r="A29" s="8" t="s">
        <v>127</v>
      </c>
    </row>
    <row r="30" spans="1:10" x14ac:dyDescent="0.25">
      <c r="A30" s="7" t="s">
        <v>692</v>
      </c>
    </row>
    <row r="31" spans="1:10" x14ac:dyDescent="0.25">
      <c r="A31" s="16" t="s">
        <v>61</v>
      </c>
    </row>
    <row r="32" spans="1:10" ht="18.75" x14ac:dyDescent="0.25">
      <c r="A32" s="9" t="s">
        <v>62</v>
      </c>
      <c r="J32" s="22" t="s">
        <v>63</v>
      </c>
    </row>
    <row r="33" spans="6:6" x14ac:dyDescent="0.25">
      <c r="F33" s="5" t="s">
        <v>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32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s="7" t="s">
        <v>848</v>
      </c>
      <c r="M2" t="e">
        <f>M1-M0</f>
        <v>#NAME?</v>
      </c>
    </row>
    <row r="3" spans="1:13" x14ac:dyDescent="0.25">
      <c r="A3" s="6" t="s">
        <v>9</v>
      </c>
    </row>
    <row r="4" spans="1:13" x14ac:dyDescent="0.25">
      <c r="A4" s="6" t="s">
        <v>693</v>
      </c>
    </row>
    <row r="5" spans="1:13" x14ac:dyDescent="0.25">
      <c r="A5" s="6" t="s">
        <v>11</v>
      </c>
    </row>
    <row r="6" spans="1:13" x14ac:dyDescent="0.25">
      <c r="A6" s="8" t="s">
        <v>627</v>
      </c>
    </row>
    <row r="7" spans="1:13" x14ac:dyDescent="0.25">
      <c r="A7" s="7" t="s">
        <v>694</v>
      </c>
      <c r="C7" s="20">
        <v>0.30499999999999999</v>
      </c>
    </row>
    <row r="8" spans="1:13" x14ac:dyDescent="0.25">
      <c r="A8" s="7" t="s">
        <v>622</v>
      </c>
      <c r="C8" s="20">
        <v>3.5999999999999997E-2</v>
      </c>
    </row>
    <row r="9" spans="1:13" x14ac:dyDescent="0.25">
      <c r="A9" s="7" t="s">
        <v>695</v>
      </c>
      <c r="C9" s="20">
        <v>5.5E-2</v>
      </c>
    </row>
    <row r="10" spans="1:13" x14ac:dyDescent="0.25">
      <c r="A10" s="7" t="s">
        <v>696</v>
      </c>
      <c r="C10" s="20">
        <v>1.0999999999999999E-2</v>
      </c>
    </row>
    <row r="11" spans="1:13" x14ac:dyDescent="0.25">
      <c r="A11" s="7" t="s">
        <v>697</v>
      </c>
      <c r="C11" s="20">
        <v>8.2000000000000003E-2</v>
      </c>
    </row>
    <row r="12" spans="1:13" x14ac:dyDescent="0.25">
      <c r="A12" s="7" t="s">
        <v>698</v>
      </c>
      <c r="C12" s="20">
        <v>0.48799999999999999</v>
      </c>
    </row>
    <row r="13" spans="1:13" x14ac:dyDescent="0.25">
      <c r="A13" s="7" t="s">
        <v>699</v>
      </c>
      <c r="C13" s="20">
        <v>0.27900000000000003</v>
      </c>
    </row>
    <row r="14" spans="1:13" x14ac:dyDescent="0.25">
      <c r="A14" s="7" t="s">
        <v>700</v>
      </c>
      <c r="C14" s="20">
        <v>0.38600000000000001</v>
      </c>
    </row>
    <row r="15" spans="1:13" x14ac:dyDescent="0.25">
      <c r="C15" s="9" t="s">
        <v>95</v>
      </c>
      <c r="G15" s="9" t="s">
        <v>96</v>
      </c>
    </row>
    <row r="16" spans="1:13" x14ac:dyDescent="0.25">
      <c r="A16" s="8" t="s">
        <v>12</v>
      </c>
      <c r="C16" s="9" t="s">
        <v>97</v>
      </c>
      <c r="D16" s="9" t="s">
        <v>98</v>
      </c>
      <c r="E16" s="9" t="s">
        <v>99</v>
      </c>
      <c r="F16" s="9" t="s">
        <v>100</v>
      </c>
      <c r="G16" s="9" t="s">
        <v>101</v>
      </c>
      <c r="H16" s="9" t="s">
        <v>102</v>
      </c>
      <c r="I16" s="9" t="s">
        <v>103</v>
      </c>
      <c r="J16" s="9" t="s">
        <v>104</v>
      </c>
      <c r="K16" s="9" t="s">
        <v>200</v>
      </c>
      <c r="L16" s="9" t="s">
        <v>201</v>
      </c>
    </row>
    <row r="17" spans="1:12" x14ac:dyDescent="0.25">
      <c r="A17" s="7" t="s">
        <v>701</v>
      </c>
      <c r="B17" s="13">
        <v>203</v>
      </c>
    </row>
    <row r="18" spans="1:12" x14ac:dyDescent="0.25">
      <c r="A18" s="7" t="s">
        <v>702</v>
      </c>
      <c r="C18" s="10">
        <v>123</v>
      </c>
      <c r="D18" s="10">
        <v>78</v>
      </c>
      <c r="E18" s="10">
        <v>2</v>
      </c>
      <c r="F18" s="10">
        <v>0</v>
      </c>
      <c r="G18" s="10">
        <v>0</v>
      </c>
      <c r="H18" s="10">
        <v>0</v>
      </c>
      <c r="I18" s="7" t="s">
        <v>90</v>
      </c>
      <c r="J18" s="7" t="s">
        <v>90</v>
      </c>
      <c r="K18" s="7" t="s">
        <v>90</v>
      </c>
      <c r="L18" s="7" t="s">
        <v>90</v>
      </c>
    </row>
    <row r="19" spans="1:12" x14ac:dyDescent="0.25">
      <c r="C19" s="44">
        <v>0.60499999999999998</v>
      </c>
      <c r="D19" s="44">
        <v>0.38400000000000001</v>
      </c>
      <c r="E19" s="44">
        <v>8.9999999999999993E-3</v>
      </c>
      <c r="F19" s="44">
        <v>2E-3</v>
      </c>
      <c r="G19" s="44">
        <v>0</v>
      </c>
      <c r="H19" s="44">
        <v>0</v>
      </c>
    </row>
    <row r="20" spans="1:12" x14ac:dyDescent="0.25">
      <c r="A20" s="7" t="s">
        <v>703</v>
      </c>
      <c r="C20" s="10">
        <v>60</v>
      </c>
      <c r="D20" s="10">
        <v>38</v>
      </c>
      <c r="E20" s="10">
        <v>1</v>
      </c>
      <c r="F20" s="10">
        <v>0</v>
      </c>
      <c r="G20" s="10">
        <v>0</v>
      </c>
      <c r="H20" s="10">
        <v>0</v>
      </c>
      <c r="I20" s="7" t="s">
        <v>90</v>
      </c>
      <c r="J20" s="7" t="s">
        <v>90</v>
      </c>
      <c r="K20" s="7" t="s">
        <v>90</v>
      </c>
      <c r="L20" s="7" t="s">
        <v>90</v>
      </c>
    </row>
    <row r="21" spans="1:12" x14ac:dyDescent="0.25">
      <c r="A21" s="7" t="s">
        <v>704</v>
      </c>
      <c r="C21" s="10">
        <v>23</v>
      </c>
      <c r="D21" s="10">
        <v>15</v>
      </c>
      <c r="E21" s="10">
        <v>0</v>
      </c>
      <c r="F21" s="10">
        <v>0</v>
      </c>
      <c r="G21" s="10">
        <v>0</v>
      </c>
      <c r="H21" s="10">
        <v>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218</v>
      </c>
      <c r="C22" s="10">
        <v>83</v>
      </c>
      <c r="D22" s="10">
        <v>53</v>
      </c>
      <c r="E22" s="10">
        <v>1</v>
      </c>
      <c r="F22" s="10">
        <v>0</v>
      </c>
      <c r="G22" s="10">
        <v>0</v>
      </c>
      <c r="H22" s="10">
        <v>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705</v>
      </c>
      <c r="B23" s="20">
        <v>5.5E-2</v>
      </c>
      <c r="C23" s="23">
        <v>0.99299999999999999</v>
      </c>
      <c r="D23" s="23">
        <v>0.96099999999999997</v>
      </c>
      <c r="E23" s="23">
        <v>0.91100000000000003</v>
      </c>
      <c r="F23" s="23">
        <v>0.86299999999999999</v>
      </c>
      <c r="G23" s="23">
        <v>0.81799999999999995</v>
      </c>
      <c r="H23" s="23">
        <v>0.77600000000000002</v>
      </c>
    </row>
    <row r="24" spans="1:12" x14ac:dyDescent="0.25">
      <c r="A24" s="7" t="s">
        <v>706</v>
      </c>
      <c r="C24" s="10">
        <v>82</v>
      </c>
      <c r="D24" s="10">
        <v>51</v>
      </c>
      <c r="E24" s="10">
        <v>1</v>
      </c>
      <c r="F24" s="10">
        <v>0</v>
      </c>
      <c r="G24" s="10">
        <v>0</v>
      </c>
      <c r="H24" s="10">
        <v>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707</v>
      </c>
      <c r="C25" s="10">
        <v>134</v>
      </c>
    </row>
    <row r="26" spans="1:12" x14ac:dyDescent="0.25">
      <c r="A26" s="6" t="s">
        <v>219</v>
      </c>
      <c r="C26" s="13">
        <v>130</v>
      </c>
    </row>
    <row r="27" spans="1:12" x14ac:dyDescent="0.25">
      <c r="A27" s="7" t="s">
        <v>708</v>
      </c>
      <c r="C27" s="20">
        <v>0.64100000000000001</v>
      </c>
    </row>
    <row r="28" spans="1:12" x14ac:dyDescent="0.25">
      <c r="A28" s="8" t="s">
        <v>127</v>
      </c>
    </row>
    <row r="29" spans="1:12" x14ac:dyDescent="0.25">
      <c r="A29" s="7" t="s">
        <v>709</v>
      </c>
    </row>
    <row r="30" spans="1:12" x14ac:dyDescent="0.25">
      <c r="A30" s="16" t="s">
        <v>61</v>
      </c>
    </row>
    <row r="31" spans="1:12" ht="15.75" x14ac:dyDescent="0.25">
      <c r="A31" s="4" t="s">
        <v>62</v>
      </c>
      <c r="L31" s="30" t="s">
        <v>63</v>
      </c>
    </row>
    <row r="32" spans="1:12" x14ac:dyDescent="0.25">
      <c r="E32" s="5" t="s">
        <v>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34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L3" s="7" t="s">
        <v>710</v>
      </c>
    </row>
    <row r="4" spans="1:13" x14ac:dyDescent="0.25">
      <c r="A4" s="6" t="s">
        <v>9</v>
      </c>
    </row>
    <row r="5" spans="1:13" x14ac:dyDescent="0.25">
      <c r="A5" s="6" t="s">
        <v>711</v>
      </c>
    </row>
    <row r="6" spans="1:13" x14ac:dyDescent="0.25">
      <c r="A6" s="6" t="s">
        <v>11</v>
      </c>
    </row>
    <row r="7" spans="1:13" x14ac:dyDescent="0.25">
      <c r="A7" s="8" t="s">
        <v>627</v>
      </c>
    </row>
    <row r="8" spans="1:13" x14ac:dyDescent="0.25">
      <c r="A8" s="7" t="s">
        <v>694</v>
      </c>
      <c r="C8" s="20">
        <v>0.30499999999999999</v>
      </c>
    </row>
    <row r="9" spans="1:13" x14ac:dyDescent="0.25">
      <c r="A9" s="7" t="s">
        <v>622</v>
      </c>
      <c r="C9" s="20">
        <v>3.5999999999999997E-2</v>
      </c>
    </row>
    <row r="10" spans="1:13" x14ac:dyDescent="0.25">
      <c r="A10" s="7" t="s">
        <v>712</v>
      </c>
      <c r="C10" s="20">
        <v>5.5E-2</v>
      </c>
    </row>
    <row r="11" spans="1:13" x14ac:dyDescent="0.25">
      <c r="A11" s="7" t="s">
        <v>713</v>
      </c>
    </row>
    <row r="12" spans="1:13" x14ac:dyDescent="0.25">
      <c r="A12" s="7" t="s">
        <v>696</v>
      </c>
      <c r="C12" s="20">
        <v>1.0999999999999999E-2</v>
      </c>
    </row>
    <row r="13" spans="1:13" x14ac:dyDescent="0.25">
      <c r="A13" s="7" t="s">
        <v>697</v>
      </c>
      <c r="C13" s="20">
        <v>8.2000000000000003E-2</v>
      </c>
    </row>
    <row r="14" spans="1:13" x14ac:dyDescent="0.25">
      <c r="A14" s="7" t="s">
        <v>698</v>
      </c>
      <c r="C14" s="20">
        <v>0.48799999999999999</v>
      </c>
    </row>
    <row r="15" spans="1:13" x14ac:dyDescent="0.25">
      <c r="A15" s="7" t="s">
        <v>714</v>
      </c>
      <c r="C15" s="20">
        <v>0.27900000000000003</v>
      </c>
    </row>
    <row r="16" spans="1:13" x14ac:dyDescent="0.25">
      <c r="A16" s="7" t="s">
        <v>715</v>
      </c>
    </row>
    <row r="17" spans="1:12" x14ac:dyDescent="0.25">
      <c r="A17" s="7" t="s">
        <v>700</v>
      </c>
      <c r="C17" s="20">
        <v>0.38600000000000001</v>
      </c>
    </row>
    <row r="18" spans="1:12" x14ac:dyDescent="0.25">
      <c r="C18" s="9" t="s">
        <v>95</v>
      </c>
      <c r="G18" s="9" t="s">
        <v>96</v>
      </c>
    </row>
    <row r="19" spans="1:12" x14ac:dyDescent="0.25">
      <c r="A19" s="8" t="s">
        <v>12</v>
      </c>
      <c r="C19" s="9" t="s">
        <v>97</v>
      </c>
      <c r="D19" s="9" t="s">
        <v>98</v>
      </c>
      <c r="E19" s="9" t="s">
        <v>99</v>
      </c>
      <c r="F19" s="9" t="s">
        <v>100</v>
      </c>
      <c r="G19" s="9" t="s">
        <v>101</v>
      </c>
      <c r="H19" s="9" t="s">
        <v>102</v>
      </c>
      <c r="I19" s="9" t="s">
        <v>103</v>
      </c>
      <c r="J19" s="9" t="s">
        <v>104</v>
      </c>
      <c r="K19" s="9" t="s">
        <v>200</v>
      </c>
      <c r="L19" s="9" t="s">
        <v>201</v>
      </c>
    </row>
    <row r="20" spans="1:12" x14ac:dyDescent="0.25">
      <c r="A20" s="7" t="s">
        <v>701</v>
      </c>
      <c r="B20" s="13">
        <v>96</v>
      </c>
    </row>
    <row r="21" spans="1:12" x14ac:dyDescent="0.25">
      <c r="A21" s="7" t="s">
        <v>702</v>
      </c>
      <c r="C21" s="10">
        <v>36</v>
      </c>
      <c r="D21" s="10">
        <v>52</v>
      </c>
      <c r="E21" s="10">
        <v>7</v>
      </c>
      <c r="F21" s="10">
        <v>1</v>
      </c>
      <c r="G21" s="10">
        <v>0</v>
      </c>
      <c r="H21" s="10">
        <v>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703</v>
      </c>
      <c r="C22" s="10">
        <v>17</v>
      </c>
      <c r="D22" s="10">
        <v>26</v>
      </c>
      <c r="E22" s="10">
        <v>3</v>
      </c>
      <c r="F22" s="10">
        <v>0</v>
      </c>
      <c r="G22" s="10">
        <v>0</v>
      </c>
      <c r="H22" s="10">
        <v>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704</v>
      </c>
      <c r="C23" s="10">
        <v>7</v>
      </c>
      <c r="D23" s="10">
        <v>10</v>
      </c>
      <c r="E23" s="10">
        <v>1</v>
      </c>
      <c r="F23" s="10">
        <v>0</v>
      </c>
      <c r="G23" s="10">
        <v>0</v>
      </c>
      <c r="H23" s="10">
        <v>0</v>
      </c>
      <c r="I23" s="7" t="s">
        <v>90</v>
      </c>
      <c r="J23" s="7" t="s">
        <v>90</v>
      </c>
      <c r="K23" s="7" t="s">
        <v>90</v>
      </c>
      <c r="L23" s="7" t="s">
        <v>90</v>
      </c>
    </row>
    <row r="24" spans="1:12" x14ac:dyDescent="0.25">
      <c r="A24" s="7" t="s">
        <v>218</v>
      </c>
      <c r="C24" s="10">
        <v>24</v>
      </c>
      <c r="D24" s="10">
        <v>36</v>
      </c>
      <c r="E24" s="10">
        <v>5</v>
      </c>
      <c r="F24" s="10">
        <v>1</v>
      </c>
      <c r="G24" s="10">
        <v>0</v>
      </c>
      <c r="H24" s="10">
        <v>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705</v>
      </c>
      <c r="B25" s="20">
        <v>5.5E-2</v>
      </c>
      <c r="C25" s="23">
        <v>0.99299999999999999</v>
      </c>
      <c r="D25" s="23">
        <v>0.96099999999999997</v>
      </c>
      <c r="E25" s="23">
        <v>0.91100000000000003</v>
      </c>
      <c r="F25" s="23">
        <v>0.86299999999999999</v>
      </c>
      <c r="G25" s="23">
        <v>0.81799999999999995</v>
      </c>
      <c r="H25" s="23">
        <v>0.77600000000000002</v>
      </c>
      <c r="I25" s="23">
        <v>0.73499999999999999</v>
      </c>
      <c r="J25" s="23">
        <v>0.69699999999999995</v>
      </c>
      <c r="K25" s="23">
        <v>0.66100000000000003</v>
      </c>
      <c r="L25" s="23">
        <v>0.626</v>
      </c>
    </row>
    <row r="26" spans="1:12" x14ac:dyDescent="0.25">
      <c r="A26" s="7" t="s">
        <v>706</v>
      </c>
      <c r="C26" s="10">
        <v>24</v>
      </c>
      <c r="D26" s="10">
        <v>34</v>
      </c>
      <c r="E26" s="10">
        <v>4</v>
      </c>
      <c r="F26" s="10">
        <v>0</v>
      </c>
      <c r="G26" s="10">
        <v>0</v>
      </c>
      <c r="H26" s="10">
        <v>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2" x14ac:dyDescent="0.25">
      <c r="A27" s="7" t="s">
        <v>707</v>
      </c>
      <c r="C27" s="10">
        <v>63</v>
      </c>
    </row>
    <row r="28" spans="1:12" x14ac:dyDescent="0.25">
      <c r="A28" s="6" t="s">
        <v>219</v>
      </c>
      <c r="C28" s="13">
        <v>60</v>
      </c>
    </row>
    <row r="29" spans="1:12" x14ac:dyDescent="0.25">
      <c r="A29" s="7" t="s">
        <v>708</v>
      </c>
      <c r="C29" s="20">
        <v>0.623</v>
      </c>
    </row>
    <row r="30" spans="1:12" x14ac:dyDescent="0.25">
      <c r="A30" s="8" t="s">
        <v>127</v>
      </c>
    </row>
    <row r="31" spans="1:12" x14ac:dyDescent="0.25">
      <c r="A31" s="7" t="s">
        <v>709</v>
      </c>
    </row>
    <row r="32" spans="1:12" x14ac:dyDescent="0.25">
      <c r="A32" s="16" t="s">
        <v>61</v>
      </c>
    </row>
    <row r="33" spans="1:12" ht="15.75" x14ac:dyDescent="0.25">
      <c r="A33" s="4" t="s">
        <v>62</v>
      </c>
      <c r="L33" s="30" t="s">
        <v>63</v>
      </c>
    </row>
    <row r="34" spans="1:12" x14ac:dyDescent="0.25">
      <c r="E34" s="5" t="s">
        <v>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34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L3" s="7" t="s">
        <v>716</v>
      </c>
    </row>
    <row r="4" spans="1:13" x14ac:dyDescent="0.25">
      <c r="A4" s="6" t="s">
        <v>9</v>
      </c>
    </row>
    <row r="5" spans="1:13" x14ac:dyDescent="0.25">
      <c r="A5" s="6" t="s">
        <v>717</v>
      </c>
    </row>
    <row r="6" spans="1:13" x14ac:dyDescent="0.25">
      <c r="A6" s="6" t="s">
        <v>11</v>
      </c>
    </row>
    <row r="7" spans="1:13" x14ac:dyDescent="0.25">
      <c r="A7" s="8" t="s">
        <v>627</v>
      </c>
    </row>
    <row r="8" spans="1:13" x14ac:dyDescent="0.25">
      <c r="A8" s="7" t="s">
        <v>694</v>
      </c>
      <c r="C8" s="20">
        <v>0.30499999999999999</v>
      </c>
    </row>
    <row r="9" spans="1:13" x14ac:dyDescent="0.25">
      <c r="A9" s="7" t="s">
        <v>622</v>
      </c>
      <c r="C9" s="20">
        <v>3.5999999999999997E-2</v>
      </c>
    </row>
    <row r="10" spans="1:13" x14ac:dyDescent="0.25">
      <c r="A10" s="7" t="s">
        <v>712</v>
      </c>
      <c r="C10" s="20">
        <v>5.5E-2</v>
      </c>
    </row>
    <row r="11" spans="1:13" x14ac:dyDescent="0.25">
      <c r="A11" s="7" t="s">
        <v>713</v>
      </c>
    </row>
    <row r="12" spans="1:13" x14ac:dyDescent="0.25">
      <c r="A12" s="7" t="s">
        <v>696</v>
      </c>
      <c r="C12" s="20">
        <v>1.0999999999999999E-2</v>
      </c>
    </row>
    <row r="13" spans="1:13" x14ac:dyDescent="0.25">
      <c r="A13" s="7" t="s">
        <v>697</v>
      </c>
      <c r="C13" s="20">
        <v>8.2000000000000003E-2</v>
      </c>
    </row>
    <row r="14" spans="1:13" x14ac:dyDescent="0.25">
      <c r="A14" s="7" t="s">
        <v>698</v>
      </c>
      <c r="C14" s="20">
        <v>0.48799999999999999</v>
      </c>
    </row>
    <row r="15" spans="1:13" x14ac:dyDescent="0.25">
      <c r="A15" s="7" t="s">
        <v>714</v>
      </c>
      <c r="C15" s="20">
        <v>0.27900000000000003</v>
      </c>
    </row>
    <row r="16" spans="1:13" x14ac:dyDescent="0.25">
      <c r="A16" s="7" t="s">
        <v>715</v>
      </c>
    </row>
    <row r="17" spans="1:12" x14ac:dyDescent="0.25">
      <c r="A17" s="7" t="s">
        <v>700</v>
      </c>
      <c r="C17" s="20">
        <v>0.38600000000000001</v>
      </c>
    </row>
    <row r="18" spans="1:12" x14ac:dyDescent="0.25">
      <c r="C18" s="9" t="s">
        <v>95</v>
      </c>
      <c r="G18" s="9" t="s">
        <v>96</v>
      </c>
    </row>
    <row r="19" spans="1:12" x14ac:dyDescent="0.25">
      <c r="A19" s="8" t="s">
        <v>12</v>
      </c>
      <c r="C19" s="9" t="s">
        <v>97</v>
      </c>
      <c r="D19" s="9" t="s">
        <v>98</v>
      </c>
      <c r="E19" s="9" t="s">
        <v>99</v>
      </c>
      <c r="F19" s="9" t="s">
        <v>100</v>
      </c>
      <c r="G19" s="9" t="s">
        <v>101</v>
      </c>
      <c r="H19" s="9" t="s">
        <v>102</v>
      </c>
      <c r="I19" s="9" t="s">
        <v>103</v>
      </c>
      <c r="J19" s="9" t="s">
        <v>104</v>
      </c>
      <c r="K19" s="9" t="s">
        <v>200</v>
      </c>
      <c r="L19" s="9" t="s">
        <v>201</v>
      </c>
    </row>
    <row r="20" spans="1:12" x14ac:dyDescent="0.25">
      <c r="A20" s="7" t="s">
        <v>701</v>
      </c>
      <c r="B20" s="13">
        <v>3</v>
      </c>
    </row>
    <row r="21" spans="1:12" x14ac:dyDescent="0.25">
      <c r="A21" s="7" t="s">
        <v>702</v>
      </c>
      <c r="C21" s="10">
        <v>3</v>
      </c>
      <c r="D21" s="7" t="s">
        <v>90</v>
      </c>
      <c r="E21" s="7" t="s">
        <v>90</v>
      </c>
      <c r="F21" s="7" t="s">
        <v>90</v>
      </c>
      <c r="G21" s="7" t="s">
        <v>90</v>
      </c>
      <c r="H21" s="7" t="s">
        <v>90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703</v>
      </c>
      <c r="C22" s="10">
        <v>1</v>
      </c>
      <c r="D22" s="7" t="s">
        <v>90</v>
      </c>
      <c r="E22" s="7" t="s">
        <v>90</v>
      </c>
      <c r="F22" s="7" t="s">
        <v>90</v>
      </c>
      <c r="G22" s="7" t="s">
        <v>90</v>
      </c>
      <c r="H22" s="7" t="s">
        <v>90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704</v>
      </c>
      <c r="C23" s="10">
        <v>1</v>
      </c>
      <c r="D23" s="7" t="s">
        <v>90</v>
      </c>
      <c r="E23" s="7" t="s">
        <v>90</v>
      </c>
      <c r="F23" s="7" t="s">
        <v>90</v>
      </c>
      <c r="G23" s="7" t="s">
        <v>90</v>
      </c>
      <c r="H23" s="7" t="s">
        <v>90</v>
      </c>
      <c r="I23" s="7" t="s">
        <v>90</v>
      </c>
      <c r="J23" s="7" t="s">
        <v>90</v>
      </c>
      <c r="K23" s="7" t="s">
        <v>90</v>
      </c>
      <c r="L23" s="7" t="s">
        <v>90</v>
      </c>
    </row>
    <row r="24" spans="1:12" x14ac:dyDescent="0.25">
      <c r="A24" s="7" t="s">
        <v>218</v>
      </c>
      <c r="C24" s="10">
        <v>2</v>
      </c>
      <c r="D24" s="7" t="s">
        <v>90</v>
      </c>
      <c r="E24" s="7" t="s">
        <v>90</v>
      </c>
      <c r="F24" s="7" t="s">
        <v>90</v>
      </c>
      <c r="G24" s="7" t="s">
        <v>90</v>
      </c>
      <c r="H24" s="7" t="s">
        <v>90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705</v>
      </c>
      <c r="B25" s="20">
        <v>5.5E-2</v>
      </c>
      <c r="C25" s="23">
        <v>0.99299999999999999</v>
      </c>
      <c r="D25" s="23">
        <v>0.96099999999999997</v>
      </c>
      <c r="E25" s="23">
        <v>0.91100000000000003</v>
      </c>
      <c r="F25" s="23">
        <v>0.86299999999999999</v>
      </c>
      <c r="G25" s="23">
        <v>0.81799999999999995</v>
      </c>
    </row>
    <row r="26" spans="1:12" x14ac:dyDescent="0.25">
      <c r="A26" s="7" t="s">
        <v>706</v>
      </c>
      <c r="C26" s="10">
        <v>2</v>
      </c>
      <c r="D26" s="7" t="s">
        <v>90</v>
      </c>
      <c r="E26" s="7" t="s">
        <v>90</v>
      </c>
      <c r="F26" s="7" t="s">
        <v>90</v>
      </c>
      <c r="G26" s="7" t="s">
        <v>90</v>
      </c>
      <c r="H26" s="7" t="s">
        <v>90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2" x14ac:dyDescent="0.25">
      <c r="A27" s="7" t="s">
        <v>707</v>
      </c>
      <c r="C27" s="10">
        <v>2</v>
      </c>
    </row>
    <row r="28" spans="1:12" x14ac:dyDescent="0.25">
      <c r="A28" s="6" t="s">
        <v>219</v>
      </c>
      <c r="C28" s="13">
        <v>2</v>
      </c>
    </row>
    <row r="29" spans="1:12" x14ac:dyDescent="0.25">
      <c r="A29" s="7" t="s">
        <v>708</v>
      </c>
      <c r="C29" s="20">
        <v>0.67200000000000004</v>
      </c>
    </row>
    <row r="30" spans="1:12" x14ac:dyDescent="0.25">
      <c r="A30" s="8" t="s">
        <v>127</v>
      </c>
    </row>
    <row r="31" spans="1:12" x14ac:dyDescent="0.25">
      <c r="A31" s="7" t="s">
        <v>709</v>
      </c>
    </row>
    <row r="32" spans="1:12" x14ac:dyDescent="0.25">
      <c r="A32" s="16" t="s">
        <v>61</v>
      </c>
    </row>
    <row r="33" spans="1:12" ht="15.75" x14ac:dyDescent="0.25">
      <c r="A33" s="4" t="s">
        <v>62</v>
      </c>
      <c r="L33" s="30" t="s">
        <v>63</v>
      </c>
    </row>
    <row r="34" spans="1:12" x14ac:dyDescent="0.25">
      <c r="E34" s="5" t="s">
        <v>6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30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t="e">
        <f>G1-G0</f>
        <v>#NAME?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s="7" t="s">
        <v>848</v>
      </c>
      <c r="M2" t="e">
        <f>M1-M0</f>
        <v>#NAME?</v>
      </c>
    </row>
    <row r="3" spans="1:13" x14ac:dyDescent="0.25">
      <c r="A3" s="5" t="s">
        <v>9</v>
      </c>
    </row>
    <row r="4" spans="1:13" x14ac:dyDescent="0.25">
      <c r="A4" s="4" t="s">
        <v>718</v>
      </c>
    </row>
    <row r="5" spans="1:13" x14ac:dyDescent="0.25">
      <c r="A5" s="4" t="s">
        <v>11</v>
      </c>
    </row>
    <row r="6" spans="1:13" x14ac:dyDescent="0.25">
      <c r="D6" s="9" t="s">
        <v>719</v>
      </c>
      <c r="I6" s="9" t="s">
        <v>719</v>
      </c>
      <c r="L6" s="9" t="s">
        <v>720</v>
      </c>
    </row>
    <row r="7" spans="1:13" x14ac:dyDescent="0.25">
      <c r="A7" s="8" t="s">
        <v>12</v>
      </c>
      <c r="B7" s="16" t="s">
        <v>127</v>
      </c>
      <c r="C7" s="9" t="s">
        <v>721</v>
      </c>
      <c r="D7" s="9" t="s">
        <v>722</v>
      </c>
      <c r="E7" s="9" t="s">
        <v>723</v>
      </c>
      <c r="F7" s="9" t="s">
        <v>724</v>
      </c>
      <c r="G7" s="9" t="s">
        <v>725</v>
      </c>
      <c r="H7" s="9" t="s">
        <v>721</v>
      </c>
      <c r="I7" s="9" t="s">
        <v>722</v>
      </c>
      <c r="J7" s="9" t="s">
        <v>723</v>
      </c>
      <c r="K7" s="9" t="s">
        <v>724</v>
      </c>
      <c r="L7" s="9" t="s">
        <v>726</v>
      </c>
    </row>
    <row r="8" spans="1:13" x14ac:dyDescent="0.25">
      <c r="A8" s="7" t="s">
        <v>619</v>
      </c>
      <c r="C8" s="45" t="s">
        <v>90</v>
      </c>
      <c r="D8" s="10">
        <v>925</v>
      </c>
      <c r="E8" s="10">
        <v>953</v>
      </c>
      <c r="F8" s="10">
        <v>949</v>
      </c>
      <c r="G8" s="10">
        <v>471</v>
      </c>
      <c r="H8" s="7" t="s">
        <v>223</v>
      </c>
      <c r="I8" s="20">
        <v>1</v>
      </c>
      <c r="J8" s="20">
        <v>1</v>
      </c>
      <c r="K8" s="20">
        <v>1</v>
      </c>
      <c r="L8" s="20">
        <v>1</v>
      </c>
    </row>
    <row r="9" spans="1:13" x14ac:dyDescent="0.25">
      <c r="A9" s="7" t="s">
        <v>727</v>
      </c>
      <c r="C9" s="45" t="s">
        <v>90</v>
      </c>
      <c r="D9" s="19">
        <v>-264</v>
      </c>
      <c r="E9" s="19">
        <v>-285</v>
      </c>
      <c r="F9" s="19">
        <v>-315</v>
      </c>
      <c r="G9" s="19">
        <v>-138</v>
      </c>
      <c r="H9" s="7" t="s">
        <v>223</v>
      </c>
      <c r="I9" s="20">
        <v>-0.28599999999999998</v>
      </c>
      <c r="J9" s="20">
        <v>-0.29899999999999999</v>
      </c>
      <c r="K9" s="20">
        <v>-0.33200000000000002</v>
      </c>
      <c r="L9" s="20">
        <v>-0.29299999999999998</v>
      </c>
    </row>
    <row r="10" spans="1:13" x14ac:dyDescent="0.25">
      <c r="A10" s="6" t="s">
        <v>728</v>
      </c>
      <c r="C10" s="7" t="s">
        <v>90</v>
      </c>
      <c r="D10" s="10">
        <v>660</v>
      </c>
      <c r="E10" s="10">
        <v>668</v>
      </c>
      <c r="F10" s="10">
        <v>635</v>
      </c>
      <c r="G10" s="10">
        <v>333</v>
      </c>
      <c r="H10" s="7" t="s">
        <v>223</v>
      </c>
      <c r="I10" s="20">
        <v>0.71399999999999997</v>
      </c>
      <c r="J10" s="20">
        <v>0.70099999999999996</v>
      </c>
      <c r="K10" s="20">
        <v>0.66800000000000004</v>
      </c>
      <c r="L10" s="20">
        <v>0.70699999999999996</v>
      </c>
    </row>
    <row r="11" spans="1:13" x14ac:dyDescent="0.25">
      <c r="A11" s="7" t="s">
        <v>729</v>
      </c>
      <c r="C11" s="45" t="s">
        <v>90</v>
      </c>
      <c r="D11" s="19">
        <v>-125</v>
      </c>
      <c r="E11" s="19">
        <v>-104</v>
      </c>
      <c r="F11" s="19">
        <v>-79</v>
      </c>
      <c r="G11" s="19">
        <v>-69</v>
      </c>
      <c r="H11" s="7" t="s">
        <v>223</v>
      </c>
      <c r="I11" s="20">
        <v>-0.13600000000000001</v>
      </c>
      <c r="J11" s="20">
        <v>-0.109</v>
      </c>
      <c r="K11" s="20">
        <v>-8.3000000000000004E-2</v>
      </c>
      <c r="L11" s="20">
        <v>-0.14699999999999999</v>
      </c>
    </row>
    <row r="12" spans="1:13" x14ac:dyDescent="0.25">
      <c r="A12" s="7" t="s">
        <v>730</v>
      </c>
      <c r="C12" s="45" t="s">
        <v>90</v>
      </c>
      <c r="D12" s="19">
        <v>-175</v>
      </c>
      <c r="E12" s="19">
        <v>-191</v>
      </c>
      <c r="F12" s="19">
        <v>-188</v>
      </c>
      <c r="G12" s="19">
        <v>-92</v>
      </c>
      <c r="H12" s="7" t="s">
        <v>223</v>
      </c>
      <c r="I12" s="20">
        <v>-0.189</v>
      </c>
      <c r="J12" s="21">
        <v>-0.2</v>
      </c>
      <c r="K12" s="20">
        <v>-0.19800000000000001</v>
      </c>
      <c r="L12" s="20">
        <v>-0.19500000000000001</v>
      </c>
    </row>
    <row r="13" spans="1:13" x14ac:dyDescent="0.25">
      <c r="A13" s="7" t="s">
        <v>731</v>
      </c>
      <c r="C13" s="45" t="s">
        <v>90</v>
      </c>
      <c r="D13" s="19">
        <v>-140</v>
      </c>
      <c r="E13" s="19">
        <v>-156</v>
      </c>
      <c r="F13" s="19">
        <v>-138</v>
      </c>
      <c r="G13" s="19">
        <v>-71</v>
      </c>
      <c r="H13" s="7" t="s">
        <v>223</v>
      </c>
      <c r="I13" s="20">
        <v>-0.151</v>
      </c>
      <c r="J13" s="20">
        <v>-0.16300000000000001</v>
      </c>
      <c r="K13" s="20">
        <v>-0.14499999999999999</v>
      </c>
      <c r="L13" s="20">
        <v>-0.151</v>
      </c>
    </row>
    <row r="14" spans="1:13" x14ac:dyDescent="0.25">
      <c r="A14" s="7" t="s">
        <v>732</v>
      </c>
      <c r="D14" s="19">
        <v>-1</v>
      </c>
      <c r="E14" s="10">
        <v>6</v>
      </c>
      <c r="F14" s="19">
        <v>0</v>
      </c>
      <c r="G14" s="10">
        <v>0</v>
      </c>
      <c r="H14" s="7" t="s">
        <v>223</v>
      </c>
      <c r="I14" s="20">
        <v>-2E-3</v>
      </c>
      <c r="J14" s="20">
        <v>6.0000000000000001E-3</v>
      </c>
      <c r="K14" s="21">
        <v>0</v>
      </c>
      <c r="L14" s="20">
        <v>0</v>
      </c>
    </row>
    <row r="15" spans="1:13" x14ac:dyDescent="0.25">
      <c r="A15" s="6" t="s">
        <v>621</v>
      </c>
      <c r="C15" s="7" t="s">
        <v>90</v>
      </c>
      <c r="D15" s="10">
        <v>219</v>
      </c>
      <c r="E15" s="10">
        <v>224</v>
      </c>
      <c r="F15" s="10">
        <v>230</v>
      </c>
      <c r="G15" s="10">
        <v>101</v>
      </c>
      <c r="H15" s="7" t="s">
        <v>223</v>
      </c>
      <c r="I15" s="20">
        <v>0.23699999999999999</v>
      </c>
      <c r="J15" s="20">
        <v>0.23499999999999999</v>
      </c>
      <c r="K15" s="20">
        <v>0.24199999999999999</v>
      </c>
      <c r="L15" s="20">
        <v>0.214</v>
      </c>
    </row>
    <row r="16" spans="1:13" x14ac:dyDescent="0.25">
      <c r="A16" s="7" t="s">
        <v>622</v>
      </c>
      <c r="C16" s="45" t="s">
        <v>90</v>
      </c>
      <c r="D16" s="19">
        <v>-104</v>
      </c>
      <c r="E16" s="19">
        <v>-112</v>
      </c>
      <c r="F16" s="19">
        <v>-102</v>
      </c>
      <c r="G16" s="19">
        <v>-48</v>
      </c>
      <c r="H16" s="7" t="s">
        <v>223</v>
      </c>
      <c r="I16" s="20">
        <v>-0.113</v>
      </c>
      <c r="J16" s="20">
        <v>-0.11799999999999999</v>
      </c>
      <c r="K16" s="20">
        <v>-0.107</v>
      </c>
      <c r="L16" s="20">
        <v>-0.10199999999999999</v>
      </c>
    </row>
    <row r="17" spans="1:12" x14ac:dyDescent="0.25">
      <c r="A17" s="7" t="s">
        <v>733</v>
      </c>
      <c r="C17" s="45" t="s">
        <v>90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223</v>
      </c>
      <c r="I17" s="7" t="s">
        <v>71</v>
      </c>
      <c r="J17" s="7" t="s">
        <v>71</v>
      </c>
      <c r="K17" s="7" t="s">
        <v>71</v>
      </c>
      <c r="L17" s="7" t="s">
        <v>71</v>
      </c>
    </row>
    <row r="18" spans="1:12" x14ac:dyDescent="0.25">
      <c r="A18" s="6" t="s">
        <v>734</v>
      </c>
      <c r="C18" s="7" t="s">
        <v>90</v>
      </c>
      <c r="D18" s="10">
        <v>115</v>
      </c>
      <c r="E18" s="10">
        <v>111</v>
      </c>
      <c r="F18" s="10">
        <v>129</v>
      </c>
      <c r="G18" s="10">
        <v>53</v>
      </c>
      <c r="H18" s="7" t="s">
        <v>223</v>
      </c>
      <c r="I18" s="20">
        <v>0.124</v>
      </c>
      <c r="J18" s="20">
        <v>0.11700000000000001</v>
      </c>
      <c r="K18" s="20">
        <v>0.13500000000000001</v>
      </c>
      <c r="L18" s="20">
        <v>0.112</v>
      </c>
    </row>
    <row r="19" spans="1:12" x14ac:dyDescent="0.25">
      <c r="A19" s="7" t="s">
        <v>651</v>
      </c>
      <c r="C19" s="7" t="s">
        <v>90</v>
      </c>
      <c r="D19" s="10">
        <v>136</v>
      </c>
      <c r="E19" s="10">
        <v>56</v>
      </c>
      <c r="F19" s="10">
        <v>50</v>
      </c>
      <c r="G19" s="10">
        <v>26</v>
      </c>
      <c r="H19" s="7" t="s">
        <v>223</v>
      </c>
      <c r="I19" s="20">
        <v>0.14699999999999999</v>
      </c>
      <c r="J19" s="20">
        <v>5.8999999999999997E-2</v>
      </c>
      <c r="K19" s="20">
        <v>5.2999999999999999E-2</v>
      </c>
      <c r="L19" s="20">
        <v>5.3999999999999999E-2</v>
      </c>
    </row>
    <row r="20" spans="1:12" x14ac:dyDescent="0.25">
      <c r="A20" s="9" t="s">
        <v>735</v>
      </c>
      <c r="H20" s="9" t="s">
        <v>736</v>
      </c>
      <c r="I20" s="9" t="s">
        <v>737</v>
      </c>
      <c r="J20" s="9" t="s">
        <v>738</v>
      </c>
    </row>
    <row r="21" spans="1:12" x14ac:dyDescent="0.25">
      <c r="A21" s="7" t="s">
        <v>739</v>
      </c>
      <c r="C21" s="7" t="s">
        <v>223</v>
      </c>
      <c r="D21" s="7" t="s">
        <v>223</v>
      </c>
      <c r="E21" s="20">
        <v>3.1E-2</v>
      </c>
      <c r="F21" s="20">
        <v>-4.0000000000000001E-3</v>
      </c>
      <c r="G21" s="7" t="s">
        <v>223</v>
      </c>
      <c r="H21" s="7" t="s">
        <v>223</v>
      </c>
      <c r="I21" s="21">
        <v>-1</v>
      </c>
      <c r="J21" s="7" t="s">
        <v>740</v>
      </c>
    </row>
    <row r="22" spans="1:12" x14ac:dyDescent="0.25">
      <c r="A22" s="7" t="s">
        <v>741</v>
      </c>
      <c r="C22" s="7" t="s">
        <v>223</v>
      </c>
      <c r="D22" s="20">
        <v>0.71399999999999997</v>
      </c>
      <c r="E22" s="20">
        <v>0.70099999999999996</v>
      </c>
      <c r="F22" s="20">
        <v>0.66800000000000004</v>
      </c>
      <c r="G22" s="20">
        <v>0.70699999999999996</v>
      </c>
      <c r="H22" s="20">
        <v>0.7</v>
      </c>
      <c r="I22" s="20">
        <v>0.69599999999999995</v>
      </c>
      <c r="J22" s="7" t="s">
        <v>742</v>
      </c>
    </row>
    <row r="23" spans="1:12" x14ac:dyDescent="0.25">
      <c r="A23" s="7" t="s">
        <v>743</v>
      </c>
      <c r="C23" s="7" t="s">
        <v>223</v>
      </c>
      <c r="D23" s="20">
        <v>0.23699999999999999</v>
      </c>
      <c r="E23" s="20">
        <v>0.23499999999999999</v>
      </c>
      <c r="F23" s="20">
        <v>0.24199999999999999</v>
      </c>
      <c r="G23" s="20">
        <v>0.214</v>
      </c>
      <c r="H23" s="20">
        <v>0.22900000000000001</v>
      </c>
      <c r="I23" s="20">
        <v>0.22600000000000001</v>
      </c>
      <c r="J23" s="7" t="s">
        <v>744</v>
      </c>
    </row>
    <row r="24" spans="1:12" x14ac:dyDescent="0.25">
      <c r="A24" s="7" t="s">
        <v>745</v>
      </c>
      <c r="C24" s="7" t="s">
        <v>223</v>
      </c>
      <c r="D24" s="20">
        <v>0.124</v>
      </c>
      <c r="E24" s="20">
        <v>0.11700000000000001</v>
      </c>
      <c r="F24" s="20">
        <v>0.13500000000000001</v>
      </c>
      <c r="G24" s="20">
        <v>0.112</v>
      </c>
      <c r="H24" s="20">
        <v>0.12</v>
      </c>
      <c r="I24" s="20">
        <v>0.11899999999999999</v>
      </c>
      <c r="J24" s="7" t="s">
        <v>746</v>
      </c>
    </row>
    <row r="25" spans="1:12" x14ac:dyDescent="0.25">
      <c r="A25" s="7" t="s">
        <v>747</v>
      </c>
      <c r="C25" s="7" t="s">
        <v>223</v>
      </c>
      <c r="D25" s="20">
        <v>-0.113</v>
      </c>
      <c r="E25" s="20">
        <v>-0.11799999999999999</v>
      </c>
      <c r="F25" s="20">
        <v>-0.107</v>
      </c>
      <c r="G25" s="20">
        <v>-0.10199999999999999</v>
      </c>
      <c r="H25" s="20">
        <v>-0.109</v>
      </c>
      <c r="I25" s="20">
        <v>-0.107</v>
      </c>
      <c r="J25" s="7" t="s">
        <v>748</v>
      </c>
    </row>
    <row r="26" spans="1:12" x14ac:dyDescent="0.25">
      <c r="A26" s="7" t="s">
        <v>749</v>
      </c>
      <c r="C26" s="7" t="s">
        <v>223</v>
      </c>
      <c r="D26" s="7" t="s">
        <v>71</v>
      </c>
      <c r="E26" s="7" t="s">
        <v>71</v>
      </c>
      <c r="F26" s="7" t="s">
        <v>71</v>
      </c>
      <c r="G26" s="7" t="s">
        <v>71</v>
      </c>
      <c r="H26" s="7" t="s">
        <v>71</v>
      </c>
      <c r="I26" s="7" t="s">
        <v>71</v>
      </c>
      <c r="J26" s="7" t="s">
        <v>750</v>
      </c>
    </row>
    <row r="27" spans="1:12" x14ac:dyDescent="0.25">
      <c r="A27" s="7" t="s">
        <v>751</v>
      </c>
      <c r="C27" s="7" t="s">
        <v>223</v>
      </c>
      <c r="D27" s="20">
        <v>0.14699999999999999</v>
      </c>
      <c r="E27" s="20">
        <v>5.8999999999999997E-2</v>
      </c>
      <c r="F27" s="20">
        <v>5.2999999999999999E-2</v>
      </c>
      <c r="G27" s="20">
        <v>5.3999999999999999E-2</v>
      </c>
      <c r="H27" s="20">
        <v>7.2999999999999995E-2</v>
      </c>
      <c r="I27" s="20">
        <v>5.5E-2</v>
      </c>
      <c r="J27" s="7" t="s">
        <v>752</v>
      </c>
    </row>
    <row r="28" spans="1:12" x14ac:dyDescent="0.25">
      <c r="A28" s="16" t="s">
        <v>61</v>
      </c>
    </row>
    <row r="29" spans="1:12" ht="15.75" x14ac:dyDescent="0.25">
      <c r="A29" s="4" t="s">
        <v>62</v>
      </c>
      <c r="B29" s="30" t="s">
        <v>63</v>
      </c>
    </row>
    <row r="30" spans="1:12" x14ac:dyDescent="0.25">
      <c r="A30" s="5" t="s">
        <v>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46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A1" t="s">
        <v>824</v>
      </c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835</v>
      </c>
      <c r="C2" t="e">
        <f>C1-C0</f>
        <v>#NAME?</v>
      </c>
      <c r="D2" t="e">
        <f>D1-D0</f>
        <v>#NAME?</v>
      </c>
      <c r="E2" t="e">
        <f>E1-E0</f>
        <v>#NAME?</v>
      </c>
      <c r="F2" t="e">
        <f>F1-F0</f>
        <v>#NAME?</v>
      </c>
      <c r="G2" s="7" t="s">
        <v>842</v>
      </c>
      <c r="H2" t="e">
        <f>H1-H0</f>
        <v>#NAME?</v>
      </c>
      <c r="I2" t="e">
        <f>I1-I0</f>
        <v>#NAME?</v>
      </c>
      <c r="J2" t="e">
        <f>J1-J0</f>
        <v>#NAME?</v>
      </c>
      <c r="K2" t="e">
        <f>K1-K0</f>
        <v>#NAME?</v>
      </c>
      <c r="L2" t="e">
        <f>L1-L0</f>
        <v>#NAME?</v>
      </c>
      <c r="M2" t="e">
        <f>M1-M0</f>
        <v>#NAME?</v>
      </c>
    </row>
    <row r="3" spans="1:13" x14ac:dyDescent="0.25">
      <c r="A3" s="5" t="s">
        <v>9</v>
      </c>
    </row>
    <row r="4" spans="1:13" x14ac:dyDescent="0.25">
      <c r="A4" s="4" t="s">
        <v>753</v>
      </c>
    </row>
    <row r="5" spans="1:13" x14ac:dyDescent="0.25">
      <c r="A5" s="4" t="s">
        <v>11</v>
      </c>
    </row>
    <row r="6" spans="1:13" x14ac:dyDescent="0.25">
      <c r="E6" s="9" t="s">
        <v>754</v>
      </c>
    </row>
    <row r="7" spans="1:13" x14ac:dyDescent="0.25">
      <c r="A7" s="8" t="s">
        <v>12</v>
      </c>
      <c r="B7" s="16" t="s">
        <v>127</v>
      </c>
      <c r="C7" s="9" t="s">
        <v>723</v>
      </c>
      <c r="D7" s="9" t="s">
        <v>724</v>
      </c>
      <c r="E7" s="9" t="s">
        <v>755</v>
      </c>
      <c r="G7" s="9" t="s">
        <v>756</v>
      </c>
    </row>
    <row r="8" spans="1:13" x14ac:dyDescent="0.25">
      <c r="A8" s="6" t="s">
        <v>757</v>
      </c>
    </row>
    <row r="9" spans="1:13" x14ac:dyDescent="0.25">
      <c r="A9" s="7" t="s">
        <v>758</v>
      </c>
      <c r="C9" s="10">
        <v>0</v>
      </c>
      <c r="D9" s="10">
        <v>1</v>
      </c>
      <c r="E9" s="10">
        <v>2</v>
      </c>
    </row>
    <row r="10" spans="1:13" x14ac:dyDescent="0.25">
      <c r="A10" s="7" t="s">
        <v>759</v>
      </c>
      <c r="C10" s="10">
        <v>272</v>
      </c>
      <c r="D10" s="10">
        <v>295</v>
      </c>
      <c r="E10" s="10">
        <v>268</v>
      </c>
    </row>
    <row r="11" spans="1:13" x14ac:dyDescent="0.25">
      <c r="A11" s="7" t="s">
        <v>760</v>
      </c>
      <c r="C11" s="7" t="s">
        <v>90</v>
      </c>
      <c r="D11" s="7" t="s">
        <v>90</v>
      </c>
      <c r="E11" s="7" t="s">
        <v>90</v>
      </c>
    </row>
    <row r="12" spans="1:13" x14ac:dyDescent="0.25">
      <c r="A12" s="7" t="s">
        <v>761</v>
      </c>
      <c r="C12" s="7" t="s">
        <v>90</v>
      </c>
      <c r="D12" s="7" t="s">
        <v>90</v>
      </c>
      <c r="E12" s="7" t="s">
        <v>90</v>
      </c>
    </row>
    <row r="13" spans="1:13" x14ac:dyDescent="0.25">
      <c r="A13" s="7" t="s">
        <v>762</v>
      </c>
      <c r="C13" s="10">
        <v>24</v>
      </c>
      <c r="D13" s="10">
        <v>22</v>
      </c>
      <c r="E13" s="10">
        <v>29</v>
      </c>
    </row>
    <row r="14" spans="1:13" x14ac:dyDescent="0.25">
      <c r="A14" s="7" t="s">
        <v>763</v>
      </c>
      <c r="C14" s="10">
        <v>1</v>
      </c>
      <c r="D14" s="10">
        <v>2</v>
      </c>
      <c r="E14" s="10">
        <v>2</v>
      </c>
    </row>
    <row r="15" spans="1:13" x14ac:dyDescent="0.25">
      <c r="A15" s="6" t="s">
        <v>764</v>
      </c>
      <c r="C15" s="10">
        <v>298</v>
      </c>
      <c r="D15" s="10">
        <v>320</v>
      </c>
      <c r="E15" s="10">
        <v>300</v>
      </c>
    </row>
    <row r="16" spans="1:13" x14ac:dyDescent="0.25">
      <c r="A16" s="7" t="s">
        <v>765</v>
      </c>
      <c r="C16" s="7" t="s">
        <v>90</v>
      </c>
      <c r="D16" s="7" t="s">
        <v>90</v>
      </c>
      <c r="E16" s="7" t="s">
        <v>90</v>
      </c>
    </row>
    <row r="17" spans="1:5" x14ac:dyDescent="0.25">
      <c r="A17" s="7" t="s">
        <v>766</v>
      </c>
      <c r="C17" s="10">
        <v>26</v>
      </c>
      <c r="D17" s="10">
        <v>23</v>
      </c>
      <c r="E17" s="10">
        <v>24</v>
      </c>
    </row>
    <row r="18" spans="1:5" x14ac:dyDescent="0.25">
      <c r="A18" s="7" t="s">
        <v>767</v>
      </c>
      <c r="C18" s="10">
        <v>88</v>
      </c>
      <c r="D18" s="10">
        <v>87</v>
      </c>
      <c r="E18" s="10">
        <v>88</v>
      </c>
    </row>
    <row r="19" spans="1:5" x14ac:dyDescent="0.25">
      <c r="A19" s="7" t="s">
        <v>768</v>
      </c>
      <c r="C19" s="10">
        <v>186</v>
      </c>
      <c r="D19" s="10">
        <v>179</v>
      </c>
      <c r="E19" s="10">
        <v>163</v>
      </c>
    </row>
    <row r="20" spans="1:5" x14ac:dyDescent="0.25">
      <c r="A20" s="7" t="s">
        <v>769</v>
      </c>
      <c r="C20" s="10">
        <v>96</v>
      </c>
      <c r="D20" s="10">
        <v>46</v>
      </c>
      <c r="E20" s="10">
        <v>14</v>
      </c>
    </row>
    <row r="21" spans="1:5" x14ac:dyDescent="0.25">
      <c r="A21" s="7" t="s">
        <v>770</v>
      </c>
      <c r="C21" s="10">
        <v>980</v>
      </c>
      <c r="D21" s="14">
        <v>1053</v>
      </c>
      <c r="E21" s="14">
        <v>1055</v>
      </c>
    </row>
    <row r="22" spans="1:5" x14ac:dyDescent="0.25">
      <c r="A22" s="6" t="s">
        <v>771</v>
      </c>
      <c r="C22" s="14">
        <v>1674</v>
      </c>
      <c r="D22" s="14">
        <v>1707</v>
      </c>
      <c r="E22" s="14">
        <v>1644</v>
      </c>
    </row>
    <row r="23" spans="1:5" x14ac:dyDescent="0.25">
      <c r="A23" s="6" t="s">
        <v>772</v>
      </c>
    </row>
    <row r="24" spans="1:5" x14ac:dyDescent="0.25">
      <c r="A24" s="7" t="s">
        <v>773</v>
      </c>
      <c r="C24" s="10">
        <v>20</v>
      </c>
      <c r="D24" s="10">
        <v>50</v>
      </c>
      <c r="E24" s="10">
        <v>47</v>
      </c>
    </row>
    <row r="25" spans="1:5" x14ac:dyDescent="0.25">
      <c r="A25" s="7" t="s">
        <v>774</v>
      </c>
      <c r="C25" s="7" t="s">
        <v>90</v>
      </c>
      <c r="D25" s="7" t="s">
        <v>90</v>
      </c>
      <c r="E25" s="7" t="s">
        <v>90</v>
      </c>
    </row>
    <row r="26" spans="1:5" x14ac:dyDescent="0.25">
      <c r="A26" s="7" t="s">
        <v>775</v>
      </c>
      <c r="C26" s="7" t="s">
        <v>90</v>
      </c>
      <c r="D26" s="7" t="s">
        <v>90</v>
      </c>
      <c r="E26" s="7" t="s">
        <v>90</v>
      </c>
    </row>
    <row r="27" spans="1:5" x14ac:dyDescent="0.25">
      <c r="A27" s="7" t="s">
        <v>776</v>
      </c>
      <c r="C27" s="10">
        <v>79</v>
      </c>
      <c r="D27" s="10">
        <v>78</v>
      </c>
      <c r="E27" s="10">
        <v>89</v>
      </c>
    </row>
    <row r="28" spans="1:5" x14ac:dyDescent="0.25">
      <c r="A28" s="7" t="s">
        <v>777</v>
      </c>
      <c r="C28" s="7" t="s">
        <v>90</v>
      </c>
      <c r="D28" s="7" t="s">
        <v>90</v>
      </c>
    </row>
    <row r="29" spans="1:5" x14ac:dyDescent="0.25">
      <c r="A29" s="7" t="s">
        <v>778</v>
      </c>
      <c r="C29" s="10">
        <v>350</v>
      </c>
      <c r="D29" s="10">
        <v>332</v>
      </c>
      <c r="E29" s="10">
        <v>369</v>
      </c>
    </row>
    <row r="30" spans="1:5" x14ac:dyDescent="0.25">
      <c r="A30" s="7" t="s">
        <v>779</v>
      </c>
      <c r="C30" s="7" t="s">
        <v>90</v>
      </c>
      <c r="D30" s="7" t="s">
        <v>90</v>
      </c>
      <c r="E30" s="7" t="s">
        <v>90</v>
      </c>
    </row>
    <row r="31" spans="1:5" x14ac:dyDescent="0.25">
      <c r="A31" s="6" t="s">
        <v>780</v>
      </c>
      <c r="C31" s="10">
        <v>450</v>
      </c>
      <c r="D31" s="10">
        <v>460</v>
      </c>
      <c r="E31" s="10">
        <v>506</v>
      </c>
    </row>
    <row r="32" spans="1:5" x14ac:dyDescent="0.25">
      <c r="A32" s="7" t="s">
        <v>781</v>
      </c>
      <c r="C32" s="7" t="s">
        <v>90</v>
      </c>
      <c r="D32" s="7" t="s">
        <v>90</v>
      </c>
      <c r="E32" s="7" t="s">
        <v>90</v>
      </c>
    </row>
    <row r="33" spans="1:7" x14ac:dyDescent="0.25">
      <c r="A33" s="7" t="s">
        <v>782</v>
      </c>
      <c r="C33" s="10">
        <v>17</v>
      </c>
      <c r="D33" s="10">
        <v>17</v>
      </c>
      <c r="E33" s="10">
        <v>16</v>
      </c>
    </row>
    <row r="34" spans="1:7" x14ac:dyDescent="0.25">
      <c r="A34" s="7" t="s">
        <v>783</v>
      </c>
      <c r="C34" s="10">
        <v>52</v>
      </c>
      <c r="D34" s="10">
        <v>57</v>
      </c>
      <c r="E34" s="10">
        <v>54</v>
      </c>
    </row>
    <row r="35" spans="1:7" x14ac:dyDescent="0.25">
      <c r="A35" s="7" t="s">
        <v>784</v>
      </c>
      <c r="C35" s="10">
        <v>16</v>
      </c>
      <c r="D35" s="10">
        <v>14</v>
      </c>
      <c r="E35" s="10">
        <v>14</v>
      </c>
    </row>
    <row r="36" spans="1:7" x14ac:dyDescent="0.25">
      <c r="A36" s="6" t="s">
        <v>785</v>
      </c>
      <c r="C36" s="10">
        <v>85</v>
      </c>
      <c r="D36" s="10">
        <v>89</v>
      </c>
      <c r="E36" s="10">
        <v>84</v>
      </c>
    </row>
    <row r="37" spans="1:7" x14ac:dyDescent="0.25">
      <c r="A37" s="7" t="s">
        <v>786</v>
      </c>
      <c r="C37" s="14">
        <v>1139</v>
      </c>
      <c r="D37" s="14">
        <v>1158</v>
      </c>
      <c r="E37" s="14">
        <v>1054</v>
      </c>
    </row>
    <row r="38" spans="1:7" x14ac:dyDescent="0.25">
      <c r="A38" s="6" t="s">
        <v>787</v>
      </c>
      <c r="C38" s="14">
        <v>1674</v>
      </c>
      <c r="D38" s="14">
        <v>1707</v>
      </c>
      <c r="E38" s="14">
        <v>1644</v>
      </c>
    </row>
    <row r="39" spans="1:7" x14ac:dyDescent="0.25">
      <c r="A39" s="7" t="s">
        <v>788</v>
      </c>
      <c r="C39" s="19">
        <v>-152</v>
      </c>
      <c r="D39" s="19">
        <v>-141</v>
      </c>
      <c r="E39" s="19">
        <v>-207</v>
      </c>
    </row>
    <row r="40" spans="1:7" x14ac:dyDescent="0.25">
      <c r="A40" s="7" t="s">
        <v>789</v>
      </c>
    </row>
    <row r="41" spans="1:7" x14ac:dyDescent="0.25">
      <c r="A41" s="7" t="s">
        <v>790</v>
      </c>
      <c r="C41" s="20">
        <v>-0.16</v>
      </c>
      <c r="D41" s="20">
        <v>-0.14799999999999999</v>
      </c>
      <c r="E41" s="7" t="s">
        <v>223</v>
      </c>
    </row>
    <row r="42" spans="1:7" x14ac:dyDescent="0.25">
      <c r="A42" s="7" t="s">
        <v>791</v>
      </c>
      <c r="C42" s="7" t="s">
        <v>90</v>
      </c>
      <c r="D42" s="7" t="s">
        <v>90</v>
      </c>
      <c r="E42" s="7" t="s">
        <v>90</v>
      </c>
    </row>
    <row r="43" spans="1:7" x14ac:dyDescent="0.25">
      <c r="A43" s="7" t="s">
        <v>792</v>
      </c>
      <c r="C43" s="19">
        <v>0</v>
      </c>
      <c r="D43" s="19">
        <v>-1</v>
      </c>
      <c r="E43" s="19">
        <v>-2</v>
      </c>
    </row>
    <row r="44" spans="1:7" x14ac:dyDescent="0.25">
      <c r="A44" s="16" t="s">
        <v>61</v>
      </c>
    </row>
    <row r="45" spans="1:7" x14ac:dyDescent="0.25">
      <c r="A45" s="4" t="s">
        <v>62</v>
      </c>
      <c r="G45" s="17" t="s">
        <v>63</v>
      </c>
    </row>
    <row r="46" spans="1:7" x14ac:dyDescent="0.25">
      <c r="F46" s="5" t="s">
        <v>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T29"/>
  <sheetViews>
    <sheetView workbookViewId="0">
      <selection activeCell="C16" sqref="C16"/>
    </sheetView>
  </sheetViews>
  <sheetFormatPr defaultRowHeight="15" x14ac:dyDescent="0.25"/>
  <cols>
    <col min="1" max="1" width="75" style="50" bestFit="1" customWidth="1"/>
    <col min="2" max="2" width="14.42578125" bestFit="1" customWidth="1"/>
    <col min="3" max="3" width="5.85546875" bestFit="1" customWidth="1"/>
    <col min="4" max="4" width="8.28515625" bestFit="1" customWidth="1"/>
    <col min="5" max="5" width="5.85546875" bestFit="1" customWidth="1"/>
    <col min="6" max="6" width="19.5703125" bestFit="1" customWidth="1"/>
    <col min="7" max="11" width="5.85546875" bestFit="1" customWidth="1"/>
    <col min="12" max="12" width="8.28515625" bestFit="1" customWidth="1"/>
    <col min="13" max="13" width="7.5703125" bestFit="1" customWidth="1"/>
    <col min="14" max="14" width="19.5703125" bestFit="1" customWidth="1"/>
    <col min="15" max="15" width="7.5703125" bestFit="1" customWidth="1"/>
    <col min="16" max="19" width="6.140625" bestFit="1" customWidth="1"/>
    <col min="20" max="20" width="6.28515625" bestFit="1" customWidth="1"/>
  </cols>
  <sheetData>
    <row r="1" spans="1:20" x14ac:dyDescent="0.25">
      <c r="A1" s="50" t="s">
        <v>824</v>
      </c>
      <c r="C1" s="62" t="e">
        <f>-C0/C0</f>
        <v>#NAME?</v>
      </c>
      <c r="D1" s="62" t="e">
        <f>-D0/D0</f>
        <v>#NAME?</v>
      </c>
      <c r="E1" s="62" t="e">
        <f>-E0/E0</f>
        <v>#NAME?</v>
      </c>
      <c r="F1" s="62" t="e">
        <f>-F0/F0</f>
        <v>#NAME?</v>
      </c>
      <c r="G1" s="62" t="e">
        <f>-G0/G0</f>
        <v>#NAME?</v>
      </c>
      <c r="H1" s="62" t="e">
        <f>-H0/H0</f>
        <v>#NAME?</v>
      </c>
      <c r="I1" s="62" t="e">
        <f>-I0/I0</f>
        <v>#NAME?</v>
      </c>
      <c r="J1" s="62" t="e">
        <f>-J0/J0</f>
        <v>#NAME?</v>
      </c>
      <c r="K1" s="62" t="e">
        <f>-K0/K0</f>
        <v>#NAME?</v>
      </c>
      <c r="L1" s="60" t="e">
        <f>-L0/L0</f>
        <v>#NAME?</v>
      </c>
      <c r="M1" s="60" t="e">
        <f>-M0/M0</f>
        <v>#NAME?</v>
      </c>
    </row>
    <row r="2" spans="1:20" x14ac:dyDescent="0.25">
      <c r="A2" s="47" t="s">
        <v>835</v>
      </c>
      <c r="C2" s="62" t="e">
        <f>C1-C0</f>
        <v>#NAME?</v>
      </c>
      <c r="D2" s="62" t="e">
        <f>D1-D0</f>
        <v>#NAME?</v>
      </c>
      <c r="E2" s="62" t="e">
        <f>E1-E0</f>
        <v>#NAME?</v>
      </c>
      <c r="F2" s="62" t="e">
        <f>F1-F0</f>
        <v>#NAME?</v>
      </c>
      <c r="G2" s="62" t="e">
        <f>G1-G0</f>
        <v>#NAME?</v>
      </c>
      <c r="H2" s="62" t="e">
        <f>H1-H0</f>
        <v>#NAME?</v>
      </c>
      <c r="I2" s="62" t="e">
        <f>I1-I0</f>
        <v>#NAME?</v>
      </c>
      <c r="J2" s="62" t="e">
        <f>J1-J0</f>
        <v>#NAME?</v>
      </c>
      <c r="K2" s="62" t="e">
        <f>K1-K0</f>
        <v>#NAME?</v>
      </c>
      <c r="L2" s="60" t="e">
        <f>L1-L0</f>
        <v>#NAME?</v>
      </c>
      <c r="M2" s="60" t="e">
        <f>M1-M0</f>
        <v>#NAME?</v>
      </c>
      <c r="T2" s="7" t="s">
        <v>793</v>
      </c>
    </row>
    <row r="3" spans="1:20" x14ac:dyDescent="0.25">
      <c r="A3" s="47" t="s">
        <v>9</v>
      </c>
    </row>
    <row r="4" spans="1:20" x14ac:dyDescent="0.25">
      <c r="A4" s="48" t="s">
        <v>794</v>
      </c>
    </row>
    <row r="5" spans="1:20" x14ac:dyDescent="0.25">
      <c r="A5" s="48" t="s">
        <v>11</v>
      </c>
    </row>
    <row r="6" spans="1:20" x14ac:dyDescent="0.25">
      <c r="A6" s="49" t="s">
        <v>795</v>
      </c>
    </row>
    <row r="7" spans="1:20" x14ac:dyDescent="0.25">
      <c r="D7" s="9" t="s">
        <v>95</v>
      </c>
      <c r="F7" s="9" t="s">
        <v>96</v>
      </c>
      <c r="L7" s="9" t="s">
        <v>95</v>
      </c>
      <c r="N7" s="9" t="s">
        <v>96</v>
      </c>
    </row>
    <row r="8" spans="1:20" x14ac:dyDescent="0.25">
      <c r="A8" s="51" t="s">
        <v>12</v>
      </c>
      <c r="B8" s="16" t="s">
        <v>796</v>
      </c>
      <c r="C8" s="46" t="s">
        <v>97</v>
      </c>
      <c r="D8" s="46" t="s">
        <v>97</v>
      </c>
      <c r="E8" s="46" t="s">
        <v>98</v>
      </c>
      <c r="F8" s="46" t="s">
        <v>99</v>
      </c>
      <c r="G8" s="46" t="s">
        <v>100</v>
      </c>
      <c r="H8" s="46" t="s">
        <v>101</v>
      </c>
      <c r="I8" s="46" t="s">
        <v>102</v>
      </c>
      <c r="J8" s="46" t="s">
        <v>103</v>
      </c>
      <c r="K8" s="46" t="s">
        <v>104</v>
      </c>
      <c r="L8" s="9" t="s">
        <v>97</v>
      </c>
      <c r="M8" s="9" t="s">
        <v>98</v>
      </c>
      <c r="N8" s="9" t="s">
        <v>99</v>
      </c>
      <c r="O8" s="9" t="s">
        <v>100</v>
      </c>
      <c r="P8" s="9" t="s">
        <v>101</v>
      </c>
      <c r="Q8" s="9" t="s">
        <v>102</v>
      </c>
      <c r="R8" s="9" t="s">
        <v>103</v>
      </c>
      <c r="S8" s="9" t="s">
        <v>104</v>
      </c>
    </row>
    <row r="9" spans="1:20" x14ac:dyDescent="0.25">
      <c r="A9" s="52" t="s">
        <v>619</v>
      </c>
      <c r="C9" s="10">
        <v>972</v>
      </c>
      <c r="D9" s="10">
        <v>237</v>
      </c>
      <c r="E9" s="14">
        <v>1000</v>
      </c>
      <c r="F9" s="14">
        <v>1037</v>
      </c>
      <c r="G9" s="14">
        <v>1079</v>
      </c>
      <c r="H9" s="14">
        <v>1119</v>
      </c>
      <c r="I9" s="14">
        <v>1166</v>
      </c>
      <c r="J9" s="14">
        <v>1217</v>
      </c>
      <c r="K9" s="14">
        <v>1271</v>
      </c>
      <c r="L9" s="20">
        <v>1</v>
      </c>
      <c r="M9" s="20">
        <v>1</v>
      </c>
      <c r="N9" s="20">
        <v>1</v>
      </c>
      <c r="O9" s="20">
        <v>1</v>
      </c>
      <c r="P9" s="20">
        <v>1</v>
      </c>
      <c r="Q9" s="20">
        <v>1</v>
      </c>
      <c r="R9" s="20">
        <v>1</v>
      </c>
      <c r="S9" s="20">
        <v>1</v>
      </c>
    </row>
    <row r="10" spans="1:20" x14ac:dyDescent="0.25">
      <c r="A10" s="53" t="s">
        <v>106</v>
      </c>
      <c r="C10" s="10">
        <v>305</v>
      </c>
      <c r="D10" s="10">
        <v>74</v>
      </c>
      <c r="E10" s="10">
        <v>313</v>
      </c>
      <c r="F10" s="10">
        <v>347</v>
      </c>
      <c r="G10" s="10">
        <v>373</v>
      </c>
      <c r="H10" s="10">
        <v>391</v>
      </c>
      <c r="I10" s="10">
        <v>419</v>
      </c>
      <c r="J10" s="10">
        <v>448</v>
      </c>
      <c r="K10" s="10">
        <v>479</v>
      </c>
      <c r="L10" s="20">
        <v>0.314</v>
      </c>
      <c r="M10" s="20">
        <v>0.313</v>
      </c>
      <c r="N10" s="20">
        <v>0.33400000000000002</v>
      </c>
      <c r="O10" s="20">
        <v>0.34599999999999997</v>
      </c>
      <c r="P10" s="20">
        <v>0.34899999999999998</v>
      </c>
      <c r="Q10" s="20">
        <v>0.35899999999999999</v>
      </c>
      <c r="R10" s="20">
        <v>0.36799999999999999</v>
      </c>
      <c r="S10" s="20">
        <v>0.377</v>
      </c>
    </row>
    <row r="11" spans="1:20" x14ac:dyDescent="0.25">
      <c r="A11" s="52" t="s">
        <v>107</v>
      </c>
      <c r="C11" s="10">
        <v>35</v>
      </c>
      <c r="D11" s="10">
        <v>8</v>
      </c>
      <c r="E11" s="10">
        <v>34</v>
      </c>
      <c r="F11" s="10">
        <v>36</v>
      </c>
      <c r="G11" s="10">
        <v>54</v>
      </c>
      <c r="H11" s="10">
        <v>62</v>
      </c>
      <c r="I11" s="10">
        <v>62</v>
      </c>
      <c r="J11" s="10">
        <v>62</v>
      </c>
      <c r="K11" s="10">
        <v>62</v>
      </c>
      <c r="L11" s="20">
        <v>3.5999999999999997E-2</v>
      </c>
      <c r="M11" s="20">
        <v>3.4000000000000002E-2</v>
      </c>
      <c r="N11" s="20">
        <v>3.5000000000000003E-2</v>
      </c>
      <c r="O11" s="20">
        <v>0.05</v>
      </c>
      <c r="P11" s="20">
        <v>5.5E-2</v>
      </c>
      <c r="Q11" s="20">
        <v>5.2999999999999999E-2</v>
      </c>
      <c r="R11" s="20">
        <v>5.0999999999999997E-2</v>
      </c>
      <c r="S11" s="20">
        <v>4.9000000000000002E-2</v>
      </c>
    </row>
    <row r="12" spans="1:20" x14ac:dyDescent="0.25">
      <c r="A12" s="52"/>
      <c r="C12" s="10"/>
      <c r="D12" s="10"/>
      <c r="E12" s="10"/>
      <c r="F12" s="10"/>
      <c r="G12" s="10"/>
      <c r="H12" s="10"/>
      <c r="I12" s="10"/>
      <c r="J12" s="10"/>
      <c r="K12" s="10"/>
      <c r="L12" s="20"/>
      <c r="M12" s="20"/>
      <c r="N12" s="20"/>
      <c r="O12" s="20"/>
      <c r="P12" s="20"/>
      <c r="Q12" s="20"/>
      <c r="R12" s="20"/>
      <c r="S12" s="20"/>
    </row>
    <row r="13" spans="1:20" x14ac:dyDescent="0.25">
      <c r="A13" s="52"/>
      <c r="C13" s="10"/>
      <c r="D13" s="10"/>
      <c r="E13" s="10"/>
      <c r="F13" s="10"/>
      <c r="G13" s="10"/>
      <c r="H13" s="10"/>
      <c r="I13" s="10"/>
      <c r="J13" s="10"/>
      <c r="K13" s="10"/>
      <c r="L13" s="20"/>
      <c r="M13" s="20"/>
      <c r="N13" s="20"/>
      <c r="O13" s="20"/>
      <c r="P13" s="20"/>
      <c r="Q13" s="20"/>
      <c r="R13" s="20"/>
      <c r="S13" s="20"/>
    </row>
    <row r="14" spans="1:20" x14ac:dyDescent="0.25">
      <c r="A14" s="52"/>
      <c r="C14" s="10"/>
      <c r="D14" s="10"/>
      <c r="E14" s="10"/>
      <c r="F14" s="10"/>
      <c r="G14" s="10"/>
      <c r="H14" s="10"/>
      <c r="I14" s="10"/>
      <c r="J14" s="10"/>
      <c r="K14" s="10"/>
      <c r="L14" s="20"/>
      <c r="M14" s="20"/>
      <c r="N14" s="20"/>
      <c r="O14" s="20"/>
      <c r="P14" s="20"/>
      <c r="Q14" s="20"/>
      <c r="R14" s="20"/>
      <c r="S14" s="20"/>
    </row>
    <row r="15" spans="1:20" x14ac:dyDescent="0.25">
      <c r="A15" s="53" t="s">
        <v>734</v>
      </c>
      <c r="C15" s="10">
        <v>340</v>
      </c>
      <c r="D15" s="10">
        <v>83</v>
      </c>
      <c r="E15" s="10">
        <v>346</v>
      </c>
      <c r="F15" s="10">
        <v>383</v>
      </c>
      <c r="G15" s="10">
        <v>427</v>
      </c>
      <c r="H15" s="10">
        <v>453</v>
      </c>
      <c r="I15" s="10">
        <v>481</v>
      </c>
      <c r="J15" s="10">
        <v>510</v>
      </c>
      <c r="K15" s="10">
        <v>541</v>
      </c>
      <c r="L15" s="20">
        <v>0.35</v>
      </c>
      <c r="M15" s="20">
        <v>0.34599999999999997</v>
      </c>
      <c r="N15" s="20">
        <v>0.36899999999999999</v>
      </c>
      <c r="O15" s="20">
        <v>0.39600000000000002</v>
      </c>
      <c r="P15" s="20">
        <v>0.40500000000000003</v>
      </c>
      <c r="Q15" s="20">
        <v>0.41199999999999998</v>
      </c>
      <c r="R15" s="20">
        <v>0.41899999999999998</v>
      </c>
      <c r="S15" s="20">
        <v>0.42499999999999999</v>
      </c>
    </row>
    <row r="16" spans="1:20" x14ac:dyDescent="0.25">
      <c r="A16" s="52" t="s">
        <v>651</v>
      </c>
      <c r="C16" s="10">
        <v>62</v>
      </c>
      <c r="D16" s="10">
        <v>15</v>
      </c>
      <c r="E16" s="10">
        <v>62</v>
      </c>
      <c r="F16" s="10">
        <v>62</v>
      </c>
      <c r="G16" s="10">
        <v>62</v>
      </c>
      <c r="H16" s="10">
        <v>61</v>
      </c>
      <c r="I16" s="10">
        <v>62</v>
      </c>
      <c r="J16" s="10">
        <v>62</v>
      </c>
      <c r="K16" s="10">
        <v>63</v>
      </c>
    </row>
    <row r="17" spans="1:15" x14ac:dyDescent="0.25">
      <c r="A17" s="52" t="s">
        <v>797</v>
      </c>
      <c r="B17" s="20">
        <v>-0.16200000000000001</v>
      </c>
      <c r="C17" s="19">
        <v>-158</v>
      </c>
      <c r="D17" s="19">
        <v>-158</v>
      </c>
      <c r="E17" s="19">
        <v>-172</v>
      </c>
      <c r="F17" s="19">
        <v>-188</v>
      </c>
      <c r="G17" s="19">
        <v>-201</v>
      </c>
      <c r="H17" s="19">
        <v>-215</v>
      </c>
      <c r="I17" s="19">
        <v>-224</v>
      </c>
      <c r="J17" s="19">
        <v>-233</v>
      </c>
      <c r="K17" s="19">
        <v>-244</v>
      </c>
    </row>
    <row r="18" spans="1:15" x14ac:dyDescent="0.25">
      <c r="A18" s="52" t="s">
        <v>798</v>
      </c>
      <c r="C18" s="7" t="s">
        <v>688</v>
      </c>
      <c r="D18" s="10">
        <v>49</v>
      </c>
      <c r="E18" s="19">
        <v>-14</v>
      </c>
      <c r="F18" s="19">
        <v>-16</v>
      </c>
      <c r="G18" s="19">
        <v>-13</v>
      </c>
      <c r="H18" s="19">
        <v>-13</v>
      </c>
      <c r="I18" s="19">
        <v>-9</v>
      </c>
      <c r="J18" s="19">
        <v>-10</v>
      </c>
      <c r="K18" s="19">
        <v>-10</v>
      </c>
    </row>
    <row r="19" spans="1:15" x14ac:dyDescent="0.25">
      <c r="A19" s="54" t="s">
        <v>735</v>
      </c>
      <c r="M19" s="9" t="s">
        <v>799</v>
      </c>
      <c r="N19" s="9" t="s">
        <v>800</v>
      </c>
      <c r="O19" s="9" t="s">
        <v>801</v>
      </c>
    </row>
    <row r="20" spans="1:15" x14ac:dyDescent="0.25">
      <c r="A20" s="52" t="s">
        <v>739</v>
      </c>
      <c r="C20" s="7" t="s">
        <v>223</v>
      </c>
      <c r="D20" s="7" t="s">
        <v>223</v>
      </c>
      <c r="E20" s="20">
        <v>2.8000000000000001E-2</v>
      </c>
      <c r="F20" s="20">
        <v>3.7999999999999999E-2</v>
      </c>
      <c r="G20" s="20">
        <v>0.04</v>
      </c>
      <c r="H20" s="20">
        <v>3.7999999999999999E-2</v>
      </c>
      <c r="I20" s="20">
        <v>4.2000000000000003E-2</v>
      </c>
      <c r="J20" s="20">
        <v>4.3999999999999997E-2</v>
      </c>
      <c r="K20" s="20">
        <v>4.3999999999999997E-2</v>
      </c>
      <c r="M20" s="20">
        <v>3.5999999999999997E-2</v>
      </c>
      <c r="N20" s="20">
        <v>3.7999999999999999E-2</v>
      </c>
      <c r="O20" s="20">
        <v>3.9E-2</v>
      </c>
    </row>
    <row r="21" spans="1:15" x14ac:dyDescent="0.25">
      <c r="A21" s="52" t="s">
        <v>743</v>
      </c>
      <c r="C21" s="20">
        <v>0.314</v>
      </c>
      <c r="D21" s="20">
        <v>0.314</v>
      </c>
      <c r="E21" s="20">
        <v>0.313</v>
      </c>
      <c r="F21" s="20">
        <v>0.33400000000000002</v>
      </c>
      <c r="G21" s="20">
        <v>0.34599999999999997</v>
      </c>
      <c r="H21" s="20">
        <v>0.34899999999999998</v>
      </c>
      <c r="I21" s="20">
        <v>0.35899999999999999</v>
      </c>
      <c r="J21" s="20">
        <v>0.36799999999999999</v>
      </c>
      <c r="K21" s="20">
        <v>0.377</v>
      </c>
      <c r="M21" s="20">
        <v>0.33600000000000002</v>
      </c>
      <c r="N21" s="20">
        <v>0.34300000000000003</v>
      </c>
      <c r="O21" s="20">
        <v>0.34799999999999998</v>
      </c>
    </row>
    <row r="22" spans="1:15" x14ac:dyDescent="0.25">
      <c r="A22" s="52" t="s">
        <v>745</v>
      </c>
      <c r="C22" s="20">
        <v>0.35</v>
      </c>
      <c r="D22" s="20">
        <v>0.35</v>
      </c>
      <c r="E22" s="20">
        <v>0.34599999999999997</v>
      </c>
      <c r="F22" s="20">
        <v>0.36899999999999999</v>
      </c>
      <c r="G22" s="20">
        <v>0.39600000000000002</v>
      </c>
      <c r="H22" s="20">
        <v>0.40500000000000003</v>
      </c>
      <c r="I22" s="20">
        <v>0.41199999999999998</v>
      </c>
      <c r="J22" s="20">
        <v>0.41899999999999998</v>
      </c>
      <c r="K22" s="20">
        <v>0.42499999999999999</v>
      </c>
      <c r="M22" s="20">
        <v>0.379</v>
      </c>
      <c r="N22" s="20">
        <v>0.39</v>
      </c>
      <c r="O22" s="20">
        <v>0.4</v>
      </c>
    </row>
    <row r="23" spans="1:15" x14ac:dyDescent="0.25">
      <c r="A23" s="52" t="s">
        <v>802</v>
      </c>
      <c r="C23" s="20">
        <v>0.218</v>
      </c>
      <c r="D23" s="20">
        <v>0.218</v>
      </c>
      <c r="E23" s="20">
        <v>0.218</v>
      </c>
      <c r="F23" s="20">
        <v>0.218</v>
      </c>
      <c r="G23" s="20">
        <v>0.218</v>
      </c>
      <c r="H23" s="20">
        <v>0.218</v>
      </c>
      <c r="I23" s="20">
        <v>0.218</v>
      </c>
      <c r="J23" s="20">
        <v>0.218</v>
      </c>
      <c r="K23" s="20">
        <v>0.218</v>
      </c>
      <c r="M23" s="20">
        <v>0.218</v>
      </c>
      <c r="N23" s="20">
        <v>0.218</v>
      </c>
      <c r="O23" s="20">
        <v>0.218</v>
      </c>
    </row>
    <row r="24" spans="1:15" x14ac:dyDescent="0.25">
      <c r="A24" s="52" t="s">
        <v>803</v>
      </c>
      <c r="C24" s="20">
        <v>-3.5999999999999997E-2</v>
      </c>
      <c r="D24" s="20">
        <v>-3.5999999999999997E-2</v>
      </c>
      <c r="E24" s="20">
        <v>-3.4000000000000002E-2</v>
      </c>
      <c r="F24" s="20">
        <v>-3.5000000000000003E-2</v>
      </c>
      <c r="G24" s="21">
        <v>-0.05</v>
      </c>
      <c r="H24" s="20">
        <v>-5.5E-2</v>
      </c>
      <c r="I24" s="20">
        <v>-5.2999999999999999E-2</v>
      </c>
      <c r="J24" s="20">
        <v>-5.0999999999999997E-2</v>
      </c>
      <c r="K24" s="20">
        <v>-4.9000000000000002E-2</v>
      </c>
      <c r="M24" s="20">
        <v>-4.2999999999999997E-2</v>
      </c>
      <c r="N24" s="20">
        <v>-4.7E-2</v>
      </c>
      <c r="O24" s="20">
        <v>-5.2999999999999999E-2</v>
      </c>
    </row>
    <row r="25" spans="1:15" x14ac:dyDescent="0.25">
      <c r="A25" s="52" t="s">
        <v>804</v>
      </c>
      <c r="C25" s="20">
        <v>6.4000000000000001E-2</v>
      </c>
      <c r="D25" s="20">
        <v>6.4000000000000001E-2</v>
      </c>
      <c r="E25" s="20">
        <v>6.2E-2</v>
      </c>
      <c r="F25" s="20">
        <v>0.06</v>
      </c>
      <c r="G25" s="20">
        <v>5.7000000000000002E-2</v>
      </c>
      <c r="H25" s="20">
        <v>5.5E-2</v>
      </c>
      <c r="I25" s="20">
        <v>5.2999999999999999E-2</v>
      </c>
      <c r="J25" s="20">
        <v>5.0999999999999997E-2</v>
      </c>
      <c r="K25" s="20">
        <v>0.05</v>
      </c>
      <c r="M25" s="20">
        <v>5.8000000000000003E-2</v>
      </c>
      <c r="N25" s="20">
        <v>5.7000000000000002E-2</v>
      </c>
      <c r="O25" s="20">
        <v>5.6000000000000001E-2</v>
      </c>
    </row>
    <row r="26" spans="1:15" x14ac:dyDescent="0.25">
      <c r="A26" s="52" t="s">
        <v>805</v>
      </c>
      <c r="C26" s="20">
        <v>-0.16200000000000001</v>
      </c>
      <c r="D26" s="7" t="s">
        <v>688</v>
      </c>
      <c r="E26" s="20">
        <v>-0.17199999999999999</v>
      </c>
      <c r="F26" s="20">
        <v>-0.18099999999999999</v>
      </c>
      <c r="G26" s="20">
        <v>-0.187</v>
      </c>
      <c r="H26" s="20">
        <v>-0.192</v>
      </c>
      <c r="I26" s="20">
        <v>-0.192</v>
      </c>
      <c r="J26" s="20">
        <v>-0.192</v>
      </c>
      <c r="K26" s="20">
        <v>-0.192</v>
      </c>
      <c r="M26" s="20">
        <v>-0.183</v>
      </c>
      <c r="N26" s="20">
        <v>-0.187</v>
      </c>
      <c r="O26" s="20">
        <v>-0.189</v>
      </c>
    </row>
    <row r="27" spans="1:15" x14ac:dyDescent="0.25">
      <c r="A27" s="55" t="s">
        <v>61</v>
      </c>
    </row>
    <row r="28" spans="1:15" x14ac:dyDescent="0.25">
      <c r="A28" s="48" t="s">
        <v>62</v>
      </c>
      <c r="C28" s="2" t="s">
        <v>63</v>
      </c>
    </row>
    <row r="29" spans="1:15" x14ac:dyDescent="0.25">
      <c r="B29" s="5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58</vt:i4>
      </vt:variant>
    </vt:vector>
  </HeadingPairs>
  <TitlesOfParts>
    <vt:vector size="58" baseType="lpstr">
      <vt:lpstr>Index</vt:lpstr>
      <vt:lpstr>Page 1</vt:lpstr>
      <vt:lpstr>Page 2</vt:lpstr>
      <vt:lpstr>Page 3</vt:lpstr>
      <vt:lpstr>Page 4</vt:lpstr>
      <vt:lpstr>Page 5</vt:lpstr>
      <vt:lpstr>Page 6</vt:lpstr>
      <vt:lpstr>Page 7</vt:lpstr>
      <vt:lpstr>Page 8</vt:lpstr>
      <vt:lpstr>Page 9</vt:lpstr>
      <vt:lpstr>Page 10</vt:lpstr>
      <vt:lpstr>Page 11</vt:lpstr>
      <vt:lpstr>Page 12</vt:lpstr>
      <vt:lpstr>Page 13</vt:lpstr>
      <vt:lpstr>Page 14</vt:lpstr>
      <vt:lpstr>Page 15</vt:lpstr>
      <vt:lpstr>Page 16</vt:lpstr>
      <vt:lpstr>Page 17</vt:lpstr>
      <vt:lpstr>Page 18</vt:lpstr>
      <vt:lpstr>Page 19</vt:lpstr>
      <vt:lpstr>Page 20</vt:lpstr>
      <vt:lpstr>Page 21</vt:lpstr>
      <vt:lpstr>Page 22</vt:lpstr>
      <vt:lpstr>Page 23</vt:lpstr>
      <vt:lpstr>Page 24</vt:lpstr>
      <vt:lpstr>Page 25</vt:lpstr>
      <vt:lpstr>Page 26</vt:lpstr>
      <vt:lpstr>Page 27</vt:lpstr>
      <vt:lpstr>Page 28</vt:lpstr>
      <vt:lpstr>Page 29</vt:lpstr>
      <vt:lpstr>Page 30</vt:lpstr>
      <vt:lpstr>Page 31</vt:lpstr>
      <vt:lpstr>Page 32</vt:lpstr>
      <vt:lpstr>Page 33</vt:lpstr>
      <vt:lpstr>Page 34</vt:lpstr>
      <vt:lpstr>Page 35</vt:lpstr>
      <vt:lpstr>Page 36</vt:lpstr>
      <vt:lpstr>Page 37</vt:lpstr>
      <vt:lpstr>Page 38</vt:lpstr>
      <vt:lpstr>Page 39</vt:lpstr>
      <vt:lpstr>Page 40</vt:lpstr>
      <vt:lpstr>Page 41</vt:lpstr>
      <vt:lpstr>Page 42</vt:lpstr>
      <vt:lpstr>Page 43</vt:lpstr>
      <vt:lpstr>Page 44</vt:lpstr>
      <vt:lpstr>Page 45</vt:lpstr>
      <vt:lpstr>Page 46</vt:lpstr>
      <vt:lpstr>Page 47</vt:lpstr>
      <vt:lpstr>Page 48</vt:lpstr>
      <vt:lpstr>Page 49</vt:lpstr>
      <vt:lpstr>Page 50</vt:lpstr>
      <vt:lpstr>Page 51</vt:lpstr>
      <vt:lpstr>Page 52</vt:lpstr>
      <vt:lpstr>Page 53</vt:lpstr>
      <vt:lpstr>Page 54</vt:lpstr>
      <vt:lpstr>Page 55</vt:lpstr>
      <vt:lpstr>Page 56</vt:lpstr>
      <vt:lpstr>Page 57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 N Feyereisen</dc:creator>
  <cp:lastModifiedBy>Lucas Kot-Zaniewski</cp:lastModifiedBy>
  <dcterms:created xsi:type="dcterms:W3CDTF">2016-12-05T00:37:59Z</dcterms:created>
  <dcterms:modified xsi:type="dcterms:W3CDTF">2016-12-08T01:27:05Z</dcterms:modified>
</cp:coreProperties>
</file>