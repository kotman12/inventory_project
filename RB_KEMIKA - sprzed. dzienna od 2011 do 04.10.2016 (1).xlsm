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Luke\Desktop\"/>
    </mc:Choice>
  </mc:AlternateContent>
  <bookViews>
    <workbookView xWindow="3015" yWindow="0" windowWidth="22995" windowHeight="10095" firstSheet="16" activeTab="16"/>
  </bookViews>
  <sheets>
    <sheet name="Index" sheetId="58" r:id="rId1"/>
    <sheet name="Page 1" sheetId="1" r:id="rId2"/>
    <sheet name="Page 2" sheetId="2" r:id="rId3"/>
    <sheet name="Page 3" sheetId="3" r:id="rId4"/>
    <sheet name="Page 4" sheetId="4" r:id="rId5"/>
    <sheet name="Page 5" sheetId="5" r:id="rId6"/>
    <sheet name="Page 6" sheetId="6" r:id="rId7"/>
    <sheet name="Page 7" sheetId="7" r:id="rId8"/>
    <sheet name="Page 8" sheetId="8" r:id="rId9"/>
    <sheet name="Page 9" sheetId="9" r:id="rId10"/>
    <sheet name="Page 10" sheetId="10" r:id="rId11"/>
    <sheet name="Page 11" sheetId="11" r:id="rId12"/>
    <sheet name="Page 12" sheetId="12" r:id="rId13"/>
    <sheet name="Page 13" sheetId="13" r:id="rId14"/>
    <sheet name="Page 14" sheetId="14" r:id="rId15"/>
    <sheet name="Page 15" sheetId="15" r:id="rId16"/>
    <sheet name="Page 16" sheetId="16" r:id="rId17"/>
    <sheet name="Page 17" sheetId="17" r:id="rId18"/>
    <sheet name="Page 18" sheetId="18" r:id="rId19"/>
    <sheet name="Page 19" sheetId="19" r:id="rId20"/>
    <sheet name="Page 20" sheetId="20" r:id="rId21"/>
    <sheet name="Page 21" sheetId="21" r:id="rId22"/>
    <sheet name="Page 22" sheetId="22" r:id="rId23"/>
    <sheet name="Page 23" sheetId="23" r:id="rId24"/>
    <sheet name="Page 24" sheetId="24" r:id="rId25"/>
    <sheet name="Page 25" sheetId="25" r:id="rId26"/>
    <sheet name="Page 26" sheetId="26" r:id="rId27"/>
    <sheet name="Page 27" sheetId="27" r:id="rId28"/>
    <sheet name="Page 28" sheetId="28" r:id="rId29"/>
    <sheet name="Page 29" sheetId="29" r:id="rId30"/>
    <sheet name="Page 30" sheetId="30" r:id="rId31"/>
    <sheet name="Page 31" sheetId="31" r:id="rId32"/>
    <sheet name="Page 32" sheetId="32" r:id="rId33"/>
    <sheet name="Page 33" sheetId="33" r:id="rId34"/>
    <sheet name="Page 34" sheetId="34" r:id="rId35"/>
    <sheet name="Page 35" sheetId="35" r:id="rId36"/>
    <sheet name="Page 36" sheetId="36" r:id="rId37"/>
    <sheet name="Page 37" sheetId="37" r:id="rId38"/>
    <sheet name="Page 38" sheetId="38" r:id="rId39"/>
    <sheet name="Page 39" sheetId="39" r:id="rId40"/>
    <sheet name="Page 40" sheetId="40" r:id="rId41"/>
    <sheet name="Page 41" sheetId="41" r:id="rId42"/>
    <sheet name="Page 42" sheetId="42" r:id="rId43"/>
    <sheet name="Page 43" sheetId="43" r:id="rId44"/>
    <sheet name="Page 44" sheetId="44" r:id="rId45"/>
    <sheet name="Page 45" sheetId="45" r:id="rId46"/>
    <sheet name="Page 46" sheetId="46" r:id="rId47"/>
    <sheet name="Page 47" sheetId="47" r:id="rId48"/>
    <sheet name="Page 48" sheetId="48" r:id="rId49"/>
    <sheet name="Page 49" sheetId="49" r:id="rId50"/>
    <sheet name="Page 50" sheetId="50" r:id="rId51"/>
    <sheet name="Page 51" sheetId="51" r:id="rId52"/>
    <sheet name="Page 52" sheetId="52" r:id="rId53"/>
    <sheet name="Page 53" sheetId="53" r:id="rId54"/>
    <sheet name="Page 54" sheetId="54" r:id="rId55"/>
    <sheet name="Page 55" sheetId="55" r:id="rId56"/>
    <sheet name="Page 56" sheetId="56" r:id="rId57"/>
    <sheet name="Page 57" sheetId="57" r:id="rId58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2" i="57" l="1"/>
  <c r="M41" i="57"/>
  <c r="M38" i="57"/>
  <c r="M37" i="57"/>
  <c r="M34" i="57"/>
  <c r="M33" i="57"/>
  <c r="M31" i="57"/>
  <c r="M30" i="57"/>
  <c r="M28" i="57"/>
  <c r="M27" i="57"/>
  <c r="M25" i="57"/>
  <c r="M24" i="57"/>
  <c r="M16" i="57"/>
  <c r="M15" i="57"/>
  <c r="M12" i="57"/>
  <c r="M11" i="57"/>
  <c r="L42" i="57"/>
  <c r="L41" i="57"/>
  <c r="L38" i="57"/>
  <c r="L37" i="57"/>
  <c r="L34" i="57"/>
  <c r="L33" i="57"/>
  <c r="L31" i="57"/>
  <c r="L30" i="57"/>
  <c r="L28" i="57"/>
  <c r="L27" i="57"/>
  <c r="L25" i="57"/>
  <c r="L24" i="57"/>
  <c r="L22" i="57"/>
  <c r="L21" i="57"/>
  <c r="L16" i="57"/>
  <c r="L15" i="57"/>
  <c r="L12" i="57"/>
  <c r="L11" i="57"/>
  <c r="K42" i="57"/>
  <c r="K41" i="57"/>
  <c r="K38" i="57"/>
  <c r="K37" i="57"/>
  <c r="K34" i="57"/>
  <c r="K33" i="57"/>
  <c r="K31" i="57"/>
  <c r="K30" i="57"/>
  <c r="K28" i="57"/>
  <c r="K27" i="57"/>
  <c r="K25" i="57"/>
  <c r="K24" i="57"/>
  <c r="K22" i="57"/>
  <c r="K21" i="57"/>
  <c r="K16" i="57"/>
  <c r="K15" i="57"/>
  <c r="K12" i="57"/>
  <c r="K11" i="57"/>
  <c r="J42" i="57"/>
  <c r="J41" i="57"/>
  <c r="J38" i="57"/>
  <c r="J37" i="57"/>
  <c r="J34" i="57"/>
  <c r="J33" i="57"/>
  <c r="J31" i="57"/>
  <c r="J30" i="57"/>
  <c r="J28" i="57"/>
  <c r="J27" i="57"/>
  <c r="J25" i="57"/>
  <c r="J24" i="57"/>
  <c r="J22" i="57"/>
  <c r="J21" i="57"/>
  <c r="J16" i="57"/>
  <c r="J15" i="57"/>
  <c r="J12" i="57"/>
  <c r="J11" i="57"/>
  <c r="I42" i="57"/>
  <c r="I41" i="57"/>
  <c r="I38" i="57"/>
  <c r="I37" i="57"/>
  <c r="I34" i="57"/>
  <c r="I33" i="57"/>
  <c r="I31" i="57"/>
  <c r="I30" i="57"/>
  <c r="I28" i="57"/>
  <c r="I27" i="57"/>
  <c r="I25" i="57"/>
  <c r="I24" i="57"/>
  <c r="I22" i="57"/>
  <c r="I21" i="57"/>
  <c r="I16" i="57"/>
  <c r="I15" i="57"/>
  <c r="I12" i="57"/>
  <c r="I11" i="57"/>
  <c r="H42" i="57"/>
  <c r="H41" i="57"/>
  <c r="H38" i="57"/>
  <c r="H37" i="57"/>
  <c r="H34" i="57"/>
  <c r="H33" i="57"/>
  <c r="H31" i="57"/>
  <c r="H30" i="57"/>
  <c r="H28" i="57"/>
  <c r="H27" i="57"/>
  <c r="H25" i="57"/>
  <c r="H24" i="57"/>
  <c r="H22" i="57"/>
  <c r="H21" i="57"/>
  <c r="H16" i="57"/>
  <c r="H15" i="57"/>
  <c r="H12" i="57"/>
  <c r="H11" i="57"/>
  <c r="G42" i="57"/>
  <c r="G41" i="57"/>
  <c r="G38" i="57"/>
  <c r="G37" i="57"/>
  <c r="G34" i="57"/>
  <c r="G33" i="57"/>
  <c r="G31" i="57"/>
  <c r="G30" i="57"/>
  <c r="G28" i="57"/>
  <c r="G27" i="57"/>
  <c r="G25" i="57"/>
  <c r="G24" i="57"/>
  <c r="G22" i="57"/>
  <c r="G21" i="57"/>
  <c r="G16" i="57"/>
  <c r="G15" i="57"/>
  <c r="G12" i="57"/>
  <c r="G11" i="57"/>
  <c r="F42" i="57"/>
  <c r="F41" i="57"/>
  <c r="F38" i="57"/>
  <c r="F37" i="57"/>
  <c r="F34" i="57"/>
  <c r="F33" i="57"/>
  <c r="F31" i="57"/>
  <c r="F30" i="57"/>
  <c r="F28" i="57"/>
  <c r="F27" i="57"/>
  <c r="F25" i="57"/>
  <c r="F24" i="57"/>
  <c r="F22" i="57"/>
  <c r="F21" i="57"/>
  <c r="F16" i="57"/>
  <c r="F15" i="57"/>
  <c r="F12" i="57"/>
  <c r="F11" i="57"/>
  <c r="E42" i="57"/>
  <c r="E41" i="57"/>
  <c r="E38" i="57"/>
  <c r="E37" i="57"/>
  <c r="E34" i="57"/>
  <c r="E33" i="57"/>
  <c r="E31" i="57"/>
  <c r="E30" i="57"/>
  <c r="E28" i="57"/>
  <c r="E27" i="57"/>
  <c r="E25" i="57"/>
  <c r="E24" i="57"/>
  <c r="E22" i="57"/>
  <c r="E21" i="57"/>
  <c r="E16" i="57"/>
  <c r="E15" i="57"/>
  <c r="E12" i="57"/>
  <c r="E11" i="57"/>
  <c r="D42" i="57"/>
  <c r="D41" i="57"/>
  <c r="D38" i="57"/>
  <c r="D37" i="57"/>
  <c r="D34" i="57"/>
  <c r="D33" i="57"/>
  <c r="D31" i="57"/>
  <c r="D30" i="57"/>
  <c r="D28" i="57"/>
  <c r="D27" i="57"/>
  <c r="D22" i="57"/>
  <c r="D21" i="57"/>
  <c r="D16" i="57"/>
  <c r="D15" i="57"/>
  <c r="D12" i="57"/>
  <c r="D11" i="57"/>
  <c r="C42" i="57"/>
  <c r="C41" i="57"/>
  <c r="C38" i="57"/>
  <c r="C37" i="57"/>
  <c r="C34" i="57"/>
  <c r="C33" i="57"/>
  <c r="C31" i="57"/>
  <c r="C30" i="57"/>
  <c r="C28" i="57"/>
  <c r="C27" i="57"/>
  <c r="C22" i="57"/>
  <c r="C21" i="57"/>
  <c r="C16" i="57"/>
  <c r="C15" i="57"/>
  <c r="C12" i="57"/>
  <c r="C11" i="57"/>
  <c r="M42" i="56"/>
  <c r="M41" i="56"/>
  <c r="M38" i="56"/>
  <c r="M37" i="56"/>
  <c r="M34" i="56"/>
  <c r="M33" i="56"/>
  <c r="M31" i="56"/>
  <c r="M30" i="56"/>
  <c r="M28" i="56"/>
  <c r="M27" i="56"/>
  <c r="M25" i="56"/>
  <c r="M24" i="56"/>
  <c r="M22" i="56"/>
  <c r="M21" i="56"/>
  <c r="M16" i="56"/>
  <c r="M15" i="56"/>
  <c r="M12" i="56"/>
  <c r="M11" i="56"/>
  <c r="L42" i="56"/>
  <c r="L41" i="56"/>
  <c r="L38" i="56"/>
  <c r="L37" i="56"/>
  <c r="L34" i="56"/>
  <c r="L33" i="56"/>
  <c r="L31" i="56"/>
  <c r="L30" i="56"/>
  <c r="L28" i="56"/>
  <c r="L27" i="56"/>
  <c r="L25" i="56"/>
  <c r="L24" i="56"/>
  <c r="L22" i="56"/>
  <c r="L21" i="56"/>
  <c r="L16" i="56"/>
  <c r="L15" i="56"/>
  <c r="L12" i="56"/>
  <c r="L11" i="56"/>
  <c r="K42" i="56"/>
  <c r="K41" i="56"/>
  <c r="K38" i="56"/>
  <c r="K37" i="56"/>
  <c r="K34" i="56"/>
  <c r="K33" i="56"/>
  <c r="K31" i="56"/>
  <c r="K30" i="56"/>
  <c r="K28" i="56"/>
  <c r="K27" i="56"/>
  <c r="K25" i="56"/>
  <c r="K24" i="56"/>
  <c r="K22" i="56"/>
  <c r="K21" i="56"/>
  <c r="K16" i="56"/>
  <c r="K15" i="56"/>
  <c r="K12" i="56"/>
  <c r="K11" i="56"/>
  <c r="J42" i="56"/>
  <c r="J41" i="56"/>
  <c r="J38" i="56"/>
  <c r="J37" i="56"/>
  <c r="J34" i="56"/>
  <c r="J33" i="56"/>
  <c r="J31" i="56"/>
  <c r="J30" i="56"/>
  <c r="J28" i="56"/>
  <c r="J27" i="56"/>
  <c r="J25" i="56"/>
  <c r="J24" i="56"/>
  <c r="J22" i="56"/>
  <c r="J21" i="56"/>
  <c r="J16" i="56"/>
  <c r="J15" i="56"/>
  <c r="J12" i="56"/>
  <c r="J11" i="56"/>
  <c r="I42" i="56"/>
  <c r="I41" i="56"/>
  <c r="I38" i="56"/>
  <c r="I37" i="56"/>
  <c r="I34" i="56"/>
  <c r="I33" i="56"/>
  <c r="I31" i="56"/>
  <c r="I30" i="56"/>
  <c r="I28" i="56"/>
  <c r="I27" i="56"/>
  <c r="I25" i="56"/>
  <c r="I24" i="56"/>
  <c r="I22" i="56"/>
  <c r="I21" i="56"/>
  <c r="I16" i="56"/>
  <c r="I15" i="56"/>
  <c r="I12" i="56"/>
  <c r="I11" i="56"/>
  <c r="H42" i="56"/>
  <c r="H41" i="56"/>
  <c r="H38" i="56"/>
  <c r="H37" i="56"/>
  <c r="H34" i="56"/>
  <c r="H33" i="56"/>
  <c r="H31" i="56"/>
  <c r="H30" i="56"/>
  <c r="H28" i="56"/>
  <c r="H27" i="56"/>
  <c r="H25" i="56"/>
  <c r="H24" i="56"/>
  <c r="H22" i="56"/>
  <c r="H21" i="56"/>
  <c r="H16" i="56"/>
  <c r="H15" i="56"/>
  <c r="H12" i="56"/>
  <c r="H11" i="56"/>
  <c r="G42" i="56"/>
  <c r="G41" i="56"/>
  <c r="G38" i="56"/>
  <c r="G37" i="56"/>
  <c r="G34" i="56"/>
  <c r="G33" i="56"/>
  <c r="G31" i="56"/>
  <c r="G30" i="56"/>
  <c r="G28" i="56"/>
  <c r="G27" i="56"/>
  <c r="G25" i="56"/>
  <c r="G24" i="56"/>
  <c r="G22" i="56"/>
  <c r="G21" i="56"/>
  <c r="G16" i="56"/>
  <c r="G15" i="56"/>
  <c r="G12" i="56"/>
  <c r="G11" i="56"/>
  <c r="F42" i="56"/>
  <c r="F41" i="56"/>
  <c r="F38" i="56"/>
  <c r="F37" i="56"/>
  <c r="F34" i="56"/>
  <c r="F33" i="56"/>
  <c r="F31" i="56"/>
  <c r="F30" i="56"/>
  <c r="F28" i="56"/>
  <c r="F27" i="56"/>
  <c r="F25" i="56"/>
  <c r="F24" i="56"/>
  <c r="F22" i="56"/>
  <c r="F21" i="56"/>
  <c r="F16" i="56"/>
  <c r="F15" i="56"/>
  <c r="F12" i="56"/>
  <c r="F11" i="56"/>
  <c r="E42" i="56"/>
  <c r="E41" i="56"/>
  <c r="E38" i="56"/>
  <c r="E37" i="56"/>
  <c r="E34" i="56"/>
  <c r="E33" i="56"/>
  <c r="E31" i="56"/>
  <c r="E30" i="56"/>
  <c r="E28" i="56"/>
  <c r="E27" i="56"/>
  <c r="E25" i="56"/>
  <c r="E24" i="56"/>
  <c r="E12" i="56"/>
  <c r="E11" i="56"/>
  <c r="D42" i="56"/>
  <c r="D41" i="56"/>
  <c r="D38" i="56"/>
  <c r="D37" i="56"/>
  <c r="D34" i="56"/>
  <c r="D33" i="56"/>
  <c r="D31" i="56"/>
  <c r="D30" i="56"/>
  <c r="D28" i="56"/>
  <c r="D27" i="56"/>
  <c r="D25" i="56"/>
  <c r="D24" i="56"/>
  <c r="D12" i="56"/>
  <c r="D11" i="56"/>
  <c r="C42" i="56"/>
  <c r="C41" i="56"/>
  <c r="C38" i="56"/>
  <c r="C37" i="56"/>
  <c r="C34" i="56"/>
  <c r="C33" i="56"/>
  <c r="C31" i="56"/>
  <c r="C30" i="56"/>
  <c r="C28" i="56"/>
  <c r="C27" i="56"/>
  <c r="C25" i="56"/>
  <c r="C24" i="56"/>
  <c r="C12" i="56"/>
  <c r="C11" i="56"/>
  <c r="M42" i="55"/>
  <c r="M41" i="55"/>
  <c r="M38" i="55"/>
  <c r="M37" i="55"/>
  <c r="M34" i="55"/>
  <c r="M33" i="55"/>
  <c r="M31" i="55"/>
  <c r="M30" i="55"/>
  <c r="M28" i="55"/>
  <c r="M27" i="55"/>
  <c r="M25" i="55"/>
  <c r="M24" i="55"/>
  <c r="M22" i="55"/>
  <c r="M21" i="55"/>
  <c r="M16" i="55"/>
  <c r="M15" i="55"/>
  <c r="M12" i="55"/>
  <c r="M11" i="55"/>
  <c r="L42" i="55"/>
  <c r="L41" i="55"/>
  <c r="L38" i="55"/>
  <c r="L37" i="55"/>
  <c r="L34" i="55"/>
  <c r="L33" i="55"/>
  <c r="L31" i="55"/>
  <c r="L30" i="55"/>
  <c r="L28" i="55"/>
  <c r="L27" i="55"/>
  <c r="L22" i="55"/>
  <c r="L21" i="55"/>
  <c r="L16" i="55"/>
  <c r="L15" i="55"/>
  <c r="L12" i="55"/>
  <c r="L11" i="55"/>
  <c r="K42" i="55"/>
  <c r="K41" i="55"/>
  <c r="K38" i="55"/>
  <c r="K37" i="55"/>
  <c r="K34" i="55"/>
  <c r="K33" i="55"/>
  <c r="K31" i="55"/>
  <c r="K30" i="55"/>
  <c r="K28" i="55"/>
  <c r="K27" i="55"/>
  <c r="K22" i="55"/>
  <c r="K21" i="55"/>
  <c r="K16" i="55"/>
  <c r="K15" i="55"/>
  <c r="K12" i="55"/>
  <c r="K11" i="55"/>
  <c r="J31" i="55"/>
  <c r="J30" i="55"/>
  <c r="J28" i="55"/>
  <c r="J27" i="55"/>
  <c r="J22" i="55"/>
  <c r="J21" i="55"/>
  <c r="J16" i="55"/>
  <c r="J15" i="55"/>
  <c r="J12" i="55"/>
  <c r="J11" i="55"/>
  <c r="I42" i="55"/>
  <c r="I41" i="55"/>
  <c r="I38" i="55"/>
  <c r="I37" i="55"/>
  <c r="I31" i="55"/>
  <c r="I30" i="55"/>
  <c r="I28" i="55"/>
  <c r="I27" i="55"/>
  <c r="I22" i="55"/>
  <c r="I21" i="55"/>
  <c r="I16" i="55"/>
  <c r="I15" i="55"/>
  <c r="I12" i="55"/>
  <c r="I11" i="55"/>
  <c r="H42" i="55"/>
  <c r="H41" i="55"/>
  <c r="H38" i="55"/>
  <c r="H37" i="55"/>
  <c r="G42" i="55"/>
  <c r="G41" i="55"/>
  <c r="G38" i="55"/>
  <c r="G37" i="55"/>
  <c r="G34" i="55"/>
  <c r="G33" i="55"/>
  <c r="G31" i="55"/>
  <c r="G30" i="55"/>
  <c r="G28" i="55"/>
  <c r="G27" i="55"/>
  <c r="G22" i="55"/>
  <c r="G21" i="55"/>
  <c r="G16" i="55"/>
  <c r="G15" i="55"/>
  <c r="G12" i="55"/>
  <c r="G11" i="55"/>
  <c r="F42" i="55"/>
  <c r="F41" i="55"/>
  <c r="F38" i="55"/>
  <c r="F37" i="55"/>
  <c r="F34" i="55"/>
  <c r="F33" i="55"/>
  <c r="F31" i="55"/>
  <c r="F30" i="55"/>
  <c r="F28" i="55"/>
  <c r="F27" i="55"/>
  <c r="F22" i="55"/>
  <c r="F21" i="55"/>
  <c r="F16" i="55"/>
  <c r="F15" i="55"/>
  <c r="F12" i="55"/>
  <c r="F11" i="55"/>
  <c r="E42" i="55"/>
  <c r="E41" i="55"/>
  <c r="E38" i="55"/>
  <c r="E37" i="55"/>
  <c r="E34" i="55"/>
  <c r="E33" i="55"/>
  <c r="E31" i="55"/>
  <c r="E30" i="55"/>
  <c r="E28" i="55"/>
  <c r="E27" i="55"/>
  <c r="E22" i="55"/>
  <c r="E21" i="55"/>
  <c r="E16" i="55"/>
  <c r="E15" i="55"/>
  <c r="E12" i="55"/>
  <c r="E11" i="55"/>
  <c r="D42" i="55"/>
  <c r="D41" i="55"/>
  <c r="D38" i="55"/>
  <c r="D37" i="55"/>
  <c r="D34" i="55"/>
  <c r="D33" i="55"/>
  <c r="D31" i="55"/>
  <c r="D30" i="55"/>
  <c r="D28" i="55"/>
  <c r="D27" i="55"/>
  <c r="D22" i="55"/>
  <c r="D21" i="55"/>
  <c r="D16" i="55"/>
  <c r="D15" i="55"/>
  <c r="D12" i="55"/>
  <c r="D11" i="55"/>
  <c r="C34" i="55"/>
  <c r="C33" i="55"/>
  <c r="M42" i="54"/>
  <c r="M41" i="54"/>
  <c r="M38" i="54"/>
  <c r="M37" i="54"/>
  <c r="M34" i="54"/>
  <c r="M33" i="54"/>
  <c r="M31" i="54"/>
  <c r="M30" i="54"/>
  <c r="M28" i="54"/>
  <c r="M27" i="54"/>
  <c r="M25" i="54"/>
  <c r="M24" i="54"/>
  <c r="M22" i="54"/>
  <c r="M21" i="54"/>
  <c r="M16" i="54"/>
  <c r="M15" i="54"/>
  <c r="M12" i="54"/>
  <c r="M11" i="54"/>
  <c r="L34" i="54"/>
  <c r="L33" i="54"/>
  <c r="L28" i="54"/>
  <c r="L27" i="54"/>
  <c r="L25" i="54"/>
  <c r="L24" i="54"/>
  <c r="L22" i="54"/>
  <c r="L21" i="54"/>
  <c r="L16" i="54"/>
  <c r="L15" i="54"/>
  <c r="L12" i="54"/>
  <c r="L11" i="54"/>
  <c r="K34" i="54"/>
  <c r="K33" i="54"/>
  <c r="K28" i="54"/>
  <c r="K27" i="54"/>
  <c r="K25" i="54"/>
  <c r="K24" i="54"/>
  <c r="K22" i="54"/>
  <c r="K21" i="54"/>
  <c r="K16" i="54"/>
  <c r="K15" i="54"/>
  <c r="K12" i="54"/>
  <c r="K11" i="54"/>
  <c r="J34" i="54"/>
  <c r="J33" i="54"/>
  <c r="J28" i="54"/>
  <c r="J27" i="54"/>
  <c r="J25" i="54"/>
  <c r="J24" i="54"/>
  <c r="J22" i="54"/>
  <c r="J21" i="54"/>
  <c r="J16" i="54"/>
  <c r="J15" i="54"/>
  <c r="J12" i="54"/>
  <c r="J11" i="54"/>
  <c r="I34" i="54"/>
  <c r="I33" i="54"/>
  <c r="I28" i="54"/>
  <c r="I27" i="54"/>
  <c r="I25" i="54"/>
  <c r="I24" i="54"/>
  <c r="I22" i="54"/>
  <c r="I21" i="54"/>
  <c r="I16" i="54"/>
  <c r="I15" i="54"/>
  <c r="I12" i="54"/>
  <c r="I11" i="54"/>
  <c r="H34" i="54"/>
  <c r="H33" i="54"/>
  <c r="H28" i="54"/>
  <c r="H27" i="54"/>
  <c r="H25" i="54"/>
  <c r="H24" i="54"/>
  <c r="H22" i="54"/>
  <c r="H21" i="54"/>
  <c r="H16" i="54"/>
  <c r="H15" i="54"/>
  <c r="H12" i="54"/>
  <c r="H11" i="54"/>
  <c r="G34" i="54"/>
  <c r="G33" i="54"/>
  <c r="G25" i="54"/>
  <c r="G24" i="54"/>
  <c r="G22" i="54"/>
  <c r="G21" i="54"/>
  <c r="G16" i="54"/>
  <c r="G15" i="54"/>
  <c r="G12" i="54"/>
  <c r="G11" i="54"/>
  <c r="F34" i="54"/>
  <c r="F33" i="54"/>
  <c r="F28" i="54"/>
  <c r="F27" i="54"/>
  <c r="F25" i="54"/>
  <c r="F24" i="54"/>
  <c r="F22" i="54"/>
  <c r="F21" i="54"/>
  <c r="F16" i="54"/>
  <c r="F15" i="54"/>
  <c r="F12" i="54"/>
  <c r="F11" i="54"/>
  <c r="E34" i="54"/>
  <c r="E33" i="54"/>
  <c r="E28" i="54"/>
  <c r="E27" i="54"/>
  <c r="E25" i="54"/>
  <c r="E24" i="54"/>
  <c r="E22" i="54"/>
  <c r="E21" i="54"/>
  <c r="E16" i="54"/>
  <c r="E15" i="54"/>
  <c r="E12" i="54"/>
  <c r="E11" i="54"/>
  <c r="D34" i="54"/>
  <c r="D33" i="54"/>
  <c r="D28" i="54"/>
  <c r="D27" i="54"/>
  <c r="D25" i="54"/>
  <c r="D24" i="54"/>
  <c r="D22" i="54"/>
  <c r="D21" i="54"/>
  <c r="D16" i="54"/>
  <c r="D15" i="54"/>
  <c r="D12" i="54"/>
  <c r="D11" i="54"/>
  <c r="C42" i="54"/>
  <c r="C41" i="54"/>
  <c r="C38" i="54"/>
  <c r="C37" i="54"/>
  <c r="C34" i="54"/>
  <c r="C33" i="54"/>
  <c r="C25" i="54"/>
  <c r="C24" i="54"/>
  <c r="C22" i="54"/>
  <c r="C21" i="54"/>
  <c r="C16" i="54"/>
  <c r="C15" i="54"/>
  <c r="C12" i="54"/>
  <c r="C11" i="54"/>
  <c r="M42" i="53"/>
  <c r="M41" i="53"/>
  <c r="M38" i="53"/>
  <c r="M37" i="53"/>
  <c r="M34" i="53"/>
  <c r="M33" i="53"/>
  <c r="M31" i="53"/>
  <c r="M30" i="53"/>
  <c r="M28" i="53"/>
  <c r="M27" i="53"/>
  <c r="M25" i="53"/>
  <c r="M24" i="53"/>
  <c r="M22" i="53"/>
  <c r="M21" i="53"/>
  <c r="M16" i="53"/>
  <c r="M15" i="53"/>
  <c r="M12" i="53"/>
  <c r="M11" i="53"/>
  <c r="L34" i="53"/>
  <c r="L33" i="53"/>
  <c r="L28" i="53"/>
  <c r="L27" i="53"/>
  <c r="L25" i="53"/>
  <c r="L24" i="53"/>
  <c r="L22" i="53"/>
  <c r="L21" i="53"/>
  <c r="L16" i="53"/>
  <c r="L15" i="53"/>
  <c r="L12" i="53"/>
  <c r="L11" i="53"/>
  <c r="K34" i="53"/>
  <c r="K33" i="53"/>
  <c r="K28" i="53"/>
  <c r="K27" i="53"/>
  <c r="K25" i="53"/>
  <c r="K24" i="53"/>
  <c r="K22" i="53"/>
  <c r="K21" i="53"/>
  <c r="K16" i="53"/>
  <c r="K15" i="53"/>
  <c r="K12" i="53"/>
  <c r="K11" i="53"/>
  <c r="J34" i="53"/>
  <c r="J33" i="53"/>
  <c r="J28" i="53"/>
  <c r="J27" i="53"/>
  <c r="J25" i="53"/>
  <c r="J24" i="53"/>
  <c r="J22" i="53"/>
  <c r="J21" i="53"/>
  <c r="J16" i="53"/>
  <c r="J15" i="53"/>
  <c r="J12" i="53"/>
  <c r="J11" i="53"/>
  <c r="I34" i="53"/>
  <c r="I33" i="53"/>
  <c r="I28" i="53"/>
  <c r="I27" i="53"/>
  <c r="I25" i="53"/>
  <c r="I24" i="53"/>
  <c r="I22" i="53"/>
  <c r="I21" i="53"/>
  <c r="I16" i="53"/>
  <c r="I15" i="53"/>
  <c r="I12" i="53"/>
  <c r="I11" i="53"/>
  <c r="H42" i="53"/>
  <c r="H41" i="53"/>
  <c r="H38" i="53"/>
  <c r="H37" i="53"/>
  <c r="H34" i="53"/>
  <c r="H33" i="53"/>
  <c r="H28" i="53"/>
  <c r="H27" i="53"/>
  <c r="H25" i="53"/>
  <c r="H24" i="53"/>
  <c r="H22" i="53"/>
  <c r="H21" i="53"/>
  <c r="H16" i="53"/>
  <c r="H15" i="53"/>
  <c r="H12" i="53"/>
  <c r="H11" i="53"/>
  <c r="G42" i="53"/>
  <c r="G41" i="53"/>
  <c r="G38" i="53"/>
  <c r="G37" i="53"/>
  <c r="G34" i="53"/>
  <c r="G33" i="53"/>
  <c r="G25" i="53"/>
  <c r="G24" i="53"/>
  <c r="G22" i="53"/>
  <c r="G21" i="53"/>
  <c r="G16" i="53"/>
  <c r="G15" i="53"/>
  <c r="G12" i="53"/>
  <c r="G11" i="53"/>
  <c r="F42" i="53"/>
  <c r="F41" i="53"/>
  <c r="F38" i="53"/>
  <c r="F37" i="53"/>
  <c r="F34" i="53"/>
  <c r="F33" i="53"/>
  <c r="F28" i="53"/>
  <c r="F27" i="53"/>
  <c r="F25" i="53"/>
  <c r="F24" i="53"/>
  <c r="F22" i="53"/>
  <c r="F21" i="53"/>
  <c r="F16" i="53"/>
  <c r="F15" i="53"/>
  <c r="F12" i="53"/>
  <c r="F11" i="53"/>
  <c r="E42" i="53"/>
  <c r="E41" i="53"/>
  <c r="E38" i="53"/>
  <c r="E37" i="53"/>
  <c r="E34" i="53"/>
  <c r="E33" i="53"/>
  <c r="E28" i="53"/>
  <c r="E27" i="53"/>
  <c r="E25" i="53"/>
  <c r="E24" i="53"/>
  <c r="E22" i="53"/>
  <c r="E21" i="53"/>
  <c r="E16" i="53"/>
  <c r="E15" i="53"/>
  <c r="E12" i="53"/>
  <c r="E11" i="53"/>
  <c r="D42" i="53"/>
  <c r="D41" i="53"/>
  <c r="D38" i="53"/>
  <c r="D37" i="53"/>
  <c r="D34" i="53"/>
  <c r="D33" i="53"/>
  <c r="D28" i="53"/>
  <c r="D27" i="53"/>
  <c r="D25" i="53"/>
  <c r="D24" i="53"/>
  <c r="D22" i="53"/>
  <c r="D21" i="53"/>
  <c r="D16" i="53"/>
  <c r="D15" i="53"/>
  <c r="D12" i="53"/>
  <c r="D11" i="53"/>
  <c r="C42" i="53"/>
  <c r="C41" i="53"/>
  <c r="C38" i="53"/>
  <c r="C37" i="53"/>
  <c r="C34" i="53"/>
  <c r="C33" i="53"/>
  <c r="C25" i="53"/>
  <c r="C24" i="53"/>
  <c r="C22" i="53"/>
  <c r="C21" i="53"/>
  <c r="C16" i="53"/>
  <c r="C15" i="53"/>
  <c r="C12" i="53"/>
  <c r="C11" i="53"/>
  <c r="M42" i="52"/>
  <c r="M41" i="52"/>
  <c r="M38" i="52"/>
  <c r="M37" i="52"/>
  <c r="M34" i="52"/>
  <c r="M33" i="52"/>
  <c r="M31" i="52"/>
  <c r="M30" i="52"/>
  <c r="M28" i="52"/>
  <c r="M27" i="52"/>
  <c r="M25" i="52"/>
  <c r="M24" i="52"/>
  <c r="M22" i="52"/>
  <c r="M21" i="52"/>
  <c r="M16" i="52"/>
  <c r="M15" i="52"/>
  <c r="M12" i="52"/>
  <c r="M11" i="52"/>
  <c r="L31" i="52"/>
  <c r="L30" i="52"/>
  <c r="L25" i="52"/>
  <c r="L24" i="52"/>
  <c r="L16" i="52"/>
  <c r="L15" i="52"/>
  <c r="L12" i="52"/>
  <c r="L11" i="52"/>
  <c r="K31" i="52"/>
  <c r="K30" i="52"/>
  <c r="K25" i="52"/>
  <c r="K24" i="52"/>
  <c r="K16" i="52"/>
  <c r="K15" i="52"/>
  <c r="K12" i="52"/>
  <c r="K11" i="52"/>
  <c r="J31" i="52"/>
  <c r="J30" i="52"/>
  <c r="J25" i="52"/>
  <c r="J24" i="52"/>
  <c r="J16" i="52"/>
  <c r="J15" i="52"/>
  <c r="J12" i="52"/>
  <c r="J11" i="52"/>
  <c r="I31" i="52"/>
  <c r="I30" i="52"/>
  <c r="I25" i="52"/>
  <c r="I24" i="52"/>
  <c r="I16" i="52"/>
  <c r="I15" i="52"/>
  <c r="I12" i="52"/>
  <c r="I11" i="52"/>
  <c r="H42" i="52"/>
  <c r="H41" i="52"/>
  <c r="H38" i="52"/>
  <c r="H37" i="52"/>
  <c r="H34" i="52"/>
  <c r="H33" i="52"/>
  <c r="H31" i="52"/>
  <c r="H30" i="52"/>
  <c r="H28" i="52"/>
  <c r="H27" i="52"/>
  <c r="H25" i="52"/>
  <c r="H24" i="52"/>
  <c r="H16" i="52"/>
  <c r="H15" i="52"/>
  <c r="H12" i="52"/>
  <c r="H11" i="52"/>
  <c r="G42" i="52"/>
  <c r="G41" i="52"/>
  <c r="G38" i="52"/>
  <c r="G37" i="52"/>
  <c r="G34" i="52"/>
  <c r="G33" i="52"/>
  <c r="G31" i="52"/>
  <c r="G30" i="52"/>
  <c r="G28" i="52"/>
  <c r="G27" i="52"/>
  <c r="G25" i="52"/>
  <c r="G24" i="52"/>
  <c r="G16" i="52"/>
  <c r="G15" i="52"/>
  <c r="G12" i="52"/>
  <c r="G11" i="52"/>
  <c r="F42" i="52"/>
  <c r="F41" i="52"/>
  <c r="F38" i="52"/>
  <c r="F37" i="52"/>
  <c r="F34" i="52"/>
  <c r="F33" i="52"/>
  <c r="F31" i="52"/>
  <c r="F30" i="52"/>
  <c r="F28" i="52"/>
  <c r="F27" i="52"/>
  <c r="F25" i="52"/>
  <c r="F24" i="52"/>
  <c r="F16" i="52"/>
  <c r="F15" i="52"/>
  <c r="F12" i="52"/>
  <c r="F11" i="52"/>
  <c r="E42" i="52"/>
  <c r="E41" i="52"/>
  <c r="E38" i="52"/>
  <c r="E37" i="52"/>
  <c r="E34" i="52"/>
  <c r="E33" i="52"/>
  <c r="E31" i="52"/>
  <c r="E30" i="52"/>
  <c r="E28" i="52"/>
  <c r="E27" i="52"/>
  <c r="E25" i="52"/>
  <c r="E24" i="52"/>
  <c r="E16" i="52"/>
  <c r="E15" i="52"/>
  <c r="E12" i="52"/>
  <c r="E11" i="52"/>
  <c r="D42" i="52"/>
  <c r="D41" i="52"/>
  <c r="D38" i="52"/>
  <c r="D37" i="52"/>
  <c r="D34" i="52"/>
  <c r="D33" i="52"/>
  <c r="D31" i="52"/>
  <c r="D30" i="52"/>
  <c r="D28" i="52"/>
  <c r="D27" i="52"/>
  <c r="D25" i="52"/>
  <c r="D24" i="52"/>
  <c r="D16" i="52"/>
  <c r="D15" i="52"/>
  <c r="D12" i="52"/>
  <c r="D11" i="52"/>
  <c r="C42" i="52"/>
  <c r="C41" i="52"/>
  <c r="C38" i="52"/>
  <c r="C37" i="52"/>
  <c r="C34" i="52"/>
  <c r="C33" i="52"/>
  <c r="C31" i="52"/>
  <c r="C30" i="52"/>
  <c r="C28" i="52"/>
  <c r="C27" i="52"/>
  <c r="C25" i="52"/>
  <c r="C24" i="52"/>
  <c r="C16" i="52"/>
  <c r="C15" i="52"/>
  <c r="C12" i="52"/>
  <c r="C11" i="52"/>
  <c r="M42" i="51"/>
  <c r="M41" i="51"/>
  <c r="M38" i="51"/>
  <c r="M37" i="51"/>
  <c r="M34" i="51"/>
  <c r="M33" i="51"/>
  <c r="M31" i="51"/>
  <c r="M30" i="51"/>
  <c r="M28" i="51"/>
  <c r="M27" i="51"/>
  <c r="M25" i="51"/>
  <c r="M24" i="51"/>
  <c r="M22" i="51"/>
  <c r="M21" i="51"/>
  <c r="M16" i="51"/>
  <c r="M15" i="51"/>
  <c r="M12" i="51"/>
  <c r="M11" i="51"/>
  <c r="L42" i="51"/>
  <c r="L41" i="51"/>
  <c r="L38" i="51"/>
  <c r="L37" i="51"/>
  <c r="L34" i="51"/>
  <c r="L33" i="51"/>
  <c r="L31" i="51"/>
  <c r="L30" i="51"/>
  <c r="L28" i="51"/>
  <c r="L27" i="51"/>
  <c r="L25" i="51"/>
  <c r="L24" i="51"/>
  <c r="L22" i="51"/>
  <c r="L21" i="51"/>
  <c r="L16" i="51"/>
  <c r="L15" i="51"/>
  <c r="L12" i="51"/>
  <c r="L11" i="51"/>
  <c r="K42" i="51"/>
  <c r="K41" i="51"/>
  <c r="K38" i="51"/>
  <c r="K37" i="51"/>
  <c r="K34" i="51"/>
  <c r="K33" i="51"/>
  <c r="K31" i="51"/>
  <c r="K30" i="51"/>
  <c r="K28" i="51"/>
  <c r="K27" i="51"/>
  <c r="K25" i="51"/>
  <c r="K24" i="51"/>
  <c r="K22" i="51"/>
  <c r="K21" i="51"/>
  <c r="K16" i="51"/>
  <c r="K15" i="51"/>
  <c r="K12" i="51"/>
  <c r="K11" i="51"/>
  <c r="J42" i="51"/>
  <c r="J41" i="51"/>
  <c r="J38" i="51"/>
  <c r="J37" i="51"/>
  <c r="J34" i="51"/>
  <c r="J33" i="51"/>
  <c r="J31" i="51"/>
  <c r="J30" i="51"/>
  <c r="J28" i="51"/>
  <c r="J27" i="51"/>
  <c r="J25" i="51"/>
  <c r="J24" i="51"/>
  <c r="J12" i="51"/>
  <c r="J11" i="51"/>
  <c r="I42" i="51"/>
  <c r="I41" i="51"/>
  <c r="I38" i="51"/>
  <c r="I37" i="51"/>
  <c r="I34" i="51"/>
  <c r="I33" i="51"/>
  <c r="I31" i="51"/>
  <c r="I30" i="51"/>
  <c r="I28" i="51"/>
  <c r="I27" i="51"/>
  <c r="I25" i="51"/>
  <c r="I24" i="51"/>
  <c r="I22" i="51"/>
  <c r="I21" i="51"/>
  <c r="I12" i="51"/>
  <c r="I11" i="51"/>
  <c r="H42" i="51"/>
  <c r="H41" i="51"/>
  <c r="H38" i="51"/>
  <c r="H37" i="51"/>
  <c r="H34" i="51"/>
  <c r="H33" i="51"/>
  <c r="H31" i="51"/>
  <c r="H30" i="51"/>
  <c r="H28" i="51"/>
  <c r="H27" i="51"/>
  <c r="H25" i="51"/>
  <c r="H24" i="51"/>
  <c r="H22" i="51"/>
  <c r="H21" i="51"/>
  <c r="H12" i="51"/>
  <c r="H11" i="51"/>
  <c r="G42" i="51"/>
  <c r="G41" i="51"/>
  <c r="G38" i="51"/>
  <c r="G37" i="51"/>
  <c r="G34" i="51"/>
  <c r="G33" i="51"/>
  <c r="G31" i="51"/>
  <c r="G30" i="51"/>
  <c r="G28" i="51"/>
  <c r="G27" i="51"/>
  <c r="G25" i="51"/>
  <c r="G24" i="51"/>
  <c r="G22" i="51"/>
  <c r="G21" i="51"/>
  <c r="G12" i="51"/>
  <c r="G11" i="51"/>
  <c r="F42" i="51"/>
  <c r="F41" i="51"/>
  <c r="F38" i="51"/>
  <c r="F37" i="51"/>
  <c r="F34" i="51"/>
  <c r="F33" i="51"/>
  <c r="F31" i="51"/>
  <c r="F30" i="51"/>
  <c r="F28" i="51"/>
  <c r="F27" i="51"/>
  <c r="F25" i="51"/>
  <c r="F24" i="51"/>
  <c r="F22" i="51"/>
  <c r="F21" i="51"/>
  <c r="F12" i="51"/>
  <c r="F11" i="51"/>
  <c r="E42" i="51"/>
  <c r="E41" i="51"/>
  <c r="E38" i="51"/>
  <c r="E37" i="51"/>
  <c r="E34" i="51"/>
  <c r="E33" i="51"/>
  <c r="E31" i="51"/>
  <c r="E30" i="51"/>
  <c r="E28" i="51"/>
  <c r="E27" i="51"/>
  <c r="E25" i="51"/>
  <c r="E24" i="51"/>
  <c r="E22" i="51"/>
  <c r="E21" i="51"/>
  <c r="E12" i="51"/>
  <c r="E11" i="51"/>
  <c r="D42" i="51"/>
  <c r="D41" i="51"/>
  <c r="D38" i="51"/>
  <c r="D37" i="51"/>
  <c r="D34" i="51"/>
  <c r="D33" i="51"/>
  <c r="D31" i="51"/>
  <c r="D30" i="51"/>
  <c r="D28" i="51"/>
  <c r="D27" i="51"/>
  <c r="D25" i="51"/>
  <c r="D24" i="51"/>
  <c r="D22" i="51"/>
  <c r="D21" i="51"/>
  <c r="D16" i="51"/>
  <c r="D15" i="51"/>
  <c r="D12" i="51"/>
  <c r="D11" i="51"/>
  <c r="C42" i="51"/>
  <c r="C41" i="51"/>
  <c r="C38" i="51"/>
  <c r="C37" i="51"/>
  <c r="C34" i="51"/>
  <c r="C33" i="51"/>
  <c r="C31" i="51"/>
  <c r="C30" i="51"/>
  <c r="C28" i="51"/>
  <c r="C27" i="51"/>
  <c r="C25" i="51"/>
  <c r="C24" i="51"/>
  <c r="C22" i="51"/>
  <c r="C21" i="51"/>
  <c r="C16" i="51"/>
  <c r="C15" i="51"/>
  <c r="C12" i="51"/>
  <c r="C11" i="51"/>
  <c r="M42" i="50"/>
  <c r="M41" i="50"/>
  <c r="M38" i="50"/>
  <c r="M37" i="50"/>
  <c r="M34" i="50"/>
  <c r="M33" i="50"/>
  <c r="M31" i="50"/>
  <c r="M30" i="50"/>
  <c r="M28" i="50"/>
  <c r="M27" i="50"/>
  <c r="M25" i="50"/>
  <c r="M24" i="50"/>
  <c r="M22" i="50"/>
  <c r="M21" i="50"/>
  <c r="M16" i="50"/>
  <c r="M15" i="50"/>
  <c r="M12" i="50"/>
  <c r="M11" i="50"/>
  <c r="L42" i="50"/>
  <c r="L41" i="50"/>
  <c r="L38" i="50"/>
  <c r="L37" i="50"/>
  <c r="L34" i="50"/>
  <c r="L33" i="50"/>
  <c r="L31" i="50"/>
  <c r="L30" i="50"/>
  <c r="L28" i="50"/>
  <c r="L27" i="50"/>
  <c r="L25" i="50"/>
  <c r="L24" i="50"/>
  <c r="L22" i="50"/>
  <c r="L21" i="50"/>
  <c r="L16" i="50"/>
  <c r="L15" i="50"/>
  <c r="L12" i="50"/>
  <c r="L11" i="50"/>
  <c r="K42" i="50"/>
  <c r="K41" i="50"/>
  <c r="K38" i="50"/>
  <c r="K37" i="50"/>
  <c r="K34" i="50"/>
  <c r="K33" i="50"/>
  <c r="K31" i="50"/>
  <c r="K30" i="50"/>
  <c r="K28" i="50"/>
  <c r="K27" i="50"/>
  <c r="K25" i="50"/>
  <c r="K24" i="50"/>
  <c r="K22" i="50"/>
  <c r="K21" i="50"/>
  <c r="K16" i="50"/>
  <c r="K15" i="50"/>
  <c r="K12" i="50"/>
  <c r="K11" i="50"/>
  <c r="J42" i="50"/>
  <c r="J41" i="50"/>
  <c r="J38" i="50"/>
  <c r="J37" i="50"/>
  <c r="J34" i="50"/>
  <c r="J33" i="50"/>
  <c r="J31" i="50"/>
  <c r="J30" i="50"/>
  <c r="J28" i="50"/>
  <c r="J27" i="50"/>
  <c r="J25" i="50"/>
  <c r="J24" i="50"/>
  <c r="J22" i="50"/>
  <c r="J21" i="50"/>
  <c r="J16" i="50"/>
  <c r="J15" i="50"/>
  <c r="J12" i="50"/>
  <c r="J11" i="50"/>
  <c r="I42" i="50"/>
  <c r="I41" i="50"/>
  <c r="I38" i="50"/>
  <c r="I37" i="50"/>
  <c r="I34" i="50"/>
  <c r="I33" i="50"/>
  <c r="I31" i="50"/>
  <c r="I30" i="50"/>
  <c r="I28" i="50"/>
  <c r="I27" i="50"/>
  <c r="I25" i="50"/>
  <c r="I24" i="50"/>
  <c r="I22" i="50"/>
  <c r="I21" i="50"/>
  <c r="I16" i="50"/>
  <c r="I15" i="50"/>
  <c r="I12" i="50"/>
  <c r="I11" i="50"/>
  <c r="H42" i="50"/>
  <c r="H41" i="50"/>
  <c r="H38" i="50"/>
  <c r="H37" i="50"/>
  <c r="H34" i="50"/>
  <c r="H33" i="50"/>
  <c r="H31" i="50"/>
  <c r="H30" i="50"/>
  <c r="H28" i="50"/>
  <c r="H27" i="50"/>
  <c r="H25" i="50"/>
  <c r="H24" i="50"/>
  <c r="H22" i="50"/>
  <c r="H21" i="50"/>
  <c r="H16" i="50"/>
  <c r="H15" i="50"/>
  <c r="H12" i="50"/>
  <c r="H11" i="50"/>
  <c r="G42" i="50"/>
  <c r="G41" i="50"/>
  <c r="G38" i="50"/>
  <c r="G37" i="50"/>
  <c r="G34" i="50"/>
  <c r="G33" i="50"/>
  <c r="G31" i="50"/>
  <c r="G30" i="50"/>
  <c r="G28" i="50"/>
  <c r="G27" i="50"/>
  <c r="G25" i="50"/>
  <c r="G24" i="50"/>
  <c r="G22" i="50"/>
  <c r="G21" i="50"/>
  <c r="G16" i="50"/>
  <c r="G15" i="50"/>
  <c r="G12" i="50"/>
  <c r="G11" i="50"/>
  <c r="F42" i="50"/>
  <c r="F41" i="50"/>
  <c r="F38" i="50"/>
  <c r="F37" i="50"/>
  <c r="F34" i="50"/>
  <c r="F33" i="50"/>
  <c r="F31" i="50"/>
  <c r="F30" i="50"/>
  <c r="F28" i="50"/>
  <c r="F27" i="50"/>
  <c r="F25" i="50"/>
  <c r="F24" i="50"/>
  <c r="F22" i="50"/>
  <c r="F21" i="50"/>
  <c r="F16" i="50"/>
  <c r="F15" i="50"/>
  <c r="F12" i="50"/>
  <c r="F11" i="50"/>
  <c r="E42" i="50"/>
  <c r="E41" i="50"/>
  <c r="E38" i="50"/>
  <c r="E37" i="50"/>
  <c r="E34" i="50"/>
  <c r="E33" i="50"/>
  <c r="E31" i="50"/>
  <c r="E30" i="50"/>
  <c r="E28" i="50"/>
  <c r="E27" i="50"/>
  <c r="E25" i="50"/>
  <c r="E24" i="50"/>
  <c r="E22" i="50"/>
  <c r="E21" i="50"/>
  <c r="E16" i="50"/>
  <c r="E15" i="50"/>
  <c r="E12" i="50"/>
  <c r="E11" i="50"/>
  <c r="D42" i="50"/>
  <c r="D41" i="50"/>
  <c r="D38" i="50"/>
  <c r="D37" i="50"/>
  <c r="D34" i="50"/>
  <c r="D33" i="50"/>
  <c r="D31" i="50"/>
  <c r="D30" i="50"/>
  <c r="D28" i="50"/>
  <c r="D27" i="50"/>
  <c r="D25" i="50"/>
  <c r="D24" i="50"/>
  <c r="D22" i="50"/>
  <c r="D21" i="50"/>
  <c r="D16" i="50"/>
  <c r="D15" i="50"/>
  <c r="D12" i="50"/>
  <c r="D11" i="50"/>
  <c r="C42" i="50"/>
  <c r="C41" i="50"/>
  <c r="C38" i="50"/>
  <c r="C37" i="50"/>
  <c r="C34" i="50"/>
  <c r="C33" i="50"/>
  <c r="C31" i="50"/>
  <c r="C30" i="50"/>
  <c r="C28" i="50"/>
  <c r="C27" i="50"/>
  <c r="C25" i="50"/>
  <c r="C24" i="50"/>
  <c r="C22" i="50"/>
  <c r="C21" i="50"/>
  <c r="C16" i="50"/>
  <c r="C15" i="50"/>
  <c r="C12" i="50"/>
  <c r="C11" i="50"/>
  <c r="M42" i="49"/>
  <c r="M41" i="49"/>
  <c r="M38" i="49"/>
  <c r="M37" i="49"/>
  <c r="M34" i="49"/>
  <c r="M33" i="49"/>
  <c r="M31" i="49"/>
  <c r="M30" i="49"/>
  <c r="M28" i="49"/>
  <c r="M27" i="49"/>
  <c r="M25" i="49"/>
  <c r="M24" i="49"/>
  <c r="M22" i="49"/>
  <c r="M21" i="49"/>
  <c r="M16" i="49"/>
  <c r="M15" i="49"/>
  <c r="M12" i="49"/>
  <c r="M11" i="49"/>
  <c r="L42" i="49"/>
  <c r="L41" i="49"/>
  <c r="L38" i="49"/>
  <c r="L37" i="49"/>
  <c r="L34" i="49"/>
  <c r="L33" i="49"/>
  <c r="L31" i="49"/>
  <c r="L30" i="49"/>
  <c r="L28" i="49"/>
  <c r="L27" i="49"/>
  <c r="L25" i="49"/>
  <c r="L24" i="49"/>
  <c r="L22" i="49"/>
  <c r="L21" i="49"/>
  <c r="L16" i="49"/>
  <c r="L15" i="49"/>
  <c r="L12" i="49"/>
  <c r="L11" i="49"/>
  <c r="K42" i="49"/>
  <c r="K41" i="49"/>
  <c r="K38" i="49"/>
  <c r="K37" i="49"/>
  <c r="K34" i="49"/>
  <c r="K33" i="49"/>
  <c r="K31" i="49"/>
  <c r="K30" i="49"/>
  <c r="K28" i="49"/>
  <c r="K27" i="49"/>
  <c r="K25" i="49"/>
  <c r="K24" i="49"/>
  <c r="K22" i="49"/>
  <c r="K21" i="49"/>
  <c r="K16" i="49"/>
  <c r="K15" i="49"/>
  <c r="K12" i="49"/>
  <c r="K11" i="49"/>
  <c r="J42" i="49"/>
  <c r="J41" i="49"/>
  <c r="J38" i="49"/>
  <c r="J37" i="49"/>
  <c r="J34" i="49"/>
  <c r="J33" i="49"/>
  <c r="J31" i="49"/>
  <c r="J30" i="49"/>
  <c r="J28" i="49"/>
  <c r="J27" i="49"/>
  <c r="J25" i="49"/>
  <c r="J24" i="49"/>
  <c r="J22" i="49"/>
  <c r="J21" i="49"/>
  <c r="J16" i="49"/>
  <c r="J15" i="49"/>
  <c r="J12" i="49"/>
  <c r="J11" i="49"/>
  <c r="I42" i="49"/>
  <c r="I41" i="49"/>
  <c r="I38" i="49"/>
  <c r="I37" i="49"/>
  <c r="I34" i="49"/>
  <c r="I33" i="49"/>
  <c r="I28" i="49"/>
  <c r="I27" i="49"/>
  <c r="I25" i="49"/>
  <c r="I24" i="49"/>
  <c r="I22" i="49"/>
  <c r="I21" i="49"/>
  <c r="I16" i="49"/>
  <c r="I15" i="49"/>
  <c r="I12" i="49"/>
  <c r="I11" i="49"/>
  <c r="H42" i="49"/>
  <c r="H41" i="49"/>
  <c r="H38" i="49"/>
  <c r="H37" i="49"/>
  <c r="H34" i="49"/>
  <c r="H33" i="49"/>
  <c r="H31" i="49"/>
  <c r="H30" i="49"/>
  <c r="H28" i="49"/>
  <c r="H27" i="49"/>
  <c r="H25" i="49"/>
  <c r="H24" i="49"/>
  <c r="H22" i="49"/>
  <c r="H21" i="49"/>
  <c r="H16" i="49"/>
  <c r="H15" i="49"/>
  <c r="H12" i="49"/>
  <c r="H11" i="49"/>
  <c r="G42" i="49"/>
  <c r="G41" i="49"/>
  <c r="G38" i="49"/>
  <c r="G37" i="49"/>
  <c r="G34" i="49"/>
  <c r="G33" i="49"/>
  <c r="G31" i="49"/>
  <c r="G30" i="49"/>
  <c r="G28" i="49"/>
  <c r="G27" i="49"/>
  <c r="G25" i="49"/>
  <c r="G24" i="49"/>
  <c r="G22" i="49"/>
  <c r="G21" i="49"/>
  <c r="G16" i="49"/>
  <c r="G15" i="49"/>
  <c r="G12" i="49"/>
  <c r="G11" i="49"/>
  <c r="F42" i="49"/>
  <c r="F41" i="49"/>
  <c r="F38" i="49"/>
  <c r="F37" i="49"/>
  <c r="F34" i="49"/>
  <c r="F33" i="49"/>
  <c r="F31" i="49"/>
  <c r="F30" i="49"/>
  <c r="F28" i="49"/>
  <c r="F27" i="49"/>
  <c r="F25" i="49"/>
  <c r="F24" i="49"/>
  <c r="F22" i="49"/>
  <c r="F21" i="49"/>
  <c r="F16" i="49"/>
  <c r="F15" i="49"/>
  <c r="F12" i="49"/>
  <c r="F11" i="49"/>
  <c r="E42" i="49"/>
  <c r="E41" i="49"/>
  <c r="E34" i="49"/>
  <c r="E33" i="49"/>
  <c r="E31" i="49"/>
  <c r="E30" i="49"/>
  <c r="E28" i="49"/>
  <c r="E27" i="49"/>
  <c r="E25" i="49"/>
  <c r="E24" i="49"/>
  <c r="E22" i="49"/>
  <c r="E21" i="49"/>
  <c r="E16" i="49"/>
  <c r="E15" i="49"/>
  <c r="E12" i="49"/>
  <c r="E11" i="49"/>
  <c r="D42" i="49"/>
  <c r="D41" i="49"/>
  <c r="D38" i="49"/>
  <c r="D37" i="49"/>
  <c r="D34" i="49"/>
  <c r="D33" i="49"/>
  <c r="D31" i="49"/>
  <c r="D30" i="49"/>
  <c r="D28" i="49"/>
  <c r="D27" i="49"/>
  <c r="D25" i="49"/>
  <c r="D24" i="49"/>
  <c r="D22" i="49"/>
  <c r="D21" i="49"/>
  <c r="D16" i="49"/>
  <c r="D15" i="49"/>
  <c r="D12" i="49"/>
  <c r="D11" i="49"/>
  <c r="C42" i="49"/>
  <c r="C41" i="49"/>
  <c r="C38" i="49"/>
  <c r="C37" i="49"/>
  <c r="C34" i="49"/>
  <c r="C33" i="49"/>
  <c r="C31" i="49"/>
  <c r="C30" i="49"/>
  <c r="C28" i="49"/>
  <c r="C27" i="49"/>
  <c r="C25" i="49"/>
  <c r="C24" i="49"/>
  <c r="C22" i="49"/>
  <c r="C21" i="49"/>
  <c r="C16" i="49"/>
  <c r="C15" i="49"/>
  <c r="C12" i="49"/>
  <c r="C11" i="49"/>
  <c r="M42" i="48"/>
  <c r="M41" i="48"/>
  <c r="M38" i="48"/>
  <c r="M37" i="48"/>
  <c r="M34" i="48"/>
  <c r="M33" i="48"/>
  <c r="M31" i="48"/>
  <c r="M30" i="48"/>
  <c r="M28" i="48"/>
  <c r="M27" i="48"/>
  <c r="M25" i="48"/>
  <c r="M24" i="48"/>
  <c r="M22" i="48"/>
  <c r="M21" i="48"/>
  <c r="M16" i="48"/>
  <c r="M15" i="48"/>
  <c r="M12" i="48"/>
  <c r="M11" i="48"/>
  <c r="L42" i="48"/>
  <c r="L41" i="48"/>
  <c r="L38" i="48"/>
  <c r="L37" i="48"/>
  <c r="L34" i="48"/>
  <c r="L33" i="48"/>
  <c r="L31" i="48"/>
  <c r="L30" i="48"/>
  <c r="L28" i="48"/>
  <c r="L27" i="48"/>
  <c r="L25" i="48"/>
  <c r="L24" i="48"/>
  <c r="L22" i="48"/>
  <c r="L21" i="48"/>
  <c r="L16" i="48"/>
  <c r="L15" i="48"/>
  <c r="L12" i="48"/>
  <c r="L11" i="48"/>
  <c r="K42" i="48"/>
  <c r="K41" i="48"/>
  <c r="K38" i="48"/>
  <c r="K37" i="48"/>
  <c r="K34" i="48"/>
  <c r="K33" i="48"/>
  <c r="K31" i="48"/>
  <c r="K30" i="48"/>
  <c r="K28" i="48"/>
  <c r="K27" i="48"/>
  <c r="K25" i="48"/>
  <c r="K24" i="48"/>
  <c r="K22" i="48"/>
  <c r="K21" i="48"/>
  <c r="K16" i="48"/>
  <c r="K15" i="48"/>
  <c r="K12" i="48"/>
  <c r="K11" i="48"/>
  <c r="J42" i="48"/>
  <c r="J41" i="48"/>
  <c r="J38" i="48"/>
  <c r="J37" i="48"/>
  <c r="J34" i="48"/>
  <c r="J33" i="48"/>
  <c r="J31" i="48"/>
  <c r="J30" i="48"/>
  <c r="J28" i="48"/>
  <c r="J27" i="48"/>
  <c r="J25" i="48"/>
  <c r="J24" i="48"/>
  <c r="J22" i="48"/>
  <c r="J21" i="48"/>
  <c r="J16" i="48"/>
  <c r="J15" i="48"/>
  <c r="J12" i="48"/>
  <c r="J11" i="48"/>
  <c r="I42" i="48"/>
  <c r="I41" i="48"/>
  <c r="I38" i="48"/>
  <c r="I37" i="48"/>
  <c r="I34" i="48"/>
  <c r="I33" i="48"/>
  <c r="I31" i="48"/>
  <c r="I30" i="48"/>
  <c r="I28" i="48"/>
  <c r="I27" i="48"/>
  <c r="I25" i="48"/>
  <c r="I24" i="48"/>
  <c r="I22" i="48"/>
  <c r="I21" i="48"/>
  <c r="I16" i="48"/>
  <c r="I15" i="48"/>
  <c r="I12" i="48"/>
  <c r="I11" i="48"/>
  <c r="H42" i="48"/>
  <c r="H41" i="48"/>
  <c r="H38" i="48"/>
  <c r="H37" i="48"/>
  <c r="H34" i="48"/>
  <c r="H33" i="48"/>
  <c r="H31" i="48"/>
  <c r="H30" i="48"/>
  <c r="H28" i="48"/>
  <c r="H27" i="48"/>
  <c r="H25" i="48"/>
  <c r="H24" i="48"/>
  <c r="H22" i="48"/>
  <c r="H21" i="48"/>
  <c r="H16" i="48"/>
  <c r="H15" i="48"/>
  <c r="H12" i="48"/>
  <c r="H11" i="48"/>
  <c r="G42" i="48"/>
  <c r="G41" i="48"/>
  <c r="G38" i="48"/>
  <c r="G37" i="48"/>
  <c r="G34" i="48"/>
  <c r="G33" i="48"/>
  <c r="G31" i="48"/>
  <c r="G30" i="48"/>
  <c r="G28" i="48"/>
  <c r="G27" i="48"/>
  <c r="G25" i="48"/>
  <c r="G24" i="48"/>
  <c r="G22" i="48"/>
  <c r="G21" i="48"/>
  <c r="G16" i="48"/>
  <c r="G15" i="48"/>
  <c r="G12" i="48"/>
  <c r="G11" i="48"/>
  <c r="F42" i="48"/>
  <c r="F41" i="48"/>
  <c r="F38" i="48"/>
  <c r="F37" i="48"/>
  <c r="F34" i="48"/>
  <c r="F33" i="48"/>
  <c r="F31" i="48"/>
  <c r="F30" i="48"/>
  <c r="F28" i="48"/>
  <c r="F27" i="48"/>
  <c r="F25" i="48"/>
  <c r="F24" i="48"/>
  <c r="F22" i="48"/>
  <c r="F21" i="48"/>
  <c r="F16" i="48"/>
  <c r="F15" i="48"/>
  <c r="F12" i="48"/>
  <c r="F11" i="48"/>
  <c r="E42" i="48"/>
  <c r="E41" i="48"/>
  <c r="E38" i="48"/>
  <c r="E37" i="48"/>
  <c r="E34" i="48"/>
  <c r="E33" i="48"/>
  <c r="E31" i="48"/>
  <c r="E30" i="48"/>
  <c r="E28" i="48"/>
  <c r="E27" i="48"/>
  <c r="E25" i="48"/>
  <c r="E24" i="48"/>
  <c r="E22" i="48"/>
  <c r="E21" i="48"/>
  <c r="E16" i="48"/>
  <c r="E15" i="48"/>
  <c r="E12" i="48"/>
  <c r="E11" i="48"/>
  <c r="D42" i="48"/>
  <c r="D41" i="48"/>
  <c r="D38" i="48"/>
  <c r="D37" i="48"/>
  <c r="D34" i="48"/>
  <c r="D33" i="48"/>
  <c r="D31" i="48"/>
  <c r="D30" i="48"/>
  <c r="D28" i="48"/>
  <c r="D27" i="48"/>
  <c r="D25" i="48"/>
  <c r="D24" i="48"/>
  <c r="D22" i="48"/>
  <c r="D21" i="48"/>
  <c r="D16" i="48"/>
  <c r="D15" i="48"/>
  <c r="D12" i="48"/>
  <c r="D11" i="48"/>
  <c r="C42" i="48"/>
  <c r="C41" i="48"/>
  <c r="C38" i="48"/>
  <c r="C37" i="48"/>
  <c r="C34" i="48"/>
  <c r="C33" i="48"/>
  <c r="C31" i="48"/>
  <c r="C30" i="48"/>
  <c r="C28" i="48"/>
  <c r="C27" i="48"/>
  <c r="C25" i="48"/>
  <c r="C24" i="48"/>
  <c r="C22" i="48"/>
  <c r="C21" i="48"/>
  <c r="C16" i="48"/>
  <c r="C15" i="48"/>
  <c r="C12" i="48"/>
  <c r="C11" i="48"/>
  <c r="M42" i="47"/>
  <c r="M41" i="47"/>
  <c r="M38" i="47"/>
  <c r="M37" i="47"/>
  <c r="M34" i="47"/>
  <c r="M33" i="47"/>
  <c r="M31" i="47"/>
  <c r="M30" i="47"/>
  <c r="M28" i="47"/>
  <c r="M27" i="47"/>
  <c r="M25" i="47"/>
  <c r="M24" i="47"/>
  <c r="M22" i="47"/>
  <c r="M21" i="47"/>
  <c r="M16" i="47"/>
  <c r="M15" i="47"/>
  <c r="M12" i="47"/>
  <c r="M11" i="47"/>
  <c r="L42" i="47"/>
  <c r="L41" i="47"/>
  <c r="L38" i="47"/>
  <c r="L37" i="47"/>
  <c r="L34" i="47"/>
  <c r="L33" i="47"/>
  <c r="L31" i="47"/>
  <c r="L30" i="47"/>
  <c r="L28" i="47"/>
  <c r="L27" i="47"/>
  <c r="L25" i="47"/>
  <c r="L24" i="47"/>
  <c r="L22" i="47"/>
  <c r="L21" i="47"/>
  <c r="L16" i="47"/>
  <c r="L15" i="47"/>
  <c r="L12" i="47"/>
  <c r="L11" i="47"/>
  <c r="K42" i="47"/>
  <c r="K41" i="47"/>
  <c r="K38" i="47"/>
  <c r="K37" i="47"/>
  <c r="K34" i="47"/>
  <c r="K33" i="47"/>
  <c r="K31" i="47"/>
  <c r="K30" i="47"/>
  <c r="K28" i="47"/>
  <c r="K27" i="47"/>
  <c r="K25" i="47"/>
  <c r="K24" i="47"/>
  <c r="K22" i="47"/>
  <c r="K21" i="47"/>
  <c r="K16" i="47"/>
  <c r="K15" i="47"/>
  <c r="K12" i="47"/>
  <c r="K11" i="47"/>
  <c r="J42" i="47"/>
  <c r="J41" i="47"/>
  <c r="J38" i="47"/>
  <c r="J37" i="47"/>
  <c r="J34" i="47"/>
  <c r="J33" i="47"/>
  <c r="J31" i="47"/>
  <c r="J30" i="47"/>
  <c r="J28" i="47"/>
  <c r="J27" i="47"/>
  <c r="J25" i="47"/>
  <c r="J24" i="47"/>
  <c r="J22" i="47"/>
  <c r="J21" i="47"/>
  <c r="J16" i="47"/>
  <c r="J15" i="47"/>
  <c r="J12" i="47"/>
  <c r="J11" i="47"/>
  <c r="I42" i="47"/>
  <c r="I41" i="47"/>
  <c r="I38" i="47"/>
  <c r="I37" i="47"/>
  <c r="I34" i="47"/>
  <c r="I33" i="47"/>
  <c r="I31" i="47"/>
  <c r="I30" i="47"/>
  <c r="I28" i="47"/>
  <c r="I27" i="47"/>
  <c r="I25" i="47"/>
  <c r="I24" i="47"/>
  <c r="I22" i="47"/>
  <c r="I21" i="47"/>
  <c r="I16" i="47"/>
  <c r="I15" i="47"/>
  <c r="I12" i="47"/>
  <c r="I11" i="47"/>
  <c r="H42" i="47"/>
  <c r="H41" i="47"/>
  <c r="H38" i="47"/>
  <c r="H37" i="47"/>
  <c r="H34" i="47"/>
  <c r="H33" i="47"/>
  <c r="H31" i="47"/>
  <c r="H30" i="47"/>
  <c r="H28" i="47"/>
  <c r="H27" i="47"/>
  <c r="H25" i="47"/>
  <c r="H24" i="47"/>
  <c r="H22" i="47"/>
  <c r="H21" i="47"/>
  <c r="H16" i="47"/>
  <c r="H15" i="47"/>
  <c r="H12" i="47"/>
  <c r="H11" i="47"/>
  <c r="G42" i="47"/>
  <c r="G41" i="47"/>
  <c r="G38" i="47"/>
  <c r="G37" i="47"/>
  <c r="G34" i="47"/>
  <c r="G33" i="47"/>
  <c r="G31" i="47"/>
  <c r="G30" i="47"/>
  <c r="G28" i="47"/>
  <c r="G27" i="47"/>
  <c r="G25" i="47"/>
  <c r="G24" i="47"/>
  <c r="G22" i="47"/>
  <c r="G21" i="47"/>
  <c r="G16" i="47"/>
  <c r="G15" i="47"/>
  <c r="G12" i="47"/>
  <c r="G11" i="47"/>
  <c r="F42" i="47"/>
  <c r="F41" i="47"/>
  <c r="F38" i="47"/>
  <c r="F37" i="47"/>
  <c r="F34" i="47"/>
  <c r="F33" i="47"/>
  <c r="F31" i="47"/>
  <c r="F30" i="47"/>
  <c r="F28" i="47"/>
  <c r="F27" i="47"/>
  <c r="F25" i="47"/>
  <c r="F24" i="47"/>
  <c r="F22" i="47"/>
  <c r="F21" i="47"/>
  <c r="F16" i="47"/>
  <c r="F15" i="47"/>
  <c r="F12" i="47"/>
  <c r="F11" i="47"/>
  <c r="E42" i="47"/>
  <c r="E41" i="47"/>
  <c r="E38" i="47"/>
  <c r="E37" i="47"/>
  <c r="E34" i="47"/>
  <c r="E33" i="47"/>
  <c r="E31" i="47"/>
  <c r="E30" i="47"/>
  <c r="E28" i="47"/>
  <c r="E27" i="47"/>
  <c r="E25" i="47"/>
  <c r="E24" i="47"/>
  <c r="E22" i="47"/>
  <c r="E21" i="47"/>
  <c r="E16" i="47"/>
  <c r="E15" i="47"/>
  <c r="E12" i="47"/>
  <c r="E11" i="47"/>
  <c r="D42" i="47"/>
  <c r="D41" i="47"/>
  <c r="D38" i="47"/>
  <c r="D37" i="47"/>
  <c r="D34" i="47"/>
  <c r="D33" i="47"/>
  <c r="D31" i="47"/>
  <c r="D30" i="47"/>
  <c r="D28" i="47"/>
  <c r="D27" i="47"/>
  <c r="D25" i="47"/>
  <c r="D24" i="47"/>
  <c r="D22" i="47"/>
  <c r="D21" i="47"/>
  <c r="D16" i="47"/>
  <c r="D15" i="47"/>
  <c r="D12" i="47"/>
  <c r="D11" i="47"/>
  <c r="C42" i="47"/>
  <c r="C41" i="47"/>
  <c r="C38" i="47"/>
  <c r="C37" i="47"/>
  <c r="C34" i="47"/>
  <c r="C33" i="47"/>
  <c r="C31" i="47"/>
  <c r="C30" i="47"/>
  <c r="C28" i="47"/>
  <c r="C27" i="47"/>
  <c r="C25" i="47"/>
  <c r="C24" i="47"/>
  <c r="C22" i="47"/>
  <c r="C21" i="47"/>
  <c r="C16" i="47"/>
  <c r="C15" i="47"/>
  <c r="C12" i="47"/>
  <c r="C11" i="47"/>
  <c r="M42" i="46"/>
  <c r="M41" i="46"/>
  <c r="M38" i="46"/>
  <c r="M37" i="46"/>
  <c r="M34" i="46"/>
  <c r="M33" i="46"/>
  <c r="M31" i="46"/>
  <c r="M30" i="46"/>
  <c r="M28" i="46"/>
  <c r="M27" i="46"/>
  <c r="M25" i="46"/>
  <c r="M24" i="46"/>
  <c r="M22" i="46"/>
  <c r="M21" i="46"/>
  <c r="M16" i="46"/>
  <c r="M15" i="46"/>
  <c r="M12" i="46"/>
  <c r="M11" i="46"/>
  <c r="L42" i="46"/>
  <c r="L41" i="46"/>
  <c r="L38" i="46"/>
  <c r="L37" i="46"/>
  <c r="L34" i="46"/>
  <c r="L33" i="46"/>
  <c r="L31" i="46"/>
  <c r="L30" i="46"/>
  <c r="L28" i="46"/>
  <c r="L27" i="46"/>
  <c r="L25" i="46"/>
  <c r="L24" i="46"/>
  <c r="L22" i="46"/>
  <c r="L21" i="46"/>
  <c r="L16" i="46"/>
  <c r="L15" i="46"/>
  <c r="L12" i="46"/>
  <c r="L11" i="46"/>
  <c r="K42" i="46"/>
  <c r="K41" i="46"/>
  <c r="K38" i="46"/>
  <c r="K37" i="46"/>
  <c r="K34" i="46"/>
  <c r="K33" i="46"/>
  <c r="K31" i="46"/>
  <c r="K30" i="46"/>
  <c r="K28" i="46"/>
  <c r="K27" i="46"/>
  <c r="K25" i="46"/>
  <c r="K24" i="46"/>
  <c r="K22" i="46"/>
  <c r="K21" i="46"/>
  <c r="K16" i="46"/>
  <c r="K15" i="46"/>
  <c r="K12" i="46"/>
  <c r="K11" i="46"/>
  <c r="J42" i="46"/>
  <c r="J41" i="46"/>
  <c r="J38" i="46"/>
  <c r="J37" i="46"/>
  <c r="J34" i="46"/>
  <c r="J33" i="46"/>
  <c r="J31" i="46"/>
  <c r="J30" i="46"/>
  <c r="J28" i="46"/>
  <c r="J27" i="46"/>
  <c r="J25" i="46"/>
  <c r="J24" i="46"/>
  <c r="J22" i="46"/>
  <c r="J21" i="46"/>
  <c r="J16" i="46"/>
  <c r="J15" i="46"/>
  <c r="J12" i="46"/>
  <c r="J11" i="46"/>
  <c r="I42" i="46"/>
  <c r="I41" i="46"/>
  <c r="I38" i="46"/>
  <c r="I37" i="46"/>
  <c r="I34" i="46"/>
  <c r="I33" i="46"/>
  <c r="I31" i="46"/>
  <c r="I30" i="46"/>
  <c r="I28" i="46"/>
  <c r="I27" i="46"/>
  <c r="I25" i="46"/>
  <c r="I24" i="46"/>
  <c r="I22" i="46"/>
  <c r="I21" i="46"/>
  <c r="I16" i="46"/>
  <c r="I15" i="46"/>
  <c r="I12" i="46"/>
  <c r="I11" i="46"/>
  <c r="H42" i="46"/>
  <c r="H41" i="46"/>
  <c r="H38" i="46"/>
  <c r="H37" i="46"/>
  <c r="H34" i="46"/>
  <c r="H33" i="46"/>
  <c r="H31" i="46"/>
  <c r="H30" i="46"/>
  <c r="H28" i="46"/>
  <c r="H27" i="46"/>
  <c r="H25" i="46"/>
  <c r="H24" i="46"/>
  <c r="H22" i="46"/>
  <c r="H21" i="46"/>
  <c r="H16" i="46"/>
  <c r="H15" i="46"/>
  <c r="H12" i="46"/>
  <c r="H11" i="46"/>
  <c r="G42" i="46"/>
  <c r="G41" i="46"/>
  <c r="G38" i="46"/>
  <c r="G37" i="46"/>
  <c r="G34" i="46"/>
  <c r="G33" i="46"/>
  <c r="G31" i="46"/>
  <c r="G30" i="46"/>
  <c r="G28" i="46"/>
  <c r="G27" i="46"/>
  <c r="G25" i="46"/>
  <c r="G24" i="46"/>
  <c r="G22" i="46"/>
  <c r="G21" i="46"/>
  <c r="G16" i="46"/>
  <c r="G15" i="46"/>
  <c r="G12" i="46"/>
  <c r="G11" i="46"/>
  <c r="F42" i="46"/>
  <c r="F41" i="46"/>
  <c r="F38" i="46"/>
  <c r="F37" i="46"/>
  <c r="F34" i="46"/>
  <c r="F33" i="46"/>
  <c r="F31" i="46"/>
  <c r="F30" i="46"/>
  <c r="F28" i="46"/>
  <c r="F27" i="46"/>
  <c r="F25" i="46"/>
  <c r="F24" i="46"/>
  <c r="F22" i="46"/>
  <c r="F21" i="46"/>
  <c r="F16" i="46"/>
  <c r="F15" i="46"/>
  <c r="F12" i="46"/>
  <c r="F11" i="46"/>
  <c r="E42" i="46"/>
  <c r="E41" i="46"/>
  <c r="E38" i="46"/>
  <c r="E37" i="46"/>
  <c r="E34" i="46"/>
  <c r="E33" i="46"/>
  <c r="E31" i="46"/>
  <c r="E30" i="46"/>
  <c r="E28" i="46"/>
  <c r="E27" i="46"/>
  <c r="E25" i="46"/>
  <c r="E24" i="46"/>
  <c r="E22" i="46"/>
  <c r="E21" i="46"/>
  <c r="E16" i="46"/>
  <c r="E15" i="46"/>
  <c r="E12" i="46"/>
  <c r="E11" i="46"/>
  <c r="D42" i="46"/>
  <c r="D41" i="46"/>
  <c r="D38" i="46"/>
  <c r="D37" i="46"/>
  <c r="D34" i="46"/>
  <c r="D33" i="46"/>
  <c r="D31" i="46"/>
  <c r="D30" i="46"/>
  <c r="D28" i="46"/>
  <c r="D27" i="46"/>
  <c r="D25" i="46"/>
  <c r="D24" i="46"/>
  <c r="D22" i="46"/>
  <c r="D21" i="46"/>
  <c r="D16" i="46"/>
  <c r="D15" i="46"/>
  <c r="D12" i="46"/>
  <c r="D11" i="46"/>
  <c r="C42" i="46"/>
  <c r="C41" i="46"/>
  <c r="C38" i="46"/>
  <c r="C37" i="46"/>
  <c r="C34" i="46"/>
  <c r="C33" i="46"/>
  <c r="C31" i="46"/>
  <c r="C30" i="46"/>
  <c r="C28" i="46"/>
  <c r="C27" i="46"/>
  <c r="C25" i="46"/>
  <c r="C24" i="46"/>
  <c r="C22" i="46"/>
  <c r="C21" i="46"/>
  <c r="C16" i="46"/>
  <c r="C15" i="46"/>
  <c r="C12" i="46"/>
  <c r="C11" i="46"/>
  <c r="M42" i="45"/>
  <c r="M41" i="45"/>
  <c r="M38" i="45"/>
  <c r="M37" i="45"/>
  <c r="M34" i="45"/>
  <c r="M33" i="45"/>
  <c r="M31" i="45"/>
  <c r="M30" i="45"/>
  <c r="M28" i="45"/>
  <c r="M27" i="45"/>
  <c r="M25" i="45"/>
  <c r="M24" i="45"/>
  <c r="M22" i="45"/>
  <c r="M21" i="45"/>
  <c r="M16" i="45"/>
  <c r="M15" i="45"/>
  <c r="M12" i="45"/>
  <c r="M11" i="45"/>
  <c r="L42" i="45"/>
  <c r="L41" i="45"/>
  <c r="L38" i="45"/>
  <c r="L37" i="45"/>
  <c r="L34" i="45"/>
  <c r="L33" i="45"/>
  <c r="L31" i="45"/>
  <c r="L30" i="45"/>
  <c r="L28" i="45"/>
  <c r="L27" i="45"/>
  <c r="L25" i="45"/>
  <c r="L24" i="45"/>
  <c r="L22" i="45"/>
  <c r="L21" i="45"/>
  <c r="L16" i="45"/>
  <c r="L15" i="45"/>
  <c r="L12" i="45"/>
  <c r="L11" i="45"/>
  <c r="K42" i="45"/>
  <c r="K41" i="45"/>
  <c r="K38" i="45"/>
  <c r="K37" i="45"/>
  <c r="K34" i="45"/>
  <c r="K33" i="45"/>
  <c r="K31" i="45"/>
  <c r="K30" i="45"/>
  <c r="K28" i="45"/>
  <c r="K27" i="45"/>
  <c r="K25" i="45"/>
  <c r="K24" i="45"/>
  <c r="K22" i="45"/>
  <c r="K21" i="45"/>
  <c r="K16" i="45"/>
  <c r="K15" i="45"/>
  <c r="K12" i="45"/>
  <c r="K11" i="45"/>
  <c r="J42" i="45"/>
  <c r="J41" i="45"/>
  <c r="J38" i="45"/>
  <c r="J37" i="45"/>
  <c r="J34" i="45"/>
  <c r="J33" i="45"/>
  <c r="J31" i="45"/>
  <c r="J30" i="45"/>
  <c r="J28" i="45"/>
  <c r="J27" i="45"/>
  <c r="J25" i="45"/>
  <c r="J24" i="45"/>
  <c r="J22" i="45"/>
  <c r="J21" i="45"/>
  <c r="J16" i="45"/>
  <c r="J15" i="45"/>
  <c r="J12" i="45"/>
  <c r="J11" i="45"/>
  <c r="I42" i="45"/>
  <c r="I41" i="45"/>
  <c r="I38" i="45"/>
  <c r="I37" i="45"/>
  <c r="I34" i="45"/>
  <c r="I33" i="45"/>
  <c r="I31" i="45"/>
  <c r="I30" i="45"/>
  <c r="I28" i="45"/>
  <c r="I27" i="45"/>
  <c r="I25" i="45"/>
  <c r="I24" i="45"/>
  <c r="I22" i="45"/>
  <c r="I21" i="45"/>
  <c r="I16" i="45"/>
  <c r="I15" i="45"/>
  <c r="I12" i="45"/>
  <c r="I11" i="45"/>
  <c r="H42" i="45"/>
  <c r="H41" i="45"/>
  <c r="H38" i="45"/>
  <c r="H37" i="45"/>
  <c r="H34" i="45"/>
  <c r="H33" i="45"/>
  <c r="H31" i="45"/>
  <c r="H30" i="45"/>
  <c r="H28" i="45"/>
  <c r="H27" i="45"/>
  <c r="H25" i="45"/>
  <c r="H24" i="45"/>
  <c r="H22" i="45"/>
  <c r="H21" i="45"/>
  <c r="H16" i="45"/>
  <c r="H15" i="45"/>
  <c r="H12" i="45"/>
  <c r="H11" i="45"/>
  <c r="G42" i="45"/>
  <c r="G41" i="45"/>
  <c r="G38" i="45"/>
  <c r="G37" i="45"/>
  <c r="G34" i="45"/>
  <c r="G33" i="45"/>
  <c r="G31" i="45"/>
  <c r="G30" i="45"/>
  <c r="G28" i="45"/>
  <c r="G27" i="45"/>
  <c r="G25" i="45"/>
  <c r="G24" i="45"/>
  <c r="G22" i="45"/>
  <c r="G21" i="45"/>
  <c r="G16" i="45"/>
  <c r="G15" i="45"/>
  <c r="G12" i="45"/>
  <c r="G11" i="45"/>
  <c r="F42" i="45"/>
  <c r="F41" i="45"/>
  <c r="F38" i="45"/>
  <c r="F37" i="45"/>
  <c r="F34" i="45"/>
  <c r="F33" i="45"/>
  <c r="F31" i="45"/>
  <c r="F30" i="45"/>
  <c r="F28" i="45"/>
  <c r="F27" i="45"/>
  <c r="F25" i="45"/>
  <c r="F24" i="45"/>
  <c r="F22" i="45"/>
  <c r="F21" i="45"/>
  <c r="F16" i="45"/>
  <c r="F15" i="45"/>
  <c r="F12" i="45"/>
  <c r="F11" i="45"/>
  <c r="E42" i="45"/>
  <c r="E41" i="45"/>
  <c r="E38" i="45"/>
  <c r="E37" i="45"/>
  <c r="E34" i="45"/>
  <c r="E33" i="45"/>
  <c r="E31" i="45"/>
  <c r="E30" i="45"/>
  <c r="E28" i="45"/>
  <c r="E27" i="45"/>
  <c r="E25" i="45"/>
  <c r="E24" i="45"/>
  <c r="E22" i="45"/>
  <c r="E21" i="45"/>
  <c r="E16" i="45"/>
  <c r="E15" i="45"/>
  <c r="E12" i="45"/>
  <c r="E11" i="45"/>
  <c r="D42" i="45"/>
  <c r="D41" i="45"/>
  <c r="D38" i="45"/>
  <c r="D37" i="45"/>
  <c r="D34" i="45"/>
  <c r="D33" i="45"/>
  <c r="D31" i="45"/>
  <c r="D30" i="45"/>
  <c r="D28" i="45"/>
  <c r="D27" i="45"/>
  <c r="D25" i="45"/>
  <c r="D24" i="45"/>
  <c r="D22" i="45"/>
  <c r="D21" i="45"/>
  <c r="D16" i="45"/>
  <c r="D15" i="45"/>
  <c r="D12" i="45"/>
  <c r="D11" i="45"/>
  <c r="C42" i="45"/>
  <c r="C41" i="45"/>
  <c r="C38" i="45"/>
  <c r="C37" i="45"/>
  <c r="C34" i="45"/>
  <c r="C33" i="45"/>
  <c r="C31" i="45"/>
  <c r="C30" i="45"/>
  <c r="C28" i="45"/>
  <c r="C27" i="45"/>
  <c r="C25" i="45"/>
  <c r="C24" i="45"/>
  <c r="C22" i="45"/>
  <c r="C21" i="45"/>
  <c r="C16" i="45"/>
  <c r="C15" i="45"/>
  <c r="C12" i="45"/>
  <c r="C11" i="45"/>
  <c r="M42" i="44"/>
  <c r="M41" i="44"/>
  <c r="M38" i="44"/>
  <c r="M37" i="44"/>
  <c r="M34" i="44"/>
  <c r="M33" i="44"/>
  <c r="M31" i="44"/>
  <c r="M30" i="44"/>
  <c r="M28" i="44"/>
  <c r="M27" i="44"/>
  <c r="M25" i="44"/>
  <c r="M24" i="44"/>
  <c r="M22" i="44"/>
  <c r="M21" i="44"/>
  <c r="M16" i="44"/>
  <c r="M15" i="44"/>
  <c r="M12" i="44"/>
  <c r="M11" i="44"/>
  <c r="L42" i="44"/>
  <c r="L41" i="44"/>
  <c r="L38" i="44"/>
  <c r="L37" i="44"/>
  <c r="L34" i="44"/>
  <c r="L33" i="44"/>
  <c r="L31" i="44"/>
  <c r="L30" i="44"/>
  <c r="L28" i="44"/>
  <c r="L27" i="44"/>
  <c r="L25" i="44"/>
  <c r="L24" i="44"/>
  <c r="L22" i="44"/>
  <c r="L21" i="44"/>
  <c r="L16" i="44"/>
  <c r="L15" i="44"/>
  <c r="L12" i="44"/>
  <c r="L11" i="44"/>
  <c r="K42" i="44"/>
  <c r="K41" i="44"/>
  <c r="K38" i="44"/>
  <c r="K37" i="44"/>
  <c r="K34" i="44"/>
  <c r="K33" i="44"/>
  <c r="K31" i="44"/>
  <c r="K30" i="44"/>
  <c r="K28" i="44"/>
  <c r="K27" i="44"/>
  <c r="K25" i="44"/>
  <c r="K24" i="44"/>
  <c r="K22" i="44"/>
  <c r="K21" i="44"/>
  <c r="K16" i="44"/>
  <c r="K15" i="44"/>
  <c r="K12" i="44"/>
  <c r="K11" i="44"/>
  <c r="J42" i="44"/>
  <c r="J41" i="44"/>
  <c r="J38" i="44"/>
  <c r="J37" i="44"/>
  <c r="J34" i="44"/>
  <c r="J33" i="44"/>
  <c r="J31" i="44"/>
  <c r="J30" i="44"/>
  <c r="J28" i="44"/>
  <c r="J27" i="44"/>
  <c r="J25" i="44"/>
  <c r="J24" i="44"/>
  <c r="J22" i="44"/>
  <c r="J21" i="44"/>
  <c r="J16" i="44"/>
  <c r="J15" i="44"/>
  <c r="J12" i="44"/>
  <c r="J11" i="44"/>
  <c r="I42" i="44"/>
  <c r="I41" i="44"/>
  <c r="I38" i="44"/>
  <c r="I37" i="44"/>
  <c r="I34" i="44"/>
  <c r="I33" i="44"/>
  <c r="I31" i="44"/>
  <c r="I30" i="44"/>
  <c r="I28" i="44"/>
  <c r="I27" i="44"/>
  <c r="I25" i="44"/>
  <c r="I24" i="44"/>
  <c r="I22" i="44"/>
  <c r="I21" i="44"/>
  <c r="I16" i="44"/>
  <c r="I15" i="44"/>
  <c r="I12" i="44"/>
  <c r="I11" i="44"/>
  <c r="H42" i="44"/>
  <c r="H41" i="44"/>
  <c r="H38" i="44"/>
  <c r="H37" i="44"/>
  <c r="H34" i="44"/>
  <c r="H33" i="44"/>
  <c r="H31" i="44"/>
  <c r="H30" i="44"/>
  <c r="H28" i="44"/>
  <c r="H27" i="44"/>
  <c r="H25" i="44"/>
  <c r="H24" i="44"/>
  <c r="H22" i="44"/>
  <c r="H21" i="44"/>
  <c r="H16" i="44"/>
  <c r="H15" i="44"/>
  <c r="H12" i="44"/>
  <c r="H11" i="44"/>
  <c r="G42" i="44"/>
  <c r="G41" i="44"/>
  <c r="G38" i="44"/>
  <c r="G37" i="44"/>
  <c r="G34" i="44"/>
  <c r="G33" i="44"/>
  <c r="G31" i="44"/>
  <c r="G30" i="44"/>
  <c r="G28" i="44"/>
  <c r="G27" i="44"/>
  <c r="G25" i="44"/>
  <c r="G24" i="44"/>
  <c r="G22" i="44"/>
  <c r="G21" i="44"/>
  <c r="G16" i="44"/>
  <c r="G15" i="44"/>
  <c r="G12" i="44"/>
  <c r="G11" i="44"/>
  <c r="F42" i="44"/>
  <c r="F41" i="44"/>
  <c r="F38" i="44"/>
  <c r="F37" i="44"/>
  <c r="F34" i="44"/>
  <c r="F33" i="44"/>
  <c r="F31" i="44"/>
  <c r="F30" i="44"/>
  <c r="F28" i="44"/>
  <c r="F27" i="44"/>
  <c r="F25" i="44"/>
  <c r="F24" i="44"/>
  <c r="F22" i="44"/>
  <c r="F21" i="44"/>
  <c r="F16" i="44"/>
  <c r="F15" i="44"/>
  <c r="F12" i="44"/>
  <c r="F11" i="44"/>
  <c r="E42" i="44"/>
  <c r="E41" i="44"/>
  <c r="E38" i="44"/>
  <c r="E37" i="44"/>
  <c r="E34" i="44"/>
  <c r="E33" i="44"/>
  <c r="E31" i="44"/>
  <c r="E30" i="44"/>
  <c r="E28" i="44"/>
  <c r="E27" i="44"/>
  <c r="E25" i="44"/>
  <c r="E24" i="44"/>
  <c r="E22" i="44"/>
  <c r="E21" i="44"/>
  <c r="E16" i="44"/>
  <c r="E15" i="44"/>
  <c r="E12" i="44"/>
  <c r="E11" i="44"/>
  <c r="D42" i="44"/>
  <c r="D41" i="44"/>
  <c r="D38" i="44"/>
  <c r="D37" i="44"/>
  <c r="D34" i="44"/>
  <c r="D33" i="44"/>
  <c r="D31" i="44"/>
  <c r="D30" i="44"/>
  <c r="D28" i="44"/>
  <c r="D27" i="44"/>
  <c r="D25" i="44"/>
  <c r="D24" i="44"/>
  <c r="D22" i="44"/>
  <c r="D21" i="44"/>
  <c r="D16" i="44"/>
  <c r="D15" i="44"/>
  <c r="D12" i="44"/>
  <c r="D11" i="44"/>
  <c r="C42" i="44"/>
  <c r="C41" i="44"/>
  <c r="C38" i="44"/>
  <c r="C37" i="44"/>
  <c r="C34" i="44"/>
  <c r="C33" i="44"/>
  <c r="C31" i="44"/>
  <c r="C30" i="44"/>
  <c r="C28" i="44"/>
  <c r="C27" i="44"/>
  <c r="C25" i="44"/>
  <c r="C24" i="44"/>
  <c r="C22" i="44"/>
  <c r="C21" i="44"/>
  <c r="C16" i="44"/>
  <c r="C15" i="44"/>
  <c r="C12" i="44"/>
  <c r="C11" i="44"/>
  <c r="M42" i="43"/>
  <c r="M41" i="43"/>
  <c r="M38" i="43"/>
  <c r="M37" i="43"/>
  <c r="M34" i="43"/>
  <c r="M33" i="43"/>
  <c r="M31" i="43"/>
  <c r="M30" i="43"/>
  <c r="M28" i="43"/>
  <c r="M27" i="43"/>
  <c r="M25" i="43"/>
  <c r="M24" i="43"/>
  <c r="M22" i="43"/>
  <c r="M21" i="43"/>
  <c r="M16" i="43"/>
  <c r="M15" i="43"/>
  <c r="M12" i="43"/>
  <c r="M11" i="43"/>
  <c r="L42" i="43"/>
  <c r="L41" i="43"/>
  <c r="L38" i="43"/>
  <c r="L37" i="43"/>
  <c r="L34" i="43"/>
  <c r="L33" i="43"/>
  <c r="L31" i="43"/>
  <c r="L30" i="43"/>
  <c r="L28" i="43"/>
  <c r="L27" i="43"/>
  <c r="L25" i="43"/>
  <c r="L24" i="43"/>
  <c r="L22" i="43"/>
  <c r="L21" i="43"/>
  <c r="L16" i="43"/>
  <c r="L15" i="43"/>
  <c r="L12" i="43"/>
  <c r="L11" i="43"/>
  <c r="K42" i="43"/>
  <c r="K41" i="43"/>
  <c r="K38" i="43"/>
  <c r="K37" i="43"/>
  <c r="K34" i="43"/>
  <c r="K33" i="43"/>
  <c r="K31" i="43"/>
  <c r="K30" i="43"/>
  <c r="K28" i="43"/>
  <c r="K27" i="43"/>
  <c r="K25" i="43"/>
  <c r="K24" i="43"/>
  <c r="K22" i="43"/>
  <c r="K21" i="43"/>
  <c r="K16" i="43"/>
  <c r="K15" i="43"/>
  <c r="K12" i="43"/>
  <c r="K11" i="43"/>
  <c r="J42" i="43"/>
  <c r="J41" i="43"/>
  <c r="J38" i="43"/>
  <c r="J37" i="43"/>
  <c r="J34" i="43"/>
  <c r="J33" i="43"/>
  <c r="J31" i="43"/>
  <c r="J30" i="43"/>
  <c r="J28" i="43"/>
  <c r="J27" i="43"/>
  <c r="J25" i="43"/>
  <c r="J24" i="43"/>
  <c r="J22" i="43"/>
  <c r="J21" i="43"/>
  <c r="J16" i="43"/>
  <c r="J15" i="43"/>
  <c r="J12" i="43"/>
  <c r="J11" i="43"/>
  <c r="I42" i="43"/>
  <c r="I41" i="43"/>
  <c r="I38" i="43"/>
  <c r="I37" i="43"/>
  <c r="I34" i="43"/>
  <c r="I33" i="43"/>
  <c r="I31" i="43"/>
  <c r="I30" i="43"/>
  <c r="I28" i="43"/>
  <c r="I27" i="43"/>
  <c r="I25" i="43"/>
  <c r="I24" i="43"/>
  <c r="I22" i="43"/>
  <c r="I21" i="43"/>
  <c r="I16" i="43"/>
  <c r="I15" i="43"/>
  <c r="I12" i="43"/>
  <c r="I11" i="43"/>
  <c r="H42" i="43"/>
  <c r="H41" i="43"/>
  <c r="H38" i="43"/>
  <c r="H37" i="43"/>
  <c r="H34" i="43"/>
  <c r="H33" i="43"/>
  <c r="H31" i="43"/>
  <c r="H30" i="43"/>
  <c r="H28" i="43"/>
  <c r="H27" i="43"/>
  <c r="H25" i="43"/>
  <c r="H24" i="43"/>
  <c r="H22" i="43"/>
  <c r="H21" i="43"/>
  <c r="H16" i="43"/>
  <c r="H15" i="43"/>
  <c r="H12" i="43"/>
  <c r="H11" i="43"/>
  <c r="G42" i="43"/>
  <c r="G41" i="43"/>
  <c r="G38" i="43"/>
  <c r="G37" i="43"/>
  <c r="G34" i="43"/>
  <c r="G33" i="43"/>
  <c r="G31" i="43"/>
  <c r="G30" i="43"/>
  <c r="G28" i="43"/>
  <c r="G27" i="43"/>
  <c r="G25" i="43"/>
  <c r="G24" i="43"/>
  <c r="G22" i="43"/>
  <c r="G21" i="43"/>
  <c r="G16" i="43"/>
  <c r="G15" i="43"/>
  <c r="G12" i="43"/>
  <c r="G11" i="43"/>
  <c r="F42" i="43"/>
  <c r="F41" i="43"/>
  <c r="F38" i="43"/>
  <c r="F37" i="43"/>
  <c r="F34" i="43"/>
  <c r="F33" i="43"/>
  <c r="F31" i="43"/>
  <c r="F30" i="43"/>
  <c r="F28" i="43"/>
  <c r="F27" i="43"/>
  <c r="F25" i="43"/>
  <c r="F24" i="43"/>
  <c r="F22" i="43"/>
  <c r="F21" i="43"/>
  <c r="F16" i="43"/>
  <c r="F15" i="43"/>
  <c r="F12" i="43"/>
  <c r="F11" i="43"/>
  <c r="E42" i="43"/>
  <c r="E41" i="43"/>
  <c r="E38" i="43"/>
  <c r="E37" i="43"/>
  <c r="E34" i="43"/>
  <c r="E33" i="43"/>
  <c r="E31" i="43"/>
  <c r="E30" i="43"/>
  <c r="E28" i="43"/>
  <c r="E27" i="43"/>
  <c r="E25" i="43"/>
  <c r="E24" i="43"/>
  <c r="E22" i="43"/>
  <c r="E21" i="43"/>
  <c r="E16" i="43"/>
  <c r="E15" i="43"/>
  <c r="E12" i="43"/>
  <c r="E11" i="43"/>
  <c r="D42" i="43"/>
  <c r="D41" i="43"/>
  <c r="D38" i="43"/>
  <c r="D37" i="43"/>
  <c r="D34" i="43"/>
  <c r="D33" i="43"/>
  <c r="D31" i="43"/>
  <c r="D30" i="43"/>
  <c r="D28" i="43"/>
  <c r="D27" i="43"/>
  <c r="D25" i="43"/>
  <c r="D24" i="43"/>
  <c r="D22" i="43"/>
  <c r="D21" i="43"/>
  <c r="D16" i="43"/>
  <c r="D15" i="43"/>
  <c r="D12" i="43"/>
  <c r="D11" i="43"/>
  <c r="C42" i="43"/>
  <c r="C41" i="43"/>
  <c r="C38" i="43"/>
  <c r="C37" i="43"/>
  <c r="C34" i="43"/>
  <c r="C33" i="43"/>
  <c r="C31" i="43"/>
  <c r="C30" i="43"/>
  <c r="C28" i="43"/>
  <c r="C27" i="43"/>
  <c r="C25" i="43"/>
  <c r="C24" i="43"/>
  <c r="C22" i="43"/>
  <c r="C21" i="43"/>
  <c r="C16" i="43"/>
  <c r="C15" i="43"/>
  <c r="C12" i="43"/>
  <c r="C11" i="43"/>
  <c r="M42" i="42"/>
  <c r="M41" i="42"/>
  <c r="M38" i="42"/>
  <c r="M37" i="42"/>
  <c r="M34" i="42"/>
  <c r="M33" i="42"/>
  <c r="M31" i="42"/>
  <c r="M30" i="42"/>
  <c r="M28" i="42"/>
  <c r="M27" i="42"/>
  <c r="M25" i="42"/>
  <c r="M24" i="42"/>
  <c r="M22" i="42"/>
  <c r="M21" i="42"/>
  <c r="M16" i="42"/>
  <c r="M15" i="42"/>
  <c r="M12" i="42"/>
  <c r="M11" i="42"/>
  <c r="L42" i="42"/>
  <c r="L41" i="42"/>
  <c r="L38" i="42"/>
  <c r="L37" i="42"/>
  <c r="L34" i="42"/>
  <c r="L33" i="42"/>
  <c r="L31" i="42"/>
  <c r="L30" i="42"/>
  <c r="L28" i="42"/>
  <c r="L27" i="42"/>
  <c r="L25" i="42"/>
  <c r="L24" i="42"/>
  <c r="L22" i="42"/>
  <c r="L21" i="42"/>
  <c r="L16" i="42"/>
  <c r="L15" i="42"/>
  <c r="L12" i="42"/>
  <c r="L11" i="42"/>
  <c r="K42" i="42"/>
  <c r="K41" i="42"/>
  <c r="K38" i="42"/>
  <c r="K37" i="42"/>
  <c r="K34" i="42"/>
  <c r="K33" i="42"/>
  <c r="K31" i="42"/>
  <c r="K30" i="42"/>
  <c r="K28" i="42"/>
  <c r="K27" i="42"/>
  <c r="K25" i="42"/>
  <c r="K24" i="42"/>
  <c r="K22" i="42"/>
  <c r="K21" i="42"/>
  <c r="K16" i="42"/>
  <c r="K15" i="42"/>
  <c r="K12" i="42"/>
  <c r="K11" i="42"/>
  <c r="J42" i="42"/>
  <c r="J41" i="42"/>
  <c r="J38" i="42"/>
  <c r="J37" i="42"/>
  <c r="J34" i="42"/>
  <c r="J33" i="42"/>
  <c r="J31" i="42"/>
  <c r="J30" i="42"/>
  <c r="J28" i="42"/>
  <c r="J27" i="42"/>
  <c r="J25" i="42"/>
  <c r="J24" i="42"/>
  <c r="J22" i="42"/>
  <c r="J21" i="42"/>
  <c r="J16" i="42"/>
  <c r="J15" i="42"/>
  <c r="J12" i="42"/>
  <c r="J11" i="42"/>
  <c r="I42" i="42"/>
  <c r="I41" i="42"/>
  <c r="I38" i="42"/>
  <c r="I37" i="42"/>
  <c r="I34" i="42"/>
  <c r="I33" i="42"/>
  <c r="I31" i="42"/>
  <c r="I30" i="42"/>
  <c r="I28" i="42"/>
  <c r="I27" i="42"/>
  <c r="I25" i="42"/>
  <c r="I24" i="42"/>
  <c r="I22" i="42"/>
  <c r="I21" i="42"/>
  <c r="I16" i="42"/>
  <c r="I15" i="42"/>
  <c r="I12" i="42"/>
  <c r="I11" i="42"/>
  <c r="H42" i="42"/>
  <c r="H41" i="42"/>
  <c r="H38" i="42"/>
  <c r="H37" i="42"/>
  <c r="H34" i="42"/>
  <c r="H33" i="42"/>
  <c r="H31" i="42"/>
  <c r="H30" i="42"/>
  <c r="H28" i="42"/>
  <c r="H27" i="42"/>
  <c r="H25" i="42"/>
  <c r="H24" i="42"/>
  <c r="H22" i="42"/>
  <c r="H21" i="42"/>
  <c r="H16" i="42"/>
  <c r="H15" i="42"/>
  <c r="H12" i="42"/>
  <c r="H11" i="42"/>
  <c r="G42" i="42"/>
  <c r="G41" i="42"/>
  <c r="G38" i="42"/>
  <c r="G37" i="42"/>
  <c r="G34" i="42"/>
  <c r="G33" i="42"/>
  <c r="G31" i="42"/>
  <c r="G30" i="42"/>
  <c r="G28" i="42"/>
  <c r="G27" i="42"/>
  <c r="G25" i="42"/>
  <c r="G24" i="42"/>
  <c r="G22" i="42"/>
  <c r="G21" i="42"/>
  <c r="G16" i="42"/>
  <c r="G15" i="42"/>
  <c r="G12" i="42"/>
  <c r="G11" i="42"/>
  <c r="F42" i="42"/>
  <c r="F41" i="42"/>
  <c r="F38" i="42"/>
  <c r="F37" i="42"/>
  <c r="F34" i="42"/>
  <c r="F33" i="42"/>
  <c r="F31" i="42"/>
  <c r="F30" i="42"/>
  <c r="F28" i="42"/>
  <c r="F27" i="42"/>
  <c r="F25" i="42"/>
  <c r="F24" i="42"/>
  <c r="F22" i="42"/>
  <c r="F21" i="42"/>
  <c r="F16" i="42"/>
  <c r="F15" i="42"/>
  <c r="F12" i="42"/>
  <c r="F11" i="42"/>
  <c r="E42" i="42"/>
  <c r="E41" i="42"/>
  <c r="E38" i="42"/>
  <c r="E37" i="42"/>
  <c r="E34" i="42"/>
  <c r="E33" i="42"/>
  <c r="E31" i="42"/>
  <c r="E30" i="42"/>
  <c r="E28" i="42"/>
  <c r="E27" i="42"/>
  <c r="E25" i="42"/>
  <c r="E24" i="42"/>
  <c r="E22" i="42"/>
  <c r="E21" i="42"/>
  <c r="E16" i="42"/>
  <c r="E15" i="42"/>
  <c r="E12" i="42"/>
  <c r="E11" i="42"/>
  <c r="D42" i="42"/>
  <c r="D41" i="42"/>
  <c r="D38" i="42"/>
  <c r="D37" i="42"/>
  <c r="D34" i="42"/>
  <c r="D33" i="42"/>
  <c r="D31" i="42"/>
  <c r="D30" i="42"/>
  <c r="D28" i="42"/>
  <c r="D27" i="42"/>
  <c r="D25" i="42"/>
  <c r="D24" i="42"/>
  <c r="D22" i="42"/>
  <c r="D21" i="42"/>
  <c r="D16" i="42"/>
  <c r="D15" i="42"/>
  <c r="D12" i="42"/>
  <c r="D11" i="42"/>
  <c r="C42" i="42"/>
  <c r="C41" i="42"/>
  <c r="C38" i="42"/>
  <c r="C37" i="42"/>
  <c r="C34" i="42"/>
  <c r="C33" i="42"/>
  <c r="C31" i="42"/>
  <c r="C30" i="42"/>
  <c r="C28" i="42"/>
  <c r="C27" i="42"/>
  <c r="C25" i="42"/>
  <c r="C24" i="42"/>
  <c r="C22" i="42"/>
  <c r="C21" i="42"/>
  <c r="C16" i="42"/>
  <c r="C15" i="42"/>
  <c r="C12" i="42"/>
  <c r="C11" i="42"/>
  <c r="M42" i="41"/>
  <c r="M41" i="41"/>
  <c r="M38" i="41"/>
  <c r="M37" i="41"/>
  <c r="M34" i="41"/>
  <c r="M33" i="41"/>
  <c r="M31" i="41"/>
  <c r="M30" i="41"/>
  <c r="M28" i="41"/>
  <c r="M27" i="41"/>
  <c r="M25" i="41"/>
  <c r="M24" i="41"/>
  <c r="M22" i="41"/>
  <c r="M21" i="41"/>
  <c r="M16" i="41"/>
  <c r="M15" i="41"/>
  <c r="M12" i="41"/>
  <c r="M11" i="41"/>
  <c r="L42" i="41"/>
  <c r="L41" i="41"/>
  <c r="L38" i="41"/>
  <c r="L37" i="41"/>
  <c r="L34" i="41"/>
  <c r="L33" i="41"/>
  <c r="L31" i="41"/>
  <c r="L30" i="41"/>
  <c r="L28" i="41"/>
  <c r="L27" i="41"/>
  <c r="L25" i="41"/>
  <c r="L24" i="41"/>
  <c r="L22" i="41"/>
  <c r="L21" i="41"/>
  <c r="L16" i="41"/>
  <c r="L15" i="41"/>
  <c r="K42" i="41"/>
  <c r="K41" i="41"/>
  <c r="K38" i="41"/>
  <c r="K37" i="41"/>
  <c r="K34" i="41"/>
  <c r="K33" i="41"/>
  <c r="K31" i="41"/>
  <c r="K30" i="41"/>
  <c r="K28" i="41"/>
  <c r="K27" i="41"/>
  <c r="K25" i="41"/>
  <c r="K24" i="41"/>
  <c r="K22" i="41"/>
  <c r="K21" i="41"/>
  <c r="K16" i="41"/>
  <c r="K15" i="41"/>
  <c r="K12" i="41"/>
  <c r="K11" i="41"/>
  <c r="J42" i="41"/>
  <c r="J41" i="41"/>
  <c r="J38" i="41"/>
  <c r="J37" i="41"/>
  <c r="J34" i="41"/>
  <c r="J33" i="41"/>
  <c r="J31" i="41"/>
  <c r="J30" i="41"/>
  <c r="J28" i="41"/>
  <c r="J27" i="41"/>
  <c r="J25" i="41"/>
  <c r="J24" i="41"/>
  <c r="J22" i="41"/>
  <c r="J21" i="41"/>
  <c r="J16" i="41"/>
  <c r="J15" i="41"/>
  <c r="I42" i="41"/>
  <c r="I41" i="41"/>
  <c r="I38" i="41"/>
  <c r="I37" i="41"/>
  <c r="I34" i="41"/>
  <c r="I33" i="41"/>
  <c r="I12" i="41"/>
  <c r="I11" i="41"/>
  <c r="H42" i="41"/>
  <c r="H41" i="41"/>
  <c r="H34" i="41"/>
  <c r="H33" i="41"/>
  <c r="H31" i="41"/>
  <c r="H30" i="41"/>
  <c r="H28" i="41"/>
  <c r="H27" i="41"/>
  <c r="H25" i="41"/>
  <c r="H24" i="41"/>
  <c r="H22" i="41"/>
  <c r="H21" i="41"/>
  <c r="H16" i="41"/>
  <c r="H15" i="41"/>
  <c r="G42" i="41"/>
  <c r="G41" i="41"/>
  <c r="G34" i="41"/>
  <c r="G33" i="41"/>
  <c r="G31" i="41"/>
  <c r="G30" i="41"/>
  <c r="G28" i="41"/>
  <c r="G27" i="41"/>
  <c r="G25" i="41"/>
  <c r="G24" i="41"/>
  <c r="G22" i="41"/>
  <c r="G21" i="41"/>
  <c r="G16" i="41"/>
  <c r="G15" i="41"/>
  <c r="G12" i="41"/>
  <c r="G11" i="41"/>
  <c r="F38" i="41"/>
  <c r="F37" i="41"/>
  <c r="F34" i="41"/>
  <c r="F33" i="41"/>
  <c r="F31" i="41"/>
  <c r="F30" i="41"/>
  <c r="F28" i="41"/>
  <c r="F27" i="41"/>
  <c r="F25" i="41"/>
  <c r="F24" i="41"/>
  <c r="F22" i="41"/>
  <c r="F21" i="41"/>
  <c r="F16" i="41"/>
  <c r="F15" i="41"/>
  <c r="E42" i="41"/>
  <c r="E41" i="41"/>
  <c r="E34" i="41"/>
  <c r="E33" i="41"/>
  <c r="E31" i="41"/>
  <c r="E30" i="41"/>
  <c r="E28" i="41"/>
  <c r="E27" i="41"/>
  <c r="E25" i="41"/>
  <c r="E24" i="41"/>
  <c r="E22" i="41"/>
  <c r="E21" i="41"/>
  <c r="E16" i="41"/>
  <c r="E15" i="41"/>
  <c r="E12" i="41"/>
  <c r="E11" i="41"/>
  <c r="D42" i="41"/>
  <c r="D41" i="41"/>
  <c r="D34" i="41"/>
  <c r="D33" i="41"/>
  <c r="D31" i="41"/>
  <c r="D30" i="41"/>
  <c r="D28" i="41"/>
  <c r="D27" i="41"/>
  <c r="D25" i="41"/>
  <c r="D24" i="41"/>
  <c r="D22" i="41"/>
  <c r="D21" i="41"/>
  <c r="D16" i="41"/>
  <c r="D15" i="41"/>
  <c r="C42" i="41"/>
  <c r="C41" i="41"/>
  <c r="C38" i="41"/>
  <c r="C37" i="41"/>
  <c r="C34" i="41"/>
  <c r="C33" i="41"/>
  <c r="C31" i="41"/>
  <c r="C30" i="41"/>
  <c r="C28" i="41"/>
  <c r="C27" i="41"/>
  <c r="C25" i="41"/>
  <c r="C24" i="41"/>
  <c r="C22" i="41"/>
  <c r="C21" i="41"/>
  <c r="C16" i="41"/>
  <c r="C15" i="41"/>
  <c r="M42" i="40"/>
  <c r="M41" i="40"/>
  <c r="M38" i="40"/>
  <c r="M37" i="40"/>
  <c r="M34" i="40"/>
  <c r="M33" i="40"/>
  <c r="M31" i="40"/>
  <c r="M30" i="40"/>
  <c r="M28" i="40"/>
  <c r="M27" i="40"/>
  <c r="M25" i="40"/>
  <c r="M24" i="40"/>
  <c r="M22" i="40"/>
  <c r="M21" i="40"/>
  <c r="M16" i="40"/>
  <c r="M15" i="40"/>
  <c r="M12" i="40"/>
  <c r="M11" i="40"/>
  <c r="L42" i="40"/>
  <c r="L41" i="40"/>
  <c r="L38" i="40"/>
  <c r="L37" i="40"/>
  <c r="L34" i="40"/>
  <c r="L33" i="40"/>
  <c r="L31" i="40"/>
  <c r="L30" i="40"/>
  <c r="L28" i="40"/>
  <c r="L27" i="40"/>
  <c r="L25" i="40"/>
  <c r="L24" i="40"/>
  <c r="L22" i="40"/>
  <c r="L21" i="40"/>
  <c r="L16" i="40"/>
  <c r="L15" i="40"/>
  <c r="L12" i="40"/>
  <c r="L11" i="40"/>
  <c r="K42" i="40"/>
  <c r="K41" i="40"/>
  <c r="K38" i="40"/>
  <c r="K37" i="40"/>
  <c r="K34" i="40"/>
  <c r="K33" i="40"/>
  <c r="K31" i="40"/>
  <c r="K30" i="40"/>
  <c r="K28" i="40"/>
  <c r="K27" i="40"/>
  <c r="K25" i="40"/>
  <c r="K24" i="40"/>
  <c r="K22" i="40"/>
  <c r="K21" i="40"/>
  <c r="K16" i="40"/>
  <c r="K15" i="40"/>
  <c r="K12" i="40"/>
  <c r="K11" i="40"/>
  <c r="J42" i="40"/>
  <c r="J41" i="40"/>
  <c r="J38" i="40"/>
  <c r="J37" i="40"/>
  <c r="J34" i="40"/>
  <c r="J33" i="40"/>
  <c r="J31" i="40"/>
  <c r="J30" i="40"/>
  <c r="J28" i="40"/>
  <c r="J27" i="40"/>
  <c r="J25" i="40"/>
  <c r="J24" i="40"/>
  <c r="J22" i="40"/>
  <c r="J21" i="40"/>
  <c r="J16" i="40"/>
  <c r="J15" i="40"/>
  <c r="J12" i="40"/>
  <c r="J11" i="40"/>
  <c r="I42" i="40"/>
  <c r="I41" i="40"/>
  <c r="I38" i="40"/>
  <c r="I37" i="40"/>
  <c r="I34" i="40"/>
  <c r="I33" i="40"/>
  <c r="I31" i="40"/>
  <c r="I30" i="40"/>
  <c r="I28" i="40"/>
  <c r="I27" i="40"/>
  <c r="I25" i="40"/>
  <c r="I24" i="40"/>
  <c r="I22" i="40"/>
  <c r="I21" i="40"/>
  <c r="I16" i="40"/>
  <c r="I15" i="40"/>
  <c r="I12" i="40"/>
  <c r="I11" i="40"/>
  <c r="H42" i="40"/>
  <c r="H41" i="40"/>
  <c r="H38" i="40"/>
  <c r="H37" i="40"/>
  <c r="H34" i="40"/>
  <c r="H33" i="40"/>
  <c r="H31" i="40"/>
  <c r="H30" i="40"/>
  <c r="H28" i="40"/>
  <c r="H27" i="40"/>
  <c r="H25" i="40"/>
  <c r="H24" i="40"/>
  <c r="H22" i="40"/>
  <c r="H21" i="40"/>
  <c r="H16" i="40"/>
  <c r="H15" i="40"/>
  <c r="H12" i="40"/>
  <c r="H11" i="40"/>
  <c r="G42" i="40"/>
  <c r="G41" i="40"/>
  <c r="G38" i="40"/>
  <c r="G37" i="40"/>
  <c r="G34" i="40"/>
  <c r="G33" i="40"/>
  <c r="G31" i="40"/>
  <c r="G30" i="40"/>
  <c r="G28" i="40"/>
  <c r="G27" i="40"/>
  <c r="G25" i="40"/>
  <c r="G24" i="40"/>
  <c r="G22" i="40"/>
  <c r="G21" i="40"/>
  <c r="G16" i="40"/>
  <c r="G15" i="40"/>
  <c r="G12" i="40"/>
  <c r="G11" i="40"/>
  <c r="F42" i="40"/>
  <c r="F41" i="40"/>
  <c r="F38" i="40"/>
  <c r="F37" i="40"/>
  <c r="F34" i="40"/>
  <c r="F33" i="40"/>
  <c r="F31" i="40"/>
  <c r="F30" i="40"/>
  <c r="F28" i="40"/>
  <c r="F27" i="40"/>
  <c r="F25" i="40"/>
  <c r="F24" i="40"/>
  <c r="F22" i="40"/>
  <c r="F21" i="40"/>
  <c r="F16" i="40"/>
  <c r="F15" i="40"/>
  <c r="F12" i="40"/>
  <c r="F11" i="40"/>
  <c r="E42" i="40"/>
  <c r="E41" i="40"/>
  <c r="E38" i="40"/>
  <c r="E37" i="40"/>
  <c r="E34" i="40"/>
  <c r="E33" i="40"/>
  <c r="E31" i="40"/>
  <c r="E30" i="40"/>
  <c r="E28" i="40"/>
  <c r="E27" i="40"/>
  <c r="E25" i="40"/>
  <c r="E24" i="40"/>
  <c r="E22" i="40"/>
  <c r="E21" i="40"/>
  <c r="E16" i="40"/>
  <c r="E15" i="40"/>
  <c r="E12" i="40"/>
  <c r="E11" i="40"/>
  <c r="D42" i="40"/>
  <c r="D41" i="40"/>
  <c r="D38" i="40"/>
  <c r="D37" i="40"/>
  <c r="D34" i="40"/>
  <c r="D33" i="40"/>
  <c r="D31" i="40"/>
  <c r="D30" i="40"/>
  <c r="D28" i="40"/>
  <c r="D27" i="40"/>
  <c r="D25" i="40"/>
  <c r="D24" i="40"/>
  <c r="D22" i="40"/>
  <c r="D21" i="40"/>
  <c r="D16" i="40"/>
  <c r="D15" i="40"/>
  <c r="D12" i="40"/>
  <c r="D11" i="40"/>
  <c r="C42" i="40"/>
  <c r="C41" i="40"/>
  <c r="C38" i="40"/>
  <c r="C37" i="40"/>
  <c r="C34" i="40"/>
  <c r="C33" i="40"/>
  <c r="C31" i="40"/>
  <c r="C30" i="40"/>
  <c r="C28" i="40"/>
  <c r="C27" i="40"/>
  <c r="C25" i="40"/>
  <c r="C24" i="40"/>
  <c r="C22" i="40"/>
  <c r="C21" i="40"/>
  <c r="C16" i="40"/>
  <c r="C15" i="40"/>
  <c r="C12" i="40"/>
  <c r="C11" i="40"/>
  <c r="M42" i="39"/>
  <c r="M41" i="39"/>
  <c r="M38" i="39"/>
  <c r="M37" i="39"/>
  <c r="M34" i="39"/>
  <c r="M33" i="39"/>
  <c r="M31" i="39"/>
  <c r="M30" i="39"/>
  <c r="M28" i="39"/>
  <c r="M27" i="39"/>
  <c r="M25" i="39"/>
  <c r="M24" i="39"/>
  <c r="M22" i="39"/>
  <c r="M21" i="39"/>
  <c r="M16" i="39"/>
  <c r="M15" i="39"/>
  <c r="M12" i="39"/>
  <c r="M11" i="39"/>
  <c r="L42" i="39"/>
  <c r="L41" i="39"/>
  <c r="L38" i="39"/>
  <c r="L37" i="39"/>
  <c r="L34" i="39"/>
  <c r="L33" i="39"/>
  <c r="L31" i="39"/>
  <c r="L30" i="39"/>
  <c r="L28" i="39"/>
  <c r="L27" i="39"/>
  <c r="L25" i="39"/>
  <c r="L24" i="39"/>
  <c r="L22" i="39"/>
  <c r="L21" i="39"/>
  <c r="L16" i="39"/>
  <c r="L15" i="39"/>
  <c r="L12" i="39"/>
  <c r="L11" i="39"/>
  <c r="K42" i="39"/>
  <c r="K41" i="39"/>
  <c r="K38" i="39"/>
  <c r="K37" i="39"/>
  <c r="K34" i="39"/>
  <c r="K33" i="39"/>
  <c r="K31" i="39"/>
  <c r="K30" i="39"/>
  <c r="K28" i="39"/>
  <c r="K27" i="39"/>
  <c r="K25" i="39"/>
  <c r="K24" i="39"/>
  <c r="K22" i="39"/>
  <c r="K21" i="39"/>
  <c r="K16" i="39"/>
  <c r="K15" i="39"/>
  <c r="K12" i="39"/>
  <c r="K11" i="39"/>
  <c r="J42" i="39"/>
  <c r="J41" i="39"/>
  <c r="J38" i="39"/>
  <c r="J37" i="39"/>
  <c r="J34" i="39"/>
  <c r="J33" i="39"/>
  <c r="J31" i="39"/>
  <c r="J30" i="39"/>
  <c r="J28" i="39"/>
  <c r="J27" i="39"/>
  <c r="J25" i="39"/>
  <c r="J24" i="39"/>
  <c r="J22" i="39"/>
  <c r="J21" i="39"/>
  <c r="J16" i="39"/>
  <c r="J15" i="39"/>
  <c r="J12" i="39"/>
  <c r="J11" i="39"/>
  <c r="I42" i="39"/>
  <c r="I41" i="39"/>
  <c r="I38" i="39"/>
  <c r="I37" i="39"/>
  <c r="I34" i="39"/>
  <c r="I33" i="39"/>
  <c r="I31" i="39"/>
  <c r="I30" i="39"/>
  <c r="I28" i="39"/>
  <c r="I27" i="39"/>
  <c r="I25" i="39"/>
  <c r="I24" i="39"/>
  <c r="I22" i="39"/>
  <c r="I21" i="39"/>
  <c r="I16" i="39"/>
  <c r="I15" i="39"/>
  <c r="I12" i="39"/>
  <c r="I11" i="39"/>
  <c r="H42" i="39"/>
  <c r="H41" i="39"/>
  <c r="H38" i="39"/>
  <c r="H37" i="39"/>
  <c r="H34" i="39"/>
  <c r="H33" i="39"/>
  <c r="H31" i="39"/>
  <c r="H30" i="39"/>
  <c r="H28" i="39"/>
  <c r="H27" i="39"/>
  <c r="H25" i="39"/>
  <c r="H24" i="39"/>
  <c r="H22" i="39"/>
  <c r="H21" i="39"/>
  <c r="H16" i="39"/>
  <c r="H15" i="39"/>
  <c r="H12" i="39"/>
  <c r="H11" i="39"/>
  <c r="G42" i="39"/>
  <c r="G41" i="39"/>
  <c r="G38" i="39"/>
  <c r="G37" i="39"/>
  <c r="G34" i="39"/>
  <c r="G33" i="39"/>
  <c r="G31" i="39"/>
  <c r="G30" i="39"/>
  <c r="G28" i="39"/>
  <c r="G27" i="39"/>
  <c r="G25" i="39"/>
  <c r="G24" i="39"/>
  <c r="G22" i="39"/>
  <c r="G21" i="39"/>
  <c r="G16" i="39"/>
  <c r="G15" i="39"/>
  <c r="G12" i="39"/>
  <c r="G11" i="39"/>
  <c r="F42" i="39"/>
  <c r="F41" i="39"/>
  <c r="F38" i="39"/>
  <c r="F37" i="39"/>
  <c r="F34" i="39"/>
  <c r="F33" i="39"/>
  <c r="F31" i="39"/>
  <c r="F30" i="39"/>
  <c r="F28" i="39"/>
  <c r="F27" i="39"/>
  <c r="F25" i="39"/>
  <c r="F24" i="39"/>
  <c r="F22" i="39"/>
  <c r="F21" i="39"/>
  <c r="F16" i="39"/>
  <c r="F15" i="39"/>
  <c r="F12" i="39"/>
  <c r="F11" i="39"/>
  <c r="E42" i="39"/>
  <c r="E41" i="39"/>
  <c r="E38" i="39"/>
  <c r="E37" i="39"/>
  <c r="E34" i="39"/>
  <c r="E33" i="39"/>
  <c r="E31" i="39"/>
  <c r="E30" i="39"/>
  <c r="E28" i="39"/>
  <c r="E27" i="39"/>
  <c r="E25" i="39"/>
  <c r="E24" i="39"/>
  <c r="E22" i="39"/>
  <c r="E21" i="39"/>
  <c r="E16" i="39"/>
  <c r="E15" i="39"/>
  <c r="E12" i="39"/>
  <c r="E11" i="39"/>
  <c r="D42" i="39"/>
  <c r="D41" i="39"/>
  <c r="D38" i="39"/>
  <c r="D37" i="39"/>
  <c r="D34" i="39"/>
  <c r="D33" i="39"/>
  <c r="D31" i="39"/>
  <c r="D30" i="39"/>
  <c r="D28" i="39"/>
  <c r="D27" i="39"/>
  <c r="D25" i="39"/>
  <c r="D24" i="39"/>
  <c r="D22" i="39"/>
  <c r="D21" i="39"/>
  <c r="D16" i="39"/>
  <c r="D15" i="39"/>
  <c r="D12" i="39"/>
  <c r="D11" i="39"/>
  <c r="C42" i="39"/>
  <c r="C41" i="39"/>
  <c r="C38" i="39"/>
  <c r="C37" i="39"/>
  <c r="C34" i="39"/>
  <c r="C33" i="39"/>
  <c r="C31" i="39"/>
  <c r="C30" i="39"/>
  <c r="C28" i="39"/>
  <c r="C27" i="39"/>
  <c r="C25" i="39"/>
  <c r="C24" i="39"/>
  <c r="C22" i="39"/>
  <c r="C21" i="39"/>
  <c r="C16" i="39"/>
  <c r="C15" i="39"/>
  <c r="C12" i="39"/>
  <c r="C11" i="39"/>
  <c r="M42" i="38"/>
  <c r="M41" i="38"/>
  <c r="M38" i="38"/>
  <c r="M37" i="38"/>
  <c r="M34" i="38"/>
  <c r="M33" i="38"/>
  <c r="M31" i="38"/>
  <c r="M30" i="38"/>
  <c r="M28" i="38"/>
  <c r="M27" i="38"/>
  <c r="M25" i="38"/>
  <c r="M24" i="38"/>
  <c r="M22" i="38"/>
  <c r="M21" i="38"/>
  <c r="M16" i="38"/>
  <c r="M15" i="38"/>
  <c r="M12" i="38"/>
  <c r="M11" i="38"/>
  <c r="L42" i="38"/>
  <c r="L41" i="38"/>
  <c r="L38" i="38"/>
  <c r="L37" i="38"/>
  <c r="L34" i="38"/>
  <c r="L33" i="38"/>
  <c r="L31" i="38"/>
  <c r="L30" i="38"/>
  <c r="L28" i="38"/>
  <c r="L27" i="38"/>
  <c r="L25" i="38"/>
  <c r="L24" i="38"/>
  <c r="L22" i="38"/>
  <c r="L21" i="38"/>
  <c r="L16" i="38"/>
  <c r="L15" i="38"/>
  <c r="L12" i="38"/>
  <c r="L11" i="38"/>
  <c r="K42" i="38"/>
  <c r="K41" i="38"/>
  <c r="K38" i="38"/>
  <c r="K37" i="38"/>
  <c r="K34" i="38"/>
  <c r="K33" i="38"/>
  <c r="K31" i="38"/>
  <c r="K30" i="38"/>
  <c r="K28" i="38"/>
  <c r="K27" i="38"/>
  <c r="K25" i="38"/>
  <c r="K24" i="38"/>
  <c r="K22" i="38"/>
  <c r="K21" i="38"/>
  <c r="K16" i="38"/>
  <c r="K15" i="38"/>
  <c r="K12" i="38"/>
  <c r="K11" i="38"/>
  <c r="J42" i="38"/>
  <c r="J41" i="38"/>
  <c r="J38" i="38"/>
  <c r="J37" i="38"/>
  <c r="J34" i="38"/>
  <c r="J33" i="38"/>
  <c r="J31" i="38"/>
  <c r="J30" i="38"/>
  <c r="J28" i="38"/>
  <c r="J27" i="38"/>
  <c r="J25" i="38"/>
  <c r="J24" i="38"/>
  <c r="J22" i="38"/>
  <c r="J21" i="38"/>
  <c r="J16" i="38"/>
  <c r="J15" i="38"/>
  <c r="J12" i="38"/>
  <c r="J11" i="38"/>
  <c r="I42" i="38"/>
  <c r="I41" i="38"/>
  <c r="I38" i="38"/>
  <c r="I37" i="38"/>
  <c r="I34" i="38"/>
  <c r="I33" i="38"/>
  <c r="I31" i="38"/>
  <c r="I30" i="38"/>
  <c r="I28" i="38"/>
  <c r="I27" i="38"/>
  <c r="I25" i="38"/>
  <c r="I24" i="38"/>
  <c r="I22" i="38"/>
  <c r="I21" i="38"/>
  <c r="I16" i="38"/>
  <c r="I15" i="38"/>
  <c r="I12" i="38"/>
  <c r="I11" i="38"/>
  <c r="H42" i="38"/>
  <c r="H41" i="38"/>
  <c r="H38" i="38"/>
  <c r="H37" i="38"/>
  <c r="H34" i="38"/>
  <c r="H33" i="38"/>
  <c r="H31" i="38"/>
  <c r="H30" i="38"/>
  <c r="H28" i="38"/>
  <c r="H27" i="38"/>
  <c r="H25" i="38"/>
  <c r="H24" i="38"/>
  <c r="H22" i="38"/>
  <c r="H21" i="38"/>
  <c r="H16" i="38"/>
  <c r="H15" i="38"/>
  <c r="H12" i="38"/>
  <c r="H11" i="38"/>
  <c r="G42" i="38"/>
  <c r="G41" i="38"/>
  <c r="G38" i="38"/>
  <c r="G37" i="38"/>
  <c r="G34" i="38"/>
  <c r="G33" i="38"/>
  <c r="G31" i="38"/>
  <c r="G30" i="38"/>
  <c r="G28" i="38"/>
  <c r="G27" i="38"/>
  <c r="G25" i="38"/>
  <c r="G24" i="38"/>
  <c r="G22" i="38"/>
  <c r="G21" i="38"/>
  <c r="G16" i="38"/>
  <c r="G15" i="38"/>
  <c r="G12" i="38"/>
  <c r="G11" i="38"/>
  <c r="F42" i="38"/>
  <c r="F41" i="38"/>
  <c r="F38" i="38"/>
  <c r="F37" i="38"/>
  <c r="F34" i="38"/>
  <c r="F33" i="38"/>
  <c r="F31" i="38"/>
  <c r="F30" i="38"/>
  <c r="F28" i="38"/>
  <c r="F27" i="38"/>
  <c r="F25" i="38"/>
  <c r="F24" i="38"/>
  <c r="F22" i="38"/>
  <c r="F21" i="38"/>
  <c r="F16" i="38"/>
  <c r="F15" i="38"/>
  <c r="F12" i="38"/>
  <c r="F11" i="38"/>
  <c r="E42" i="38"/>
  <c r="E41" i="38"/>
  <c r="E38" i="38"/>
  <c r="E37" i="38"/>
  <c r="E34" i="38"/>
  <c r="E33" i="38"/>
  <c r="E31" i="38"/>
  <c r="E30" i="38"/>
  <c r="E28" i="38"/>
  <c r="E27" i="38"/>
  <c r="E25" i="38"/>
  <c r="E24" i="38"/>
  <c r="E22" i="38"/>
  <c r="E21" i="38"/>
  <c r="E16" i="38"/>
  <c r="E15" i="38"/>
  <c r="E12" i="38"/>
  <c r="E11" i="38"/>
  <c r="D42" i="38"/>
  <c r="D41" i="38"/>
  <c r="D38" i="38"/>
  <c r="D37" i="38"/>
  <c r="D34" i="38"/>
  <c r="D33" i="38"/>
  <c r="D31" i="38"/>
  <c r="D30" i="38"/>
  <c r="D28" i="38"/>
  <c r="D27" i="38"/>
  <c r="D25" i="38"/>
  <c r="D24" i="38"/>
  <c r="D22" i="38"/>
  <c r="D21" i="38"/>
  <c r="D16" i="38"/>
  <c r="D15" i="38"/>
  <c r="D12" i="38"/>
  <c r="D11" i="38"/>
  <c r="C42" i="38"/>
  <c r="C41" i="38"/>
  <c r="C38" i="38"/>
  <c r="C37" i="38"/>
  <c r="C34" i="38"/>
  <c r="C33" i="38"/>
  <c r="C31" i="38"/>
  <c r="C30" i="38"/>
  <c r="C28" i="38"/>
  <c r="C27" i="38"/>
  <c r="C25" i="38"/>
  <c r="C24" i="38"/>
  <c r="C22" i="38"/>
  <c r="C21" i="38"/>
  <c r="C16" i="38"/>
  <c r="C15" i="38"/>
  <c r="C12" i="38"/>
  <c r="C11" i="38"/>
  <c r="M42" i="37"/>
  <c r="M41" i="37"/>
  <c r="M38" i="37"/>
  <c r="M37" i="37"/>
  <c r="M34" i="37"/>
  <c r="M33" i="37"/>
  <c r="M31" i="37"/>
  <c r="M30" i="37"/>
  <c r="M28" i="37"/>
  <c r="M27" i="37"/>
  <c r="M25" i="37"/>
  <c r="M24" i="37"/>
  <c r="M22" i="37"/>
  <c r="M21" i="37"/>
  <c r="M16" i="37"/>
  <c r="M15" i="37"/>
  <c r="M12" i="37"/>
  <c r="M11" i="37"/>
  <c r="L42" i="37"/>
  <c r="L41" i="37"/>
  <c r="L38" i="37"/>
  <c r="L37" i="37"/>
  <c r="L34" i="37"/>
  <c r="L33" i="37"/>
  <c r="L31" i="37"/>
  <c r="L30" i="37"/>
  <c r="L28" i="37"/>
  <c r="L27" i="37"/>
  <c r="L25" i="37"/>
  <c r="L24" i="37"/>
  <c r="L22" i="37"/>
  <c r="L21" i="37"/>
  <c r="L16" i="37"/>
  <c r="L15" i="37"/>
  <c r="L12" i="37"/>
  <c r="L11" i="37"/>
  <c r="K42" i="37"/>
  <c r="K41" i="37"/>
  <c r="K38" i="37"/>
  <c r="K37" i="37"/>
  <c r="K34" i="37"/>
  <c r="K33" i="37"/>
  <c r="K31" i="37"/>
  <c r="K30" i="37"/>
  <c r="K28" i="37"/>
  <c r="K27" i="37"/>
  <c r="K25" i="37"/>
  <c r="K24" i="37"/>
  <c r="K22" i="37"/>
  <c r="K21" i="37"/>
  <c r="K16" i="37"/>
  <c r="K15" i="37"/>
  <c r="K12" i="37"/>
  <c r="K11" i="37"/>
  <c r="J42" i="37"/>
  <c r="J41" i="37"/>
  <c r="J38" i="37"/>
  <c r="J37" i="37"/>
  <c r="J34" i="37"/>
  <c r="J33" i="37"/>
  <c r="J31" i="37"/>
  <c r="J30" i="37"/>
  <c r="J28" i="37"/>
  <c r="J27" i="37"/>
  <c r="J25" i="37"/>
  <c r="J24" i="37"/>
  <c r="J22" i="37"/>
  <c r="J21" i="37"/>
  <c r="J16" i="37"/>
  <c r="J15" i="37"/>
  <c r="J12" i="37"/>
  <c r="J11" i="37"/>
  <c r="I42" i="37"/>
  <c r="I41" i="37"/>
  <c r="I38" i="37"/>
  <c r="I37" i="37"/>
  <c r="I34" i="37"/>
  <c r="I33" i="37"/>
  <c r="I31" i="37"/>
  <c r="I30" i="37"/>
  <c r="I28" i="37"/>
  <c r="I27" i="37"/>
  <c r="I25" i="37"/>
  <c r="I24" i="37"/>
  <c r="I22" i="37"/>
  <c r="I21" i="37"/>
  <c r="I16" i="37"/>
  <c r="I15" i="37"/>
  <c r="I12" i="37"/>
  <c r="I11" i="37"/>
  <c r="H42" i="37"/>
  <c r="H41" i="37"/>
  <c r="H38" i="37"/>
  <c r="H37" i="37"/>
  <c r="H34" i="37"/>
  <c r="H33" i="37"/>
  <c r="H31" i="37"/>
  <c r="H30" i="37"/>
  <c r="H28" i="37"/>
  <c r="H27" i="37"/>
  <c r="H25" i="37"/>
  <c r="H24" i="37"/>
  <c r="H22" i="37"/>
  <c r="H21" i="37"/>
  <c r="H16" i="37"/>
  <c r="H15" i="37"/>
  <c r="H12" i="37"/>
  <c r="H11" i="37"/>
  <c r="G42" i="37"/>
  <c r="G41" i="37"/>
  <c r="G38" i="37"/>
  <c r="G37" i="37"/>
  <c r="G34" i="37"/>
  <c r="G33" i="37"/>
  <c r="G31" i="37"/>
  <c r="G30" i="37"/>
  <c r="G28" i="37"/>
  <c r="G27" i="37"/>
  <c r="G25" i="37"/>
  <c r="G24" i="37"/>
  <c r="G22" i="37"/>
  <c r="G21" i="37"/>
  <c r="G16" i="37"/>
  <c r="G15" i="37"/>
  <c r="G12" i="37"/>
  <c r="G11" i="37"/>
  <c r="F42" i="37"/>
  <c r="F41" i="37"/>
  <c r="F38" i="37"/>
  <c r="F37" i="37"/>
  <c r="F34" i="37"/>
  <c r="F33" i="37"/>
  <c r="F31" i="37"/>
  <c r="F30" i="37"/>
  <c r="F25" i="37"/>
  <c r="F24" i="37"/>
  <c r="F22" i="37"/>
  <c r="F21" i="37"/>
  <c r="F16" i="37"/>
  <c r="F15" i="37"/>
  <c r="F12" i="37"/>
  <c r="F11" i="37"/>
  <c r="E42" i="37"/>
  <c r="E41" i="37"/>
  <c r="E38" i="37"/>
  <c r="E37" i="37"/>
  <c r="E22" i="37"/>
  <c r="E21" i="37"/>
  <c r="E16" i="37"/>
  <c r="E15" i="37"/>
  <c r="E12" i="37"/>
  <c r="E11" i="37"/>
  <c r="D42" i="37"/>
  <c r="D41" i="37"/>
  <c r="D38" i="37"/>
  <c r="D37" i="37"/>
  <c r="D34" i="37"/>
  <c r="D33" i="37"/>
  <c r="D31" i="37"/>
  <c r="D30" i="37"/>
  <c r="D28" i="37"/>
  <c r="D27" i="37"/>
  <c r="D25" i="37"/>
  <c r="D24" i="37"/>
  <c r="D22" i="37"/>
  <c r="D21" i="37"/>
  <c r="D16" i="37"/>
  <c r="D15" i="37"/>
  <c r="D12" i="37"/>
  <c r="D11" i="37"/>
  <c r="C42" i="37"/>
  <c r="C41" i="37"/>
  <c r="C38" i="37"/>
  <c r="C37" i="37"/>
  <c r="C34" i="37"/>
  <c r="C33" i="37"/>
  <c r="C31" i="37"/>
  <c r="C30" i="37"/>
  <c r="C28" i="37"/>
  <c r="C27" i="37"/>
  <c r="C25" i="37"/>
  <c r="C24" i="37"/>
  <c r="C22" i="37"/>
  <c r="C21" i="37"/>
  <c r="C16" i="37"/>
  <c r="C15" i="37"/>
  <c r="C12" i="37"/>
  <c r="C11" i="37"/>
  <c r="M42" i="36"/>
  <c r="M41" i="36"/>
  <c r="M38" i="36"/>
  <c r="M37" i="36"/>
  <c r="M34" i="36"/>
  <c r="M33" i="36"/>
  <c r="M31" i="36"/>
  <c r="M30" i="36"/>
  <c r="M28" i="36"/>
  <c r="M27" i="36"/>
  <c r="M25" i="36"/>
  <c r="M24" i="36"/>
  <c r="M22" i="36"/>
  <c r="M21" i="36"/>
  <c r="M16" i="36"/>
  <c r="M15" i="36"/>
  <c r="M12" i="36"/>
  <c r="M11" i="36"/>
  <c r="L42" i="36"/>
  <c r="L41" i="36"/>
  <c r="L38" i="36"/>
  <c r="L37" i="36"/>
  <c r="L34" i="36"/>
  <c r="L33" i="36"/>
  <c r="L31" i="36"/>
  <c r="L30" i="36"/>
  <c r="L28" i="36"/>
  <c r="L27" i="36"/>
  <c r="L25" i="36"/>
  <c r="L24" i="36"/>
  <c r="L22" i="36"/>
  <c r="L21" i="36"/>
  <c r="L16" i="36"/>
  <c r="L15" i="36"/>
  <c r="L12" i="36"/>
  <c r="L11" i="36"/>
  <c r="K42" i="36"/>
  <c r="K41" i="36"/>
  <c r="K38" i="36"/>
  <c r="K37" i="36"/>
  <c r="K34" i="36"/>
  <c r="K33" i="36"/>
  <c r="K31" i="36"/>
  <c r="K30" i="36"/>
  <c r="K28" i="36"/>
  <c r="K27" i="36"/>
  <c r="K25" i="36"/>
  <c r="K24" i="36"/>
  <c r="K22" i="36"/>
  <c r="K21" i="36"/>
  <c r="K16" i="36"/>
  <c r="K15" i="36"/>
  <c r="K12" i="36"/>
  <c r="K11" i="36"/>
  <c r="J42" i="36"/>
  <c r="J41" i="36"/>
  <c r="J38" i="36"/>
  <c r="J37" i="36"/>
  <c r="J34" i="36"/>
  <c r="J33" i="36"/>
  <c r="J31" i="36"/>
  <c r="J30" i="36"/>
  <c r="J28" i="36"/>
  <c r="J27" i="36"/>
  <c r="J25" i="36"/>
  <c r="J24" i="36"/>
  <c r="J22" i="36"/>
  <c r="J21" i="36"/>
  <c r="J16" i="36"/>
  <c r="J15" i="36"/>
  <c r="J12" i="36"/>
  <c r="J11" i="36"/>
  <c r="I42" i="36"/>
  <c r="I41" i="36"/>
  <c r="I38" i="36"/>
  <c r="I37" i="36"/>
  <c r="I34" i="36"/>
  <c r="I33" i="36"/>
  <c r="I31" i="36"/>
  <c r="I30" i="36"/>
  <c r="I28" i="36"/>
  <c r="I27" i="36"/>
  <c r="I25" i="36"/>
  <c r="I24" i="36"/>
  <c r="I22" i="36"/>
  <c r="I21" i="36"/>
  <c r="I16" i="36"/>
  <c r="I15" i="36"/>
  <c r="I12" i="36"/>
  <c r="I11" i="36"/>
  <c r="H42" i="36"/>
  <c r="H41" i="36"/>
  <c r="H38" i="36"/>
  <c r="H37" i="36"/>
  <c r="H34" i="36"/>
  <c r="H33" i="36"/>
  <c r="H31" i="36"/>
  <c r="H30" i="36"/>
  <c r="H28" i="36"/>
  <c r="H27" i="36"/>
  <c r="H25" i="36"/>
  <c r="H24" i="36"/>
  <c r="H22" i="36"/>
  <c r="H21" i="36"/>
  <c r="H16" i="36"/>
  <c r="H15" i="36"/>
  <c r="H12" i="36"/>
  <c r="H11" i="36"/>
  <c r="G42" i="36"/>
  <c r="G41" i="36"/>
  <c r="G38" i="36"/>
  <c r="G37" i="36"/>
  <c r="G34" i="36"/>
  <c r="G33" i="36"/>
  <c r="G31" i="36"/>
  <c r="G30" i="36"/>
  <c r="G28" i="36"/>
  <c r="G27" i="36"/>
  <c r="G25" i="36"/>
  <c r="G24" i="36"/>
  <c r="G22" i="36"/>
  <c r="G21" i="36"/>
  <c r="G16" i="36"/>
  <c r="G15" i="36"/>
  <c r="G12" i="36"/>
  <c r="G11" i="36"/>
  <c r="F42" i="36"/>
  <c r="F41" i="36"/>
  <c r="F38" i="36"/>
  <c r="F37" i="36"/>
  <c r="F34" i="36"/>
  <c r="F33" i="36"/>
  <c r="F31" i="36"/>
  <c r="F30" i="36"/>
  <c r="F28" i="36"/>
  <c r="F27" i="36"/>
  <c r="F25" i="36"/>
  <c r="F24" i="36"/>
  <c r="F22" i="36"/>
  <c r="F21" i="36"/>
  <c r="F16" i="36"/>
  <c r="F15" i="36"/>
  <c r="F12" i="36"/>
  <c r="F11" i="36"/>
  <c r="E42" i="36"/>
  <c r="E41" i="36"/>
  <c r="E34" i="36"/>
  <c r="E33" i="36"/>
  <c r="E31" i="36"/>
  <c r="E30" i="36"/>
  <c r="E28" i="36"/>
  <c r="E27" i="36"/>
  <c r="E25" i="36"/>
  <c r="E24" i="36"/>
  <c r="E22" i="36"/>
  <c r="E21" i="36"/>
  <c r="E16" i="36"/>
  <c r="E15" i="36"/>
  <c r="D42" i="36"/>
  <c r="D41" i="36"/>
  <c r="D38" i="36"/>
  <c r="D37" i="36"/>
  <c r="D34" i="36"/>
  <c r="D33" i="36"/>
  <c r="D31" i="36"/>
  <c r="D30" i="36"/>
  <c r="D28" i="36"/>
  <c r="D27" i="36"/>
  <c r="D25" i="36"/>
  <c r="D24" i="36"/>
  <c r="D22" i="36"/>
  <c r="D21" i="36"/>
  <c r="D16" i="36"/>
  <c r="D15" i="36"/>
  <c r="D12" i="36"/>
  <c r="D11" i="36"/>
  <c r="C42" i="36"/>
  <c r="C41" i="36"/>
  <c r="C38" i="36"/>
  <c r="C37" i="36"/>
  <c r="C34" i="36"/>
  <c r="C33" i="36"/>
  <c r="C31" i="36"/>
  <c r="C30" i="36"/>
  <c r="C28" i="36"/>
  <c r="C27" i="36"/>
  <c r="C25" i="36"/>
  <c r="C24" i="36"/>
  <c r="C22" i="36"/>
  <c r="C21" i="36"/>
  <c r="C16" i="36"/>
  <c r="C15" i="36"/>
  <c r="C12" i="36"/>
  <c r="C11" i="36"/>
  <c r="M42" i="35"/>
  <c r="M41" i="35"/>
  <c r="M38" i="35"/>
  <c r="M37" i="35"/>
  <c r="M34" i="35"/>
  <c r="M33" i="35"/>
  <c r="M31" i="35"/>
  <c r="M30" i="35"/>
  <c r="M28" i="35"/>
  <c r="M27" i="35"/>
  <c r="M25" i="35"/>
  <c r="M24" i="35"/>
  <c r="M22" i="35"/>
  <c r="M21" i="35"/>
  <c r="M16" i="35"/>
  <c r="M15" i="35"/>
  <c r="M12" i="35"/>
  <c r="M11" i="35"/>
  <c r="L42" i="35"/>
  <c r="L41" i="35"/>
  <c r="L38" i="35"/>
  <c r="L37" i="35"/>
  <c r="L34" i="35"/>
  <c r="L33" i="35"/>
  <c r="L31" i="35"/>
  <c r="L30" i="35"/>
  <c r="L28" i="35"/>
  <c r="L27" i="35"/>
  <c r="L25" i="35"/>
  <c r="L24" i="35"/>
  <c r="L22" i="35"/>
  <c r="L21" i="35"/>
  <c r="L16" i="35"/>
  <c r="L15" i="35"/>
  <c r="L12" i="35"/>
  <c r="L11" i="35"/>
  <c r="K42" i="35"/>
  <c r="K41" i="35"/>
  <c r="K38" i="35"/>
  <c r="K37" i="35"/>
  <c r="K34" i="35"/>
  <c r="K33" i="35"/>
  <c r="K31" i="35"/>
  <c r="K30" i="35"/>
  <c r="K28" i="35"/>
  <c r="K27" i="35"/>
  <c r="K25" i="35"/>
  <c r="K24" i="35"/>
  <c r="K22" i="35"/>
  <c r="K21" i="35"/>
  <c r="K16" i="35"/>
  <c r="K15" i="35"/>
  <c r="K12" i="35"/>
  <c r="K11" i="35"/>
  <c r="J42" i="35"/>
  <c r="J41" i="35"/>
  <c r="J38" i="35"/>
  <c r="J37" i="35"/>
  <c r="J34" i="35"/>
  <c r="J33" i="35"/>
  <c r="J31" i="35"/>
  <c r="J30" i="35"/>
  <c r="J28" i="35"/>
  <c r="J27" i="35"/>
  <c r="J25" i="35"/>
  <c r="J24" i="35"/>
  <c r="J22" i="35"/>
  <c r="J21" i="35"/>
  <c r="J16" i="35"/>
  <c r="J15" i="35"/>
  <c r="J12" i="35"/>
  <c r="J11" i="35"/>
  <c r="I42" i="35"/>
  <c r="I41" i="35"/>
  <c r="I38" i="35"/>
  <c r="I37" i="35"/>
  <c r="I34" i="35"/>
  <c r="I33" i="35"/>
  <c r="I31" i="35"/>
  <c r="I30" i="35"/>
  <c r="I28" i="35"/>
  <c r="I27" i="35"/>
  <c r="I25" i="35"/>
  <c r="I24" i="35"/>
  <c r="I22" i="35"/>
  <c r="I21" i="35"/>
  <c r="I16" i="35"/>
  <c r="I15" i="35"/>
  <c r="I12" i="35"/>
  <c r="I11" i="35"/>
  <c r="H42" i="35"/>
  <c r="H41" i="35"/>
  <c r="H38" i="35"/>
  <c r="H37" i="35"/>
  <c r="H34" i="35"/>
  <c r="H33" i="35"/>
  <c r="H31" i="35"/>
  <c r="H30" i="35"/>
  <c r="H28" i="35"/>
  <c r="H27" i="35"/>
  <c r="H25" i="35"/>
  <c r="H24" i="35"/>
  <c r="H22" i="35"/>
  <c r="H21" i="35"/>
  <c r="H16" i="35"/>
  <c r="H15" i="35"/>
  <c r="H12" i="35"/>
  <c r="H11" i="35"/>
  <c r="G42" i="35"/>
  <c r="G41" i="35"/>
  <c r="G38" i="35"/>
  <c r="G37" i="35"/>
  <c r="G34" i="35"/>
  <c r="G33" i="35"/>
  <c r="G31" i="35"/>
  <c r="G30" i="35"/>
  <c r="G28" i="35"/>
  <c r="G27" i="35"/>
  <c r="G25" i="35"/>
  <c r="G24" i="35"/>
  <c r="G22" i="35"/>
  <c r="G21" i="35"/>
  <c r="G16" i="35"/>
  <c r="G15" i="35"/>
  <c r="G12" i="35"/>
  <c r="G11" i="35"/>
  <c r="F42" i="35"/>
  <c r="F41" i="35"/>
  <c r="F38" i="35"/>
  <c r="F37" i="35"/>
  <c r="F34" i="35"/>
  <c r="F33" i="35"/>
  <c r="F31" i="35"/>
  <c r="F30" i="35"/>
  <c r="F28" i="35"/>
  <c r="F27" i="35"/>
  <c r="F25" i="35"/>
  <c r="F24" i="35"/>
  <c r="F22" i="35"/>
  <c r="F21" i="35"/>
  <c r="F16" i="35"/>
  <c r="F15" i="35"/>
  <c r="F12" i="35"/>
  <c r="F11" i="35"/>
  <c r="E42" i="35"/>
  <c r="E41" i="35"/>
  <c r="E38" i="35"/>
  <c r="E37" i="35"/>
  <c r="E34" i="35"/>
  <c r="E33" i="35"/>
  <c r="E28" i="35"/>
  <c r="E27" i="35"/>
  <c r="E25" i="35"/>
  <c r="E24" i="35"/>
  <c r="E22" i="35"/>
  <c r="E21" i="35"/>
  <c r="E16" i="35"/>
  <c r="E15" i="35"/>
  <c r="E12" i="35"/>
  <c r="E11" i="35"/>
  <c r="D22" i="35"/>
  <c r="D21" i="35"/>
  <c r="D16" i="35"/>
  <c r="D15" i="35"/>
  <c r="C42" i="35"/>
  <c r="C41" i="35"/>
  <c r="C38" i="35"/>
  <c r="C37" i="35"/>
  <c r="C28" i="35"/>
  <c r="C27" i="35"/>
  <c r="M42" i="34"/>
  <c r="M41" i="34"/>
  <c r="M38" i="34"/>
  <c r="M37" i="34"/>
  <c r="M34" i="34"/>
  <c r="M33" i="34"/>
  <c r="M31" i="34"/>
  <c r="M30" i="34"/>
  <c r="M28" i="34"/>
  <c r="M27" i="34"/>
  <c r="M25" i="34"/>
  <c r="M24" i="34"/>
  <c r="M22" i="34"/>
  <c r="M21" i="34"/>
  <c r="M16" i="34"/>
  <c r="M15" i="34"/>
  <c r="M12" i="34"/>
  <c r="M11" i="34"/>
  <c r="L42" i="34"/>
  <c r="L41" i="34"/>
  <c r="L38" i="34"/>
  <c r="L37" i="34"/>
  <c r="L16" i="34"/>
  <c r="L15" i="34"/>
  <c r="K42" i="34"/>
  <c r="K41" i="34"/>
  <c r="K38" i="34"/>
  <c r="K37" i="34"/>
  <c r="K16" i="34"/>
  <c r="K15" i="34"/>
  <c r="J42" i="34"/>
  <c r="J41" i="34"/>
  <c r="J38" i="34"/>
  <c r="J37" i="34"/>
  <c r="J16" i="34"/>
  <c r="J15" i="34"/>
  <c r="I42" i="34"/>
  <c r="I41" i="34"/>
  <c r="I38" i="34"/>
  <c r="I37" i="34"/>
  <c r="I16" i="34"/>
  <c r="I15" i="34"/>
  <c r="H42" i="34"/>
  <c r="H41" i="34"/>
  <c r="H38" i="34"/>
  <c r="H37" i="34"/>
  <c r="H16" i="34"/>
  <c r="H15" i="34"/>
  <c r="G42" i="34"/>
  <c r="G41" i="34"/>
  <c r="G38" i="34"/>
  <c r="G37" i="34"/>
  <c r="G16" i="34"/>
  <c r="G15" i="34"/>
  <c r="F42" i="34"/>
  <c r="F41" i="34"/>
  <c r="F38" i="34"/>
  <c r="F37" i="34"/>
  <c r="F16" i="34"/>
  <c r="F15" i="34"/>
  <c r="E42" i="34"/>
  <c r="E41" i="34"/>
  <c r="E38" i="34"/>
  <c r="E37" i="34"/>
  <c r="E28" i="34"/>
  <c r="E27" i="34"/>
  <c r="E16" i="34"/>
  <c r="E15" i="34"/>
  <c r="D42" i="34"/>
  <c r="D41" i="34"/>
  <c r="D38" i="34"/>
  <c r="D37" i="34"/>
  <c r="D31" i="34"/>
  <c r="D30" i="34"/>
  <c r="D28" i="34"/>
  <c r="D27" i="34"/>
  <c r="D25" i="34"/>
  <c r="D24" i="34"/>
  <c r="D16" i="34"/>
  <c r="D15" i="34"/>
  <c r="C42" i="34"/>
  <c r="C41" i="34"/>
  <c r="C38" i="34"/>
  <c r="C37" i="34"/>
  <c r="C31" i="34"/>
  <c r="C30" i="34"/>
  <c r="C28" i="34"/>
  <c r="C27" i="34"/>
  <c r="C25" i="34"/>
  <c r="C24" i="34"/>
  <c r="C16" i="34"/>
  <c r="C15" i="34"/>
  <c r="M42" i="33"/>
  <c r="M41" i="33"/>
  <c r="M38" i="33"/>
  <c r="M37" i="33"/>
  <c r="M34" i="33"/>
  <c r="M33" i="33"/>
  <c r="M31" i="33"/>
  <c r="M30" i="33"/>
  <c r="M28" i="33"/>
  <c r="M27" i="33"/>
  <c r="M25" i="33"/>
  <c r="M24" i="33"/>
  <c r="M22" i="33"/>
  <c r="M21" i="33"/>
  <c r="M16" i="33"/>
  <c r="M15" i="33"/>
  <c r="M12" i="33"/>
  <c r="M11" i="33"/>
  <c r="L42" i="33"/>
  <c r="L41" i="33"/>
  <c r="L38" i="33"/>
  <c r="L37" i="33"/>
  <c r="L34" i="33"/>
  <c r="L33" i="33"/>
  <c r="L31" i="33"/>
  <c r="L30" i="33"/>
  <c r="L28" i="33"/>
  <c r="L27" i="33"/>
  <c r="L25" i="33"/>
  <c r="L24" i="33"/>
  <c r="L22" i="33"/>
  <c r="L21" i="33"/>
  <c r="L16" i="33"/>
  <c r="L15" i="33"/>
  <c r="L12" i="33"/>
  <c r="L11" i="33"/>
  <c r="K42" i="33"/>
  <c r="K41" i="33"/>
  <c r="K38" i="33"/>
  <c r="K37" i="33"/>
  <c r="K34" i="33"/>
  <c r="K33" i="33"/>
  <c r="K31" i="33"/>
  <c r="K30" i="33"/>
  <c r="K28" i="33"/>
  <c r="K27" i="33"/>
  <c r="K25" i="33"/>
  <c r="K24" i="33"/>
  <c r="K22" i="33"/>
  <c r="K21" i="33"/>
  <c r="K16" i="33"/>
  <c r="K15" i="33"/>
  <c r="K12" i="33"/>
  <c r="K11" i="33"/>
  <c r="J42" i="33"/>
  <c r="J41" i="33"/>
  <c r="J38" i="33"/>
  <c r="J37" i="33"/>
  <c r="J34" i="33"/>
  <c r="J33" i="33"/>
  <c r="J31" i="33"/>
  <c r="J30" i="33"/>
  <c r="J28" i="33"/>
  <c r="J27" i="33"/>
  <c r="J25" i="33"/>
  <c r="J24" i="33"/>
  <c r="J22" i="33"/>
  <c r="J21" i="33"/>
  <c r="J16" i="33"/>
  <c r="J15" i="33"/>
  <c r="J12" i="33"/>
  <c r="J11" i="33"/>
  <c r="I42" i="33"/>
  <c r="I41" i="33"/>
  <c r="I38" i="33"/>
  <c r="I37" i="33"/>
  <c r="I34" i="33"/>
  <c r="I33" i="33"/>
  <c r="I31" i="33"/>
  <c r="I30" i="33"/>
  <c r="I28" i="33"/>
  <c r="I27" i="33"/>
  <c r="I25" i="33"/>
  <c r="I24" i="33"/>
  <c r="I22" i="33"/>
  <c r="I21" i="33"/>
  <c r="I16" i="33"/>
  <c r="I15" i="33"/>
  <c r="I12" i="33"/>
  <c r="I11" i="33"/>
  <c r="H42" i="33"/>
  <c r="H41" i="33"/>
  <c r="H38" i="33"/>
  <c r="H37" i="33"/>
  <c r="H34" i="33"/>
  <c r="H33" i="33"/>
  <c r="H31" i="33"/>
  <c r="H30" i="33"/>
  <c r="H28" i="33"/>
  <c r="H27" i="33"/>
  <c r="H25" i="33"/>
  <c r="H24" i="33"/>
  <c r="H22" i="33"/>
  <c r="H21" i="33"/>
  <c r="H16" i="33"/>
  <c r="H15" i="33"/>
  <c r="H12" i="33"/>
  <c r="H11" i="33"/>
  <c r="G42" i="33"/>
  <c r="G41" i="33"/>
  <c r="G38" i="33"/>
  <c r="G37" i="33"/>
  <c r="G34" i="33"/>
  <c r="G33" i="33"/>
  <c r="G31" i="33"/>
  <c r="G30" i="33"/>
  <c r="G28" i="33"/>
  <c r="G27" i="33"/>
  <c r="G25" i="33"/>
  <c r="G24" i="33"/>
  <c r="G22" i="33"/>
  <c r="G21" i="33"/>
  <c r="G16" i="33"/>
  <c r="G15" i="33"/>
  <c r="G12" i="33"/>
  <c r="G11" i="33"/>
  <c r="F42" i="33"/>
  <c r="F41" i="33"/>
  <c r="F38" i="33"/>
  <c r="F37" i="33"/>
  <c r="F34" i="33"/>
  <c r="F33" i="33"/>
  <c r="F31" i="33"/>
  <c r="F30" i="33"/>
  <c r="F28" i="33"/>
  <c r="F27" i="33"/>
  <c r="F25" i="33"/>
  <c r="F24" i="33"/>
  <c r="F22" i="33"/>
  <c r="F21" i="33"/>
  <c r="F16" i="33"/>
  <c r="F15" i="33"/>
  <c r="F12" i="33"/>
  <c r="F11" i="33"/>
  <c r="E42" i="33"/>
  <c r="E41" i="33"/>
  <c r="E38" i="33"/>
  <c r="E37" i="33"/>
  <c r="E34" i="33"/>
  <c r="E33" i="33"/>
  <c r="E31" i="33"/>
  <c r="E30" i="33"/>
  <c r="E28" i="33"/>
  <c r="E27" i="33"/>
  <c r="E25" i="33"/>
  <c r="E24" i="33"/>
  <c r="E22" i="33"/>
  <c r="E21" i="33"/>
  <c r="E16" i="33"/>
  <c r="E15" i="33"/>
  <c r="E12" i="33"/>
  <c r="E11" i="33"/>
  <c r="D42" i="33"/>
  <c r="D41" i="33"/>
  <c r="D38" i="33"/>
  <c r="D37" i="33"/>
  <c r="D34" i="33"/>
  <c r="D33" i="33"/>
  <c r="D31" i="33"/>
  <c r="D30" i="33"/>
  <c r="D28" i="33"/>
  <c r="D27" i="33"/>
  <c r="D25" i="33"/>
  <c r="D24" i="33"/>
  <c r="D22" i="33"/>
  <c r="D21" i="33"/>
  <c r="D16" i="33"/>
  <c r="D15" i="33"/>
  <c r="D12" i="33"/>
  <c r="D11" i="33"/>
  <c r="C42" i="33"/>
  <c r="C41" i="33"/>
  <c r="C38" i="33"/>
  <c r="C37" i="33"/>
  <c r="C34" i="33"/>
  <c r="C33" i="33"/>
  <c r="C31" i="33"/>
  <c r="C30" i="33"/>
  <c r="C28" i="33"/>
  <c r="C27" i="33"/>
  <c r="C25" i="33"/>
  <c r="C24" i="33"/>
  <c r="C22" i="33"/>
  <c r="C21" i="33"/>
  <c r="C16" i="33"/>
  <c r="C15" i="33"/>
  <c r="C12" i="33"/>
  <c r="C11" i="33"/>
  <c r="M42" i="32"/>
  <c r="M41" i="32"/>
  <c r="M38" i="32"/>
  <c r="M37" i="32"/>
  <c r="M34" i="32"/>
  <c r="M33" i="32"/>
  <c r="M31" i="32"/>
  <c r="M30" i="32"/>
  <c r="M28" i="32"/>
  <c r="M27" i="32"/>
  <c r="M25" i="32"/>
  <c r="M24" i="32"/>
  <c r="M22" i="32"/>
  <c r="M21" i="32"/>
  <c r="M16" i="32"/>
  <c r="M15" i="32"/>
  <c r="M12" i="32"/>
  <c r="M11" i="32"/>
  <c r="L42" i="32"/>
  <c r="L41" i="32"/>
  <c r="L38" i="32"/>
  <c r="L37" i="32"/>
  <c r="L34" i="32"/>
  <c r="L33" i="32"/>
  <c r="L31" i="32"/>
  <c r="L30" i="32"/>
  <c r="L28" i="32"/>
  <c r="L27" i="32"/>
  <c r="L25" i="32"/>
  <c r="L24" i="32"/>
  <c r="L22" i="32"/>
  <c r="L21" i="32"/>
  <c r="L16" i="32"/>
  <c r="L15" i="32"/>
  <c r="L12" i="32"/>
  <c r="L11" i="32"/>
  <c r="K42" i="32"/>
  <c r="K41" i="32"/>
  <c r="K38" i="32"/>
  <c r="K37" i="32"/>
  <c r="K34" i="32"/>
  <c r="K33" i="32"/>
  <c r="K31" i="32"/>
  <c r="K30" i="32"/>
  <c r="K28" i="32"/>
  <c r="K27" i="32"/>
  <c r="K25" i="32"/>
  <c r="K24" i="32"/>
  <c r="K22" i="32"/>
  <c r="K21" i="32"/>
  <c r="K16" i="32"/>
  <c r="K15" i="32"/>
  <c r="K12" i="32"/>
  <c r="K11" i="32"/>
  <c r="J42" i="32"/>
  <c r="J41" i="32"/>
  <c r="J38" i="32"/>
  <c r="J37" i="32"/>
  <c r="J34" i="32"/>
  <c r="J33" i="32"/>
  <c r="J31" i="32"/>
  <c r="J30" i="32"/>
  <c r="J28" i="32"/>
  <c r="J27" i="32"/>
  <c r="J25" i="32"/>
  <c r="J24" i="32"/>
  <c r="J22" i="32"/>
  <c r="J21" i="32"/>
  <c r="J16" i="32"/>
  <c r="J15" i="32"/>
  <c r="J12" i="32"/>
  <c r="J11" i="32"/>
  <c r="I42" i="32"/>
  <c r="I41" i="32"/>
  <c r="I38" i="32"/>
  <c r="I37" i="32"/>
  <c r="I34" i="32"/>
  <c r="I33" i="32"/>
  <c r="I31" i="32"/>
  <c r="I30" i="32"/>
  <c r="I28" i="32"/>
  <c r="I27" i="32"/>
  <c r="I25" i="32"/>
  <c r="I24" i="32"/>
  <c r="I22" i="32"/>
  <c r="I21" i="32"/>
  <c r="I16" i="32"/>
  <c r="I15" i="32"/>
  <c r="I12" i="32"/>
  <c r="I11" i="32"/>
  <c r="H42" i="32"/>
  <c r="H41" i="32"/>
  <c r="H38" i="32"/>
  <c r="H37" i="32"/>
  <c r="H34" i="32"/>
  <c r="H33" i="32"/>
  <c r="H31" i="32"/>
  <c r="H30" i="32"/>
  <c r="H28" i="32"/>
  <c r="H27" i="32"/>
  <c r="H25" i="32"/>
  <c r="H24" i="32"/>
  <c r="H22" i="32"/>
  <c r="H21" i="32"/>
  <c r="H16" i="32"/>
  <c r="H15" i="32"/>
  <c r="H12" i="32"/>
  <c r="H11" i="32"/>
  <c r="G42" i="32"/>
  <c r="G41" i="32"/>
  <c r="G38" i="32"/>
  <c r="G37" i="32"/>
  <c r="G34" i="32"/>
  <c r="G33" i="32"/>
  <c r="G31" i="32"/>
  <c r="G30" i="32"/>
  <c r="G28" i="32"/>
  <c r="G27" i="32"/>
  <c r="G25" i="32"/>
  <c r="G24" i="32"/>
  <c r="G22" i="32"/>
  <c r="G21" i="32"/>
  <c r="G16" i="32"/>
  <c r="G15" i="32"/>
  <c r="G12" i="32"/>
  <c r="G11" i="32"/>
  <c r="F42" i="32"/>
  <c r="F41" i="32"/>
  <c r="F38" i="32"/>
  <c r="F37" i="32"/>
  <c r="F34" i="32"/>
  <c r="F33" i="32"/>
  <c r="F31" i="32"/>
  <c r="F30" i="32"/>
  <c r="F28" i="32"/>
  <c r="F27" i="32"/>
  <c r="F25" i="32"/>
  <c r="F24" i="32"/>
  <c r="F22" i="32"/>
  <c r="F21" i="32"/>
  <c r="F16" i="32"/>
  <c r="F15" i="32"/>
  <c r="F12" i="32"/>
  <c r="F11" i="32"/>
  <c r="E42" i="32"/>
  <c r="E41" i="32"/>
  <c r="E38" i="32"/>
  <c r="E37" i="32"/>
  <c r="E34" i="32"/>
  <c r="E33" i="32"/>
  <c r="E31" i="32"/>
  <c r="E30" i="32"/>
  <c r="E28" i="32"/>
  <c r="E27" i="32"/>
  <c r="E25" i="32"/>
  <c r="E24" i="32"/>
  <c r="E22" i="32"/>
  <c r="E21" i="32"/>
  <c r="E16" i="32"/>
  <c r="E15" i="32"/>
  <c r="E12" i="32"/>
  <c r="E11" i="32"/>
  <c r="D42" i="32"/>
  <c r="D41" i="32"/>
  <c r="D38" i="32"/>
  <c r="D37" i="32"/>
  <c r="D34" i="32"/>
  <c r="D33" i="32"/>
  <c r="D31" i="32"/>
  <c r="D30" i="32"/>
  <c r="D28" i="32"/>
  <c r="D27" i="32"/>
  <c r="D25" i="32"/>
  <c r="D24" i="32"/>
  <c r="D22" i="32"/>
  <c r="D21" i="32"/>
  <c r="D16" i="32"/>
  <c r="D15" i="32"/>
  <c r="D12" i="32"/>
  <c r="D11" i="32"/>
  <c r="C42" i="32"/>
  <c r="C41" i="32"/>
  <c r="C38" i="32"/>
  <c r="C37" i="32"/>
  <c r="C34" i="32"/>
  <c r="C33" i="32"/>
  <c r="C31" i="32"/>
  <c r="C30" i="32"/>
  <c r="C28" i="32"/>
  <c r="C27" i="32"/>
  <c r="C25" i="32"/>
  <c r="C24" i="32"/>
  <c r="C22" i="32"/>
  <c r="C21" i="32"/>
  <c r="C16" i="32"/>
  <c r="C15" i="32"/>
  <c r="C12" i="32"/>
  <c r="C11" i="32"/>
  <c r="M42" i="31"/>
  <c r="M41" i="31"/>
  <c r="M38" i="31"/>
  <c r="M37" i="31"/>
  <c r="M34" i="31"/>
  <c r="M33" i="31"/>
  <c r="M31" i="31"/>
  <c r="M30" i="31"/>
  <c r="M28" i="31"/>
  <c r="M27" i="31"/>
  <c r="M25" i="31"/>
  <c r="M24" i="31"/>
  <c r="M22" i="31"/>
  <c r="M21" i="31"/>
  <c r="M16" i="31"/>
  <c r="M15" i="31"/>
  <c r="M12" i="31"/>
  <c r="M11" i="31"/>
  <c r="L42" i="31"/>
  <c r="L41" i="31"/>
  <c r="L38" i="31"/>
  <c r="L37" i="31"/>
  <c r="L34" i="31"/>
  <c r="L33" i="31"/>
  <c r="L31" i="31"/>
  <c r="L30" i="31"/>
  <c r="L28" i="31"/>
  <c r="L27" i="31"/>
  <c r="L25" i="31"/>
  <c r="L24" i="31"/>
  <c r="L22" i="31"/>
  <c r="L21" i="31"/>
  <c r="L16" i="31"/>
  <c r="L15" i="31"/>
  <c r="L12" i="31"/>
  <c r="L11" i="31"/>
  <c r="K42" i="31"/>
  <c r="K41" i="31"/>
  <c r="K38" i="31"/>
  <c r="K37" i="31"/>
  <c r="K34" i="31"/>
  <c r="K33" i="31"/>
  <c r="K31" i="31"/>
  <c r="K30" i="31"/>
  <c r="K28" i="31"/>
  <c r="K27" i="31"/>
  <c r="K25" i="31"/>
  <c r="K24" i="31"/>
  <c r="K22" i="31"/>
  <c r="K21" i="31"/>
  <c r="K16" i="31"/>
  <c r="K15" i="31"/>
  <c r="K12" i="31"/>
  <c r="K11" i="31"/>
  <c r="J42" i="31"/>
  <c r="J41" i="31"/>
  <c r="J38" i="31"/>
  <c r="J37" i="31"/>
  <c r="J34" i="31"/>
  <c r="J33" i="31"/>
  <c r="J31" i="31"/>
  <c r="J30" i="31"/>
  <c r="J28" i="31"/>
  <c r="J27" i="31"/>
  <c r="J25" i="31"/>
  <c r="J24" i="31"/>
  <c r="J22" i="31"/>
  <c r="J21" i="31"/>
  <c r="J16" i="31"/>
  <c r="J15" i="31"/>
  <c r="J12" i="31"/>
  <c r="J11" i="31"/>
  <c r="I42" i="31"/>
  <c r="I41" i="31"/>
  <c r="I38" i="31"/>
  <c r="I37" i="31"/>
  <c r="I34" i="31"/>
  <c r="I33" i="31"/>
  <c r="I31" i="31"/>
  <c r="I30" i="31"/>
  <c r="I28" i="31"/>
  <c r="I27" i="31"/>
  <c r="I25" i="31"/>
  <c r="I24" i="31"/>
  <c r="I22" i="31"/>
  <c r="I21" i="31"/>
  <c r="I16" i="31"/>
  <c r="I15" i="31"/>
  <c r="I12" i="31"/>
  <c r="I11" i="31"/>
  <c r="H42" i="31"/>
  <c r="H41" i="31"/>
  <c r="H38" i="31"/>
  <c r="H37" i="31"/>
  <c r="H34" i="31"/>
  <c r="H33" i="31"/>
  <c r="H31" i="31"/>
  <c r="H30" i="31"/>
  <c r="H28" i="31"/>
  <c r="H27" i="31"/>
  <c r="H25" i="31"/>
  <c r="H24" i="31"/>
  <c r="H22" i="31"/>
  <c r="H21" i="31"/>
  <c r="H16" i="31"/>
  <c r="H15" i="31"/>
  <c r="H12" i="31"/>
  <c r="H11" i="31"/>
  <c r="G42" i="31"/>
  <c r="G41" i="31"/>
  <c r="G38" i="31"/>
  <c r="G37" i="31"/>
  <c r="G34" i="31"/>
  <c r="G33" i="31"/>
  <c r="G31" i="31"/>
  <c r="G30" i="31"/>
  <c r="G28" i="31"/>
  <c r="G27" i="31"/>
  <c r="G25" i="31"/>
  <c r="G24" i="31"/>
  <c r="G22" i="31"/>
  <c r="G21" i="31"/>
  <c r="G16" i="31"/>
  <c r="G15" i="31"/>
  <c r="G12" i="31"/>
  <c r="G11" i="31"/>
  <c r="F42" i="31"/>
  <c r="F41" i="31"/>
  <c r="F38" i="31"/>
  <c r="F37" i="31"/>
  <c r="F34" i="31"/>
  <c r="F33" i="31"/>
  <c r="F31" i="31"/>
  <c r="F30" i="31"/>
  <c r="F28" i="31"/>
  <c r="F27" i="31"/>
  <c r="F25" i="31"/>
  <c r="F24" i="31"/>
  <c r="F22" i="31"/>
  <c r="F21" i="31"/>
  <c r="F16" i="31"/>
  <c r="F15" i="31"/>
  <c r="F12" i="31"/>
  <c r="F11" i="31"/>
  <c r="E42" i="31"/>
  <c r="E41" i="31"/>
  <c r="E38" i="31"/>
  <c r="E37" i="31"/>
  <c r="E34" i="31"/>
  <c r="E33" i="31"/>
  <c r="E31" i="31"/>
  <c r="E30" i="31"/>
  <c r="E28" i="31"/>
  <c r="E27" i="31"/>
  <c r="E25" i="31"/>
  <c r="E24" i="31"/>
  <c r="E22" i="31"/>
  <c r="E21" i="31"/>
  <c r="E16" i="31"/>
  <c r="E15" i="31"/>
  <c r="E12" i="31"/>
  <c r="E11" i="31"/>
  <c r="D42" i="31"/>
  <c r="D41" i="31"/>
  <c r="D38" i="31"/>
  <c r="D37" i="31"/>
  <c r="D34" i="31"/>
  <c r="D33" i="31"/>
  <c r="D31" i="31"/>
  <c r="D30" i="31"/>
  <c r="D28" i="31"/>
  <c r="D27" i="31"/>
  <c r="D25" i="31"/>
  <c r="D24" i="31"/>
  <c r="D22" i="31"/>
  <c r="D21" i="31"/>
  <c r="D16" i="31"/>
  <c r="D15" i="31"/>
  <c r="D12" i="31"/>
  <c r="D11" i="31"/>
  <c r="C42" i="31"/>
  <c r="C41" i="31"/>
  <c r="C38" i="31"/>
  <c r="C37" i="31"/>
  <c r="C34" i="31"/>
  <c r="C33" i="31"/>
  <c r="C31" i="31"/>
  <c r="C30" i="31"/>
  <c r="C28" i="31"/>
  <c r="C27" i="31"/>
  <c r="C25" i="31"/>
  <c r="C24" i="31"/>
  <c r="C22" i="31"/>
  <c r="C21" i="31"/>
  <c r="C16" i="31"/>
  <c r="C15" i="31"/>
  <c r="C12" i="31"/>
  <c r="C11" i="31"/>
  <c r="M42" i="30"/>
  <c r="M41" i="30"/>
  <c r="M38" i="30"/>
  <c r="M37" i="30"/>
  <c r="M34" i="30"/>
  <c r="M33" i="30"/>
  <c r="M31" i="30"/>
  <c r="M30" i="30"/>
  <c r="M28" i="30"/>
  <c r="M27" i="30"/>
  <c r="M25" i="30"/>
  <c r="M24" i="30"/>
  <c r="M22" i="30"/>
  <c r="M21" i="30"/>
  <c r="M16" i="30"/>
  <c r="M15" i="30"/>
  <c r="M12" i="30"/>
  <c r="M11" i="30"/>
  <c r="L42" i="30"/>
  <c r="L41" i="30"/>
  <c r="L38" i="30"/>
  <c r="L37" i="30"/>
  <c r="L34" i="30"/>
  <c r="L33" i="30"/>
  <c r="L31" i="30"/>
  <c r="L30" i="30"/>
  <c r="L28" i="30"/>
  <c r="L27" i="30"/>
  <c r="L25" i="30"/>
  <c r="L24" i="30"/>
  <c r="L22" i="30"/>
  <c r="L21" i="30"/>
  <c r="L16" i="30"/>
  <c r="L15" i="30"/>
  <c r="L12" i="30"/>
  <c r="L11" i="30"/>
  <c r="K42" i="30"/>
  <c r="K41" i="30"/>
  <c r="K38" i="30"/>
  <c r="K37" i="30"/>
  <c r="K34" i="30"/>
  <c r="K33" i="30"/>
  <c r="K31" i="30"/>
  <c r="K30" i="30"/>
  <c r="K28" i="30"/>
  <c r="K27" i="30"/>
  <c r="K25" i="30"/>
  <c r="K24" i="30"/>
  <c r="K22" i="30"/>
  <c r="K21" i="30"/>
  <c r="K16" i="30"/>
  <c r="K15" i="30"/>
  <c r="K12" i="30"/>
  <c r="K11" i="30"/>
  <c r="J42" i="30"/>
  <c r="J41" i="30"/>
  <c r="J38" i="30"/>
  <c r="J37" i="30"/>
  <c r="J34" i="30"/>
  <c r="J33" i="30"/>
  <c r="J31" i="30"/>
  <c r="J30" i="30"/>
  <c r="J28" i="30"/>
  <c r="J27" i="30"/>
  <c r="J25" i="30"/>
  <c r="J24" i="30"/>
  <c r="J22" i="30"/>
  <c r="J21" i="30"/>
  <c r="J16" i="30"/>
  <c r="J15" i="30"/>
  <c r="J12" i="30"/>
  <c r="J11" i="30"/>
  <c r="I42" i="30"/>
  <c r="I41" i="30"/>
  <c r="I38" i="30"/>
  <c r="I37" i="30"/>
  <c r="I34" i="30"/>
  <c r="I33" i="30"/>
  <c r="I31" i="30"/>
  <c r="I30" i="30"/>
  <c r="I28" i="30"/>
  <c r="I27" i="30"/>
  <c r="I25" i="30"/>
  <c r="I24" i="30"/>
  <c r="I22" i="30"/>
  <c r="I21" i="30"/>
  <c r="I16" i="30"/>
  <c r="I15" i="30"/>
  <c r="I12" i="30"/>
  <c r="I11" i="30"/>
  <c r="H42" i="30"/>
  <c r="H41" i="30"/>
  <c r="H38" i="30"/>
  <c r="H37" i="30"/>
  <c r="H34" i="30"/>
  <c r="H33" i="30"/>
  <c r="H31" i="30"/>
  <c r="H30" i="30"/>
  <c r="H28" i="30"/>
  <c r="H27" i="30"/>
  <c r="H25" i="30"/>
  <c r="H24" i="30"/>
  <c r="H22" i="30"/>
  <c r="H21" i="30"/>
  <c r="H16" i="30"/>
  <c r="H15" i="30"/>
  <c r="H12" i="30"/>
  <c r="H11" i="30"/>
  <c r="G42" i="30"/>
  <c r="G41" i="30"/>
  <c r="G38" i="30"/>
  <c r="G37" i="30"/>
  <c r="G34" i="30"/>
  <c r="G33" i="30"/>
  <c r="G31" i="30"/>
  <c r="G30" i="30"/>
  <c r="G28" i="30"/>
  <c r="G27" i="30"/>
  <c r="G25" i="30"/>
  <c r="G24" i="30"/>
  <c r="G22" i="30"/>
  <c r="G21" i="30"/>
  <c r="G16" i="30"/>
  <c r="G15" i="30"/>
  <c r="G12" i="30"/>
  <c r="G11" i="30"/>
  <c r="F42" i="30"/>
  <c r="F41" i="30"/>
  <c r="F38" i="30"/>
  <c r="F37" i="30"/>
  <c r="F34" i="30"/>
  <c r="F33" i="30"/>
  <c r="F31" i="30"/>
  <c r="F30" i="30"/>
  <c r="F28" i="30"/>
  <c r="F27" i="30"/>
  <c r="F25" i="30"/>
  <c r="F24" i="30"/>
  <c r="F22" i="30"/>
  <c r="F21" i="30"/>
  <c r="F16" i="30"/>
  <c r="F15" i="30"/>
  <c r="F12" i="30"/>
  <c r="F11" i="30"/>
  <c r="E42" i="30"/>
  <c r="E41" i="30"/>
  <c r="E38" i="30"/>
  <c r="E37" i="30"/>
  <c r="E34" i="30"/>
  <c r="E33" i="30"/>
  <c r="E31" i="30"/>
  <c r="E30" i="30"/>
  <c r="E28" i="30"/>
  <c r="E27" i="30"/>
  <c r="E25" i="30"/>
  <c r="E24" i="30"/>
  <c r="E22" i="30"/>
  <c r="E21" i="30"/>
  <c r="E16" i="30"/>
  <c r="E15" i="30"/>
  <c r="E12" i="30"/>
  <c r="E11" i="30"/>
  <c r="D42" i="30"/>
  <c r="D41" i="30"/>
  <c r="D38" i="30"/>
  <c r="D37" i="30"/>
  <c r="D34" i="30"/>
  <c r="D33" i="30"/>
  <c r="D31" i="30"/>
  <c r="D30" i="30"/>
  <c r="D28" i="30"/>
  <c r="D27" i="30"/>
  <c r="D25" i="30"/>
  <c r="D24" i="30"/>
  <c r="D22" i="30"/>
  <c r="D21" i="30"/>
  <c r="D16" i="30"/>
  <c r="D15" i="30"/>
  <c r="D12" i="30"/>
  <c r="D11" i="30"/>
  <c r="C42" i="30"/>
  <c r="C41" i="30"/>
  <c r="C38" i="30"/>
  <c r="C37" i="30"/>
  <c r="C34" i="30"/>
  <c r="C33" i="30"/>
  <c r="C31" i="30"/>
  <c r="C30" i="30"/>
  <c r="C28" i="30"/>
  <c r="C27" i="30"/>
  <c r="C25" i="30"/>
  <c r="C24" i="30"/>
  <c r="C22" i="30"/>
  <c r="C21" i="30"/>
  <c r="C16" i="30"/>
  <c r="C15" i="30"/>
  <c r="C12" i="30"/>
  <c r="C11" i="30"/>
  <c r="M42" i="29"/>
  <c r="M41" i="29"/>
  <c r="M38" i="29"/>
  <c r="M37" i="29"/>
  <c r="M34" i="29"/>
  <c r="M33" i="29"/>
  <c r="M31" i="29"/>
  <c r="M30" i="29"/>
  <c r="M28" i="29"/>
  <c r="M27" i="29"/>
  <c r="M25" i="29"/>
  <c r="M24" i="29"/>
  <c r="M22" i="29"/>
  <c r="M21" i="29"/>
  <c r="M16" i="29"/>
  <c r="M15" i="29"/>
  <c r="M12" i="29"/>
  <c r="M11" i="29"/>
  <c r="L42" i="29"/>
  <c r="L41" i="29"/>
  <c r="L38" i="29"/>
  <c r="L37" i="29"/>
  <c r="L34" i="29"/>
  <c r="L33" i="29"/>
  <c r="L31" i="29"/>
  <c r="L30" i="29"/>
  <c r="L28" i="29"/>
  <c r="L27" i="29"/>
  <c r="L25" i="29"/>
  <c r="L24" i="29"/>
  <c r="L22" i="29"/>
  <c r="L21" i="29"/>
  <c r="L16" i="29"/>
  <c r="L15" i="29"/>
  <c r="L12" i="29"/>
  <c r="L11" i="29"/>
  <c r="K42" i="29"/>
  <c r="K41" i="29"/>
  <c r="K38" i="29"/>
  <c r="K37" i="29"/>
  <c r="K34" i="29"/>
  <c r="K33" i="29"/>
  <c r="K31" i="29"/>
  <c r="K30" i="29"/>
  <c r="K28" i="29"/>
  <c r="K27" i="29"/>
  <c r="K25" i="29"/>
  <c r="K24" i="29"/>
  <c r="K22" i="29"/>
  <c r="K21" i="29"/>
  <c r="K16" i="29"/>
  <c r="K15" i="29"/>
  <c r="K12" i="29"/>
  <c r="K11" i="29"/>
  <c r="J42" i="29"/>
  <c r="J41" i="29"/>
  <c r="J38" i="29"/>
  <c r="J37" i="29"/>
  <c r="J34" i="29"/>
  <c r="J33" i="29"/>
  <c r="J31" i="29"/>
  <c r="J30" i="29"/>
  <c r="J28" i="29"/>
  <c r="J27" i="29"/>
  <c r="J25" i="29"/>
  <c r="J24" i="29"/>
  <c r="J22" i="29"/>
  <c r="J21" i="29"/>
  <c r="J16" i="29"/>
  <c r="J15" i="29"/>
  <c r="J12" i="29"/>
  <c r="J11" i="29"/>
  <c r="I42" i="29"/>
  <c r="I41" i="29"/>
  <c r="I38" i="29"/>
  <c r="I37" i="29"/>
  <c r="I34" i="29"/>
  <c r="I33" i="29"/>
  <c r="I31" i="29"/>
  <c r="I30" i="29"/>
  <c r="I28" i="29"/>
  <c r="I27" i="29"/>
  <c r="I25" i="29"/>
  <c r="I24" i="29"/>
  <c r="I22" i="29"/>
  <c r="I21" i="29"/>
  <c r="I16" i="29"/>
  <c r="I15" i="29"/>
  <c r="I12" i="29"/>
  <c r="I11" i="29"/>
  <c r="H42" i="29"/>
  <c r="H41" i="29"/>
  <c r="H38" i="29"/>
  <c r="H37" i="29"/>
  <c r="H34" i="29"/>
  <c r="H33" i="29"/>
  <c r="H31" i="29"/>
  <c r="H30" i="29"/>
  <c r="H28" i="29"/>
  <c r="H27" i="29"/>
  <c r="H25" i="29"/>
  <c r="H24" i="29"/>
  <c r="H22" i="29"/>
  <c r="H21" i="29"/>
  <c r="H16" i="29"/>
  <c r="H15" i="29"/>
  <c r="H12" i="29"/>
  <c r="H11" i="29"/>
  <c r="G42" i="29"/>
  <c r="G41" i="29"/>
  <c r="G38" i="29"/>
  <c r="G37" i="29"/>
  <c r="G34" i="29"/>
  <c r="G33" i="29"/>
  <c r="G31" i="29"/>
  <c r="G30" i="29"/>
  <c r="G28" i="29"/>
  <c r="G27" i="29"/>
  <c r="G25" i="29"/>
  <c r="G24" i="29"/>
  <c r="G22" i="29"/>
  <c r="G21" i="29"/>
  <c r="G16" i="29"/>
  <c r="G15" i="29"/>
  <c r="G12" i="29"/>
  <c r="G11" i="29"/>
  <c r="F42" i="29"/>
  <c r="F41" i="29"/>
  <c r="F38" i="29"/>
  <c r="F37" i="29"/>
  <c r="F34" i="29"/>
  <c r="F33" i="29"/>
  <c r="F31" i="29"/>
  <c r="F30" i="29"/>
  <c r="F28" i="29"/>
  <c r="F27" i="29"/>
  <c r="F25" i="29"/>
  <c r="F24" i="29"/>
  <c r="F22" i="29"/>
  <c r="F21" i="29"/>
  <c r="F16" i="29"/>
  <c r="F15" i="29"/>
  <c r="F12" i="29"/>
  <c r="F11" i="29"/>
  <c r="E42" i="29"/>
  <c r="E41" i="29"/>
  <c r="E38" i="29"/>
  <c r="E37" i="29"/>
  <c r="E34" i="29"/>
  <c r="E33" i="29"/>
  <c r="E31" i="29"/>
  <c r="E30" i="29"/>
  <c r="E28" i="29"/>
  <c r="E27" i="29"/>
  <c r="E25" i="29"/>
  <c r="E24" i="29"/>
  <c r="E22" i="29"/>
  <c r="E21" i="29"/>
  <c r="E16" i="29"/>
  <c r="E15" i="29"/>
  <c r="E12" i="29"/>
  <c r="E11" i="29"/>
  <c r="D42" i="29"/>
  <c r="D41" i="29"/>
  <c r="D38" i="29"/>
  <c r="D37" i="29"/>
  <c r="D34" i="29"/>
  <c r="D33" i="29"/>
  <c r="D31" i="29"/>
  <c r="D30" i="29"/>
  <c r="D28" i="29"/>
  <c r="D27" i="29"/>
  <c r="D25" i="29"/>
  <c r="D24" i="29"/>
  <c r="D22" i="29"/>
  <c r="D21" i="29"/>
  <c r="D16" i="29"/>
  <c r="D15" i="29"/>
  <c r="D12" i="29"/>
  <c r="D11" i="29"/>
  <c r="C42" i="29"/>
  <c r="C41" i="29"/>
  <c r="C38" i="29"/>
  <c r="C37" i="29"/>
  <c r="C34" i="29"/>
  <c r="C33" i="29"/>
  <c r="C31" i="29"/>
  <c r="C30" i="29"/>
  <c r="C28" i="29"/>
  <c r="C27" i="29"/>
  <c r="C25" i="29"/>
  <c r="C24" i="29"/>
  <c r="C22" i="29"/>
  <c r="C21" i="29"/>
  <c r="C16" i="29"/>
  <c r="C15" i="29"/>
  <c r="C12" i="29"/>
  <c r="C11" i="29"/>
  <c r="M42" i="28"/>
  <c r="M41" i="28"/>
  <c r="M38" i="28"/>
  <c r="M37" i="28"/>
  <c r="M34" i="28"/>
  <c r="M33" i="28"/>
  <c r="M31" i="28"/>
  <c r="M30" i="28"/>
  <c r="M28" i="28"/>
  <c r="M27" i="28"/>
  <c r="M25" i="28"/>
  <c r="M24" i="28"/>
  <c r="M22" i="28"/>
  <c r="M21" i="28"/>
  <c r="M16" i="28"/>
  <c r="M15" i="28"/>
  <c r="M12" i="28"/>
  <c r="M11" i="28"/>
  <c r="L42" i="28"/>
  <c r="L41" i="28"/>
  <c r="L38" i="28"/>
  <c r="L37" i="28"/>
  <c r="L34" i="28"/>
  <c r="L33" i="28"/>
  <c r="L31" i="28"/>
  <c r="L30" i="28"/>
  <c r="L28" i="28"/>
  <c r="L27" i="28"/>
  <c r="L25" i="28"/>
  <c r="L24" i="28"/>
  <c r="L22" i="28"/>
  <c r="L21" i="28"/>
  <c r="L16" i="28"/>
  <c r="L15" i="28"/>
  <c r="L12" i="28"/>
  <c r="L11" i="28"/>
  <c r="K42" i="28"/>
  <c r="K41" i="28"/>
  <c r="K38" i="28"/>
  <c r="K37" i="28"/>
  <c r="K34" i="28"/>
  <c r="K33" i="28"/>
  <c r="K31" i="28"/>
  <c r="K30" i="28"/>
  <c r="K28" i="28"/>
  <c r="K27" i="28"/>
  <c r="K25" i="28"/>
  <c r="K24" i="28"/>
  <c r="K22" i="28"/>
  <c r="K21" i="28"/>
  <c r="K16" i="28"/>
  <c r="K15" i="28"/>
  <c r="K12" i="28"/>
  <c r="K11" i="28"/>
  <c r="J42" i="28"/>
  <c r="J41" i="28"/>
  <c r="J38" i="28"/>
  <c r="J37" i="28"/>
  <c r="J34" i="28"/>
  <c r="J33" i="28"/>
  <c r="J31" i="28"/>
  <c r="J30" i="28"/>
  <c r="J28" i="28"/>
  <c r="J27" i="28"/>
  <c r="J25" i="28"/>
  <c r="J24" i="28"/>
  <c r="J22" i="28"/>
  <c r="J21" i="28"/>
  <c r="J16" i="28"/>
  <c r="J15" i="28"/>
  <c r="J12" i="28"/>
  <c r="J11" i="28"/>
  <c r="I42" i="28"/>
  <c r="I41" i="28"/>
  <c r="I38" i="28"/>
  <c r="I37" i="28"/>
  <c r="I34" i="28"/>
  <c r="I33" i="28"/>
  <c r="I31" i="28"/>
  <c r="I30" i="28"/>
  <c r="I28" i="28"/>
  <c r="I27" i="28"/>
  <c r="I25" i="28"/>
  <c r="I24" i="28"/>
  <c r="I22" i="28"/>
  <c r="I21" i="28"/>
  <c r="I16" i="28"/>
  <c r="I15" i="28"/>
  <c r="I12" i="28"/>
  <c r="I11" i="28"/>
  <c r="H42" i="28"/>
  <c r="H41" i="28"/>
  <c r="H38" i="28"/>
  <c r="H37" i="28"/>
  <c r="H34" i="28"/>
  <c r="H33" i="28"/>
  <c r="H31" i="28"/>
  <c r="H30" i="28"/>
  <c r="H28" i="28"/>
  <c r="H27" i="28"/>
  <c r="H25" i="28"/>
  <c r="H24" i="28"/>
  <c r="H22" i="28"/>
  <c r="H21" i="28"/>
  <c r="H16" i="28"/>
  <c r="H15" i="28"/>
  <c r="H12" i="28"/>
  <c r="H11" i="28"/>
  <c r="G42" i="28"/>
  <c r="G41" i="28"/>
  <c r="G38" i="28"/>
  <c r="G37" i="28"/>
  <c r="G34" i="28"/>
  <c r="G33" i="28"/>
  <c r="G31" i="28"/>
  <c r="G30" i="28"/>
  <c r="G28" i="28"/>
  <c r="G27" i="28"/>
  <c r="G25" i="28"/>
  <c r="G24" i="28"/>
  <c r="G22" i="28"/>
  <c r="G21" i="28"/>
  <c r="G16" i="28"/>
  <c r="G15" i="28"/>
  <c r="G12" i="28"/>
  <c r="G11" i="28"/>
  <c r="F42" i="28"/>
  <c r="F41" i="28"/>
  <c r="F38" i="28"/>
  <c r="F37" i="28"/>
  <c r="F34" i="28"/>
  <c r="F33" i="28"/>
  <c r="F31" i="28"/>
  <c r="F30" i="28"/>
  <c r="F28" i="28"/>
  <c r="F27" i="28"/>
  <c r="F25" i="28"/>
  <c r="F24" i="28"/>
  <c r="F22" i="28"/>
  <c r="F21" i="28"/>
  <c r="F16" i="28"/>
  <c r="F15" i="28"/>
  <c r="F12" i="28"/>
  <c r="F11" i="28"/>
  <c r="E42" i="28"/>
  <c r="E41" i="28"/>
  <c r="E38" i="28"/>
  <c r="E37" i="28"/>
  <c r="E34" i="28"/>
  <c r="E33" i="28"/>
  <c r="E31" i="28"/>
  <c r="E30" i="28"/>
  <c r="E28" i="28"/>
  <c r="E27" i="28"/>
  <c r="E25" i="28"/>
  <c r="E24" i="28"/>
  <c r="E22" i="28"/>
  <c r="E21" i="28"/>
  <c r="E16" i="28"/>
  <c r="E15" i="28"/>
  <c r="E12" i="28"/>
  <c r="E11" i="28"/>
  <c r="D42" i="28"/>
  <c r="D41" i="28"/>
  <c r="D38" i="28"/>
  <c r="D37" i="28"/>
  <c r="D34" i="28"/>
  <c r="D33" i="28"/>
  <c r="D31" i="28"/>
  <c r="D30" i="28"/>
  <c r="D28" i="28"/>
  <c r="D27" i="28"/>
  <c r="D25" i="28"/>
  <c r="D24" i="28"/>
  <c r="D22" i="28"/>
  <c r="D21" i="28"/>
  <c r="D16" i="28"/>
  <c r="D15" i="28"/>
  <c r="D12" i="28"/>
  <c r="D11" i="28"/>
  <c r="C42" i="28"/>
  <c r="C41" i="28"/>
  <c r="C38" i="28"/>
  <c r="C37" i="28"/>
  <c r="C34" i="28"/>
  <c r="C33" i="28"/>
  <c r="C31" i="28"/>
  <c r="C30" i="28"/>
  <c r="C28" i="28"/>
  <c r="C27" i="28"/>
  <c r="C25" i="28"/>
  <c r="C24" i="28"/>
  <c r="C22" i="28"/>
  <c r="C21" i="28"/>
  <c r="C16" i="28"/>
  <c r="C15" i="28"/>
  <c r="C12" i="28"/>
  <c r="C11" i="28"/>
  <c r="M42" i="27"/>
  <c r="M41" i="27"/>
  <c r="M38" i="27"/>
  <c r="M37" i="27"/>
  <c r="M34" i="27"/>
  <c r="M33" i="27"/>
  <c r="M31" i="27"/>
  <c r="M30" i="27"/>
  <c r="M28" i="27"/>
  <c r="M27" i="27"/>
  <c r="M25" i="27"/>
  <c r="M24" i="27"/>
  <c r="M22" i="27"/>
  <c r="M21" i="27"/>
  <c r="M16" i="27"/>
  <c r="M15" i="27"/>
  <c r="M12" i="27"/>
  <c r="M11" i="27"/>
  <c r="L42" i="27"/>
  <c r="L41" i="27"/>
  <c r="L38" i="27"/>
  <c r="L37" i="27"/>
  <c r="L34" i="27"/>
  <c r="L33" i="27"/>
  <c r="L31" i="27"/>
  <c r="L30" i="27"/>
  <c r="L28" i="27"/>
  <c r="L27" i="27"/>
  <c r="L25" i="27"/>
  <c r="L24" i="27"/>
  <c r="L22" i="27"/>
  <c r="L21" i="27"/>
  <c r="L16" i="27"/>
  <c r="L15" i="27"/>
  <c r="L12" i="27"/>
  <c r="L11" i="27"/>
  <c r="K42" i="27"/>
  <c r="K41" i="27"/>
  <c r="K38" i="27"/>
  <c r="K37" i="27"/>
  <c r="K34" i="27"/>
  <c r="K33" i="27"/>
  <c r="K31" i="27"/>
  <c r="K30" i="27"/>
  <c r="K28" i="27"/>
  <c r="K27" i="27"/>
  <c r="K25" i="27"/>
  <c r="K24" i="27"/>
  <c r="K22" i="27"/>
  <c r="K21" i="27"/>
  <c r="K16" i="27"/>
  <c r="K15" i="27"/>
  <c r="K12" i="27"/>
  <c r="K11" i="27"/>
  <c r="J42" i="27"/>
  <c r="J41" i="27"/>
  <c r="J38" i="27"/>
  <c r="J37" i="27"/>
  <c r="J34" i="27"/>
  <c r="J33" i="27"/>
  <c r="J31" i="27"/>
  <c r="J30" i="27"/>
  <c r="J28" i="27"/>
  <c r="J27" i="27"/>
  <c r="J25" i="27"/>
  <c r="J24" i="27"/>
  <c r="J22" i="27"/>
  <c r="J21" i="27"/>
  <c r="J16" i="27"/>
  <c r="J15" i="27"/>
  <c r="J12" i="27"/>
  <c r="J11" i="27"/>
  <c r="I42" i="27"/>
  <c r="I41" i="27"/>
  <c r="I38" i="27"/>
  <c r="I37" i="27"/>
  <c r="I34" i="27"/>
  <c r="I33" i="27"/>
  <c r="I31" i="27"/>
  <c r="I30" i="27"/>
  <c r="I28" i="27"/>
  <c r="I27" i="27"/>
  <c r="I25" i="27"/>
  <c r="I24" i="27"/>
  <c r="I22" i="27"/>
  <c r="I21" i="27"/>
  <c r="I16" i="27"/>
  <c r="I15" i="27"/>
  <c r="I12" i="27"/>
  <c r="I11" i="27"/>
  <c r="H42" i="27"/>
  <c r="H41" i="27"/>
  <c r="H38" i="27"/>
  <c r="H37" i="27"/>
  <c r="H34" i="27"/>
  <c r="H33" i="27"/>
  <c r="H31" i="27"/>
  <c r="H30" i="27"/>
  <c r="H28" i="27"/>
  <c r="H27" i="27"/>
  <c r="H25" i="27"/>
  <c r="H24" i="27"/>
  <c r="H22" i="27"/>
  <c r="H21" i="27"/>
  <c r="H16" i="27"/>
  <c r="H15" i="27"/>
  <c r="H12" i="27"/>
  <c r="H11" i="27"/>
  <c r="G42" i="27"/>
  <c r="G41" i="27"/>
  <c r="G38" i="27"/>
  <c r="G37" i="27"/>
  <c r="G34" i="27"/>
  <c r="G33" i="27"/>
  <c r="G31" i="27"/>
  <c r="G30" i="27"/>
  <c r="G28" i="27"/>
  <c r="G27" i="27"/>
  <c r="G25" i="27"/>
  <c r="G24" i="27"/>
  <c r="G22" i="27"/>
  <c r="G21" i="27"/>
  <c r="G16" i="27"/>
  <c r="G15" i="27"/>
  <c r="G12" i="27"/>
  <c r="G11" i="27"/>
  <c r="F42" i="27"/>
  <c r="F41" i="27"/>
  <c r="F38" i="27"/>
  <c r="F37" i="27"/>
  <c r="F34" i="27"/>
  <c r="F33" i="27"/>
  <c r="F31" i="27"/>
  <c r="F30" i="27"/>
  <c r="F28" i="27"/>
  <c r="F27" i="27"/>
  <c r="F25" i="27"/>
  <c r="F24" i="27"/>
  <c r="F22" i="27"/>
  <c r="F21" i="27"/>
  <c r="F16" i="27"/>
  <c r="F15" i="27"/>
  <c r="F12" i="27"/>
  <c r="F11" i="27"/>
  <c r="E42" i="27"/>
  <c r="E41" i="27"/>
  <c r="E38" i="27"/>
  <c r="E37" i="27"/>
  <c r="E34" i="27"/>
  <c r="E33" i="27"/>
  <c r="E31" i="27"/>
  <c r="E30" i="27"/>
  <c r="E28" i="27"/>
  <c r="E27" i="27"/>
  <c r="E25" i="27"/>
  <c r="E24" i="27"/>
  <c r="E22" i="27"/>
  <c r="E21" i="27"/>
  <c r="E16" i="27"/>
  <c r="E15" i="27"/>
  <c r="E12" i="27"/>
  <c r="E11" i="27"/>
  <c r="D42" i="27"/>
  <c r="D41" i="27"/>
  <c r="D38" i="27"/>
  <c r="D37" i="27"/>
  <c r="D34" i="27"/>
  <c r="D33" i="27"/>
  <c r="D31" i="27"/>
  <c r="D30" i="27"/>
  <c r="D28" i="27"/>
  <c r="D27" i="27"/>
  <c r="D25" i="27"/>
  <c r="D24" i="27"/>
  <c r="D22" i="27"/>
  <c r="D21" i="27"/>
  <c r="D16" i="27"/>
  <c r="D15" i="27"/>
  <c r="D12" i="27"/>
  <c r="D11" i="27"/>
  <c r="C42" i="27"/>
  <c r="C41" i="27"/>
  <c r="C38" i="27"/>
  <c r="C37" i="27"/>
  <c r="C34" i="27"/>
  <c r="C33" i="27"/>
  <c r="C31" i="27"/>
  <c r="C30" i="27"/>
  <c r="C28" i="27"/>
  <c r="C27" i="27"/>
  <c r="C25" i="27"/>
  <c r="C24" i="27"/>
  <c r="C22" i="27"/>
  <c r="C21" i="27"/>
  <c r="C16" i="27"/>
  <c r="C15" i="27"/>
  <c r="C12" i="27"/>
  <c r="C11" i="27"/>
  <c r="M42" i="26"/>
  <c r="M41" i="26"/>
  <c r="M38" i="26"/>
  <c r="M37" i="26"/>
  <c r="M34" i="26"/>
  <c r="M33" i="26"/>
  <c r="M31" i="26"/>
  <c r="M30" i="26"/>
  <c r="M28" i="26"/>
  <c r="M27" i="26"/>
  <c r="M25" i="26"/>
  <c r="M24" i="26"/>
  <c r="M22" i="26"/>
  <c r="M21" i="26"/>
  <c r="M16" i="26"/>
  <c r="M15" i="26"/>
  <c r="M12" i="26"/>
  <c r="M11" i="26"/>
  <c r="L42" i="26"/>
  <c r="L41" i="26"/>
  <c r="L38" i="26"/>
  <c r="L37" i="26"/>
  <c r="L34" i="26"/>
  <c r="L33" i="26"/>
  <c r="L31" i="26"/>
  <c r="L30" i="26"/>
  <c r="L28" i="26"/>
  <c r="L27" i="26"/>
  <c r="L25" i="26"/>
  <c r="L24" i="26"/>
  <c r="L22" i="26"/>
  <c r="L21" i="26"/>
  <c r="L16" i="26"/>
  <c r="L15" i="26"/>
  <c r="L12" i="26"/>
  <c r="L11" i="26"/>
  <c r="K42" i="26"/>
  <c r="K41" i="26"/>
  <c r="K38" i="26"/>
  <c r="K37" i="26"/>
  <c r="K34" i="26"/>
  <c r="K33" i="26"/>
  <c r="K31" i="26"/>
  <c r="K30" i="26"/>
  <c r="K28" i="26"/>
  <c r="K27" i="26"/>
  <c r="K25" i="26"/>
  <c r="K24" i="26"/>
  <c r="K22" i="26"/>
  <c r="K21" i="26"/>
  <c r="K16" i="26"/>
  <c r="K15" i="26"/>
  <c r="K12" i="26"/>
  <c r="K11" i="26"/>
  <c r="J42" i="26"/>
  <c r="J41" i="26"/>
  <c r="J38" i="26"/>
  <c r="J37" i="26"/>
  <c r="J34" i="26"/>
  <c r="J33" i="26"/>
  <c r="J31" i="26"/>
  <c r="J30" i="26"/>
  <c r="J28" i="26"/>
  <c r="J27" i="26"/>
  <c r="J25" i="26"/>
  <c r="J24" i="26"/>
  <c r="J22" i="26"/>
  <c r="J21" i="26"/>
  <c r="J16" i="26"/>
  <c r="J15" i="26"/>
  <c r="J12" i="26"/>
  <c r="J11" i="26"/>
  <c r="I42" i="26"/>
  <c r="I41" i="26"/>
  <c r="I38" i="26"/>
  <c r="I37" i="26"/>
  <c r="I34" i="26"/>
  <c r="I33" i="26"/>
  <c r="I31" i="26"/>
  <c r="I30" i="26"/>
  <c r="I28" i="26"/>
  <c r="I27" i="26"/>
  <c r="I25" i="26"/>
  <c r="I24" i="26"/>
  <c r="I22" i="26"/>
  <c r="I21" i="26"/>
  <c r="I16" i="26"/>
  <c r="I15" i="26"/>
  <c r="I12" i="26"/>
  <c r="I11" i="26"/>
  <c r="H42" i="26"/>
  <c r="H41" i="26"/>
  <c r="H38" i="26"/>
  <c r="H37" i="26"/>
  <c r="H34" i="26"/>
  <c r="H33" i="26"/>
  <c r="H31" i="26"/>
  <c r="H30" i="26"/>
  <c r="H28" i="26"/>
  <c r="H27" i="26"/>
  <c r="H25" i="26"/>
  <c r="H24" i="26"/>
  <c r="H22" i="26"/>
  <c r="H21" i="26"/>
  <c r="H16" i="26"/>
  <c r="H15" i="26"/>
  <c r="H12" i="26"/>
  <c r="H11" i="26"/>
  <c r="G42" i="26"/>
  <c r="G41" i="26"/>
  <c r="G38" i="26"/>
  <c r="G37" i="26"/>
  <c r="G34" i="26"/>
  <c r="G33" i="26"/>
  <c r="G31" i="26"/>
  <c r="G30" i="26"/>
  <c r="G28" i="26"/>
  <c r="G27" i="26"/>
  <c r="G25" i="26"/>
  <c r="G24" i="26"/>
  <c r="G22" i="26"/>
  <c r="G21" i="26"/>
  <c r="G16" i="26"/>
  <c r="G15" i="26"/>
  <c r="G12" i="26"/>
  <c r="G11" i="26"/>
  <c r="F42" i="26"/>
  <c r="F41" i="26"/>
  <c r="F38" i="26"/>
  <c r="F37" i="26"/>
  <c r="F34" i="26"/>
  <c r="F33" i="26"/>
  <c r="F31" i="26"/>
  <c r="F30" i="26"/>
  <c r="F28" i="26"/>
  <c r="F27" i="26"/>
  <c r="F25" i="26"/>
  <c r="F24" i="26"/>
  <c r="F22" i="26"/>
  <c r="F21" i="26"/>
  <c r="F16" i="26"/>
  <c r="F15" i="26"/>
  <c r="F12" i="26"/>
  <c r="F11" i="26"/>
  <c r="E42" i="26"/>
  <c r="E41" i="26"/>
  <c r="E38" i="26"/>
  <c r="E37" i="26"/>
  <c r="E34" i="26"/>
  <c r="E33" i="26"/>
  <c r="E31" i="26"/>
  <c r="E30" i="26"/>
  <c r="E28" i="26"/>
  <c r="E27" i="26"/>
  <c r="E25" i="26"/>
  <c r="E24" i="26"/>
  <c r="E22" i="26"/>
  <c r="E21" i="26"/>
  <c r="E16" i="26"/>
  <c r="E15" i="26"/>
  <c r="E12" i="26"/>
  <c r="E11" i="26"/>
  <c r="D42" i="26"/>
  <c r="D41" i="26"/>
  <c r="D38" i="26"/>
  <c r="D37" i="26"/>
  <c r="D34" i="26"/>
  <c r="D33" i="26"/>
  <c r="D31" i="26"/>
  <c r="D30" i="26"/>
  <c r="D28" i="26"/>
  <c r="D27" i="26"/>
  <c r="D25" i="26"/>
  <c r="D24" i="26"/>
  <c r="D22" i="26"/>
  <c r="D21" i="26"/>
  <c r="D16" i="26"/>
  <c r="D15" i="26"/>
  <c r="D12" i="26"/>
  <c r="D11" i="26"/>
  <c r="C42" i="26"/>
  <c r="C41" i="26"/>
  <c r="C38" i="26"/>
  <c r="C37" i="26"/>
  <c r="C34" i="26"/>
  <c r="C33" i="26"/>
  <c r="C31" i="26"/>
  <c r="C30" i="26"/>
  <c r="C28" i="26"/>
  <c r="C27" i="26"/>
  <c r="C25" i="26"/>
  <c r="C24" i="26"/>
  <c r="C22" i="26"/>
  <c r="C21" i="26"/>
  <c r="C16" i="26"/>
  <c r="C15" i="26"/>
  <c r="C12" i="26"/>
  <c r="C11" i="26"/>
  <c r="M42" i="25"/>
  <c r="M41" i="25"/>
  <c r="M38" i="25"/>
  <c r="M37" i="25"/>
  <c r="M34" i="25"/>
  <c r="M33" i="25"/>
  <c r="M31" i="25"/>
  <c r="M30" i="25"/>
  <c r="M28" i="25"/>
  <c r="M27" i="25"/>
  <c r="M25" i="25"/>
  <c r="M24" i="25"/>
  <c r="M22" i="25"/>
  <c r="M21" i="25"/>
  <c r="M16" i="25"/>
  <c r="M15" i="25"/>
  <c r="M12" i="25"/>
  <c r="M11" i="25"/>
  <c r="L42" i="25"/>
  <c r="L41" i="25"/>
  <c r="L38" i="25"/>
  <c r="L37" i="25"/>
  <c r="L34" i="25"/>
  <c r="L33" i="25"/>
  <c r="L31" i="25"/>
  <c r="L30" i="25"/>
  <c r="L28" i="25"/>
  <c r="L27" i="25"/>
  <c r="L25" i="25"/>
  <c r="L24" i="25"/>
  <c r="L22" i="25"/>
  <c r="L21" i="25"/>
  <c r="L16" i="25"/>
  <c r="L15" i="25"/>
  <c r="L12" i="25"/>
  <c r="L11" i="25"/>
  <c r="K42" i="25"/>
  <c r="K41" i="25"/>
  <c r="K38" i="25"/>
  <c r="K37" i="25"/>
  <c r="K34" i="25"/>
  <c r="K33" i="25"/>
  <c r="K31" i="25"/>
  <c r="K30" i="25"/>
  <c r="K28" i="25"/>
  <c r="K27" i="25"/>
  <c r="K25" i="25"/>
  <c r="K24" i="25"/>
  <c r="K22" i="25"/>
  <c r="K21" i="25"/>
  <c r="K16" i="25"/>
  <c r="K15" i="25"/>
  <c r="K12" i="25"/>
  <c r="K11" i="25"/>
  <c r="J42" i="25"/>
  <c r="J41" i="25"/>
  <c r="J38" i="25"/>
  <c r="J37" i="25"/>
  <c r="J34" i="25"/>
  <c r="J33" i="25"/>
  <c r="J31" i="25"/>
  <c r="J30" i="25"/>
  <c r="J28" i="25"/>
  <c r="J27" i="25"/>
  <c r="J25" i="25"/>
  <c r="J24" i="25"/>
  <c r="J22" i="25"/>
  <c r="J21" i="25"/>
  <c r="J16" i="25"/>
  <c r="J15" i="25"/>
  <c r="J12" i="25"/>
  <c r="J11" i="25"/>
  <c r="I42" i="25"/>
  <c r="I41" i="25"/>
  <c r="I38" i="25"/>
  <c r="I37" i="25"/>
  <c r="I34" i="25"/>
  <c r="I33" i="25"/>
  <c r="I31" i="25"/>
  <c r="I30" i="25"/>
  <c r="I28" i="25"/>
  <c r="I27" i="25"/>
  <c r="I25" i="25"/>
  <c r="I24" i="25"/>
  <c r="I22" i="25"/>
  <c r="I21" i="25"/>
  <c r="I16" i="25"/>
  <c r="I15" i="25"/>
  <c r="I12" i="25"/>
  <c r="I11" i="25"/>
  <c r="H42" i="25"/>
  <c r="H41" i="25"/>
  <c r="H38" i="25"/>
  <c r="H37" i="25"/>
  <c r="H34" i="25"/>
  <c r="H33" i="25"/>
  <c r="H31" i="25"/>
  <c r="H30" i="25"/>
  <c r="H28" i="25"/>
  <c r="H27" i="25"/>
  <c r="H25" i="25"/>
  <c r="H24" i="25"/>
  <c r="H22" i="25"/>
  <c r="H21" i="25"/>
  <c r="H16" i="25"/>
  <c r="H15" i="25"/>
  <c r="H12" i="25"/>
  <c r="H11" i="25"/>
  <c r="G42" i="25"/>
  <c r="G41" i="25"/>
  <c r="G38" i="25"/>
  <c r="G37" i="25"/>
  <c r="G34" i="25"/>
  <c r="G33" i="25"/>
  <c r="G31" i="25"/>
  <c r="G30" i="25"/>
  <c r="G28" i="25"/>
  <c r="G27" i="25"/>
  <c r="G25" i="25"/>
  <c r="G24" i="25"/>
  <c r="G22" i="25"/>
  <c r="G21" i="25"/>
  <c r="G16" i="25"/>
  <c r="G15" i="25"/>
  <c r="G12" i="25"/>
  <c r="G11" i="25"/>
  <c r="F42" i="25"/>
  <c r="F41" i="25"/>
  <c r="F38" i="25"/>
  <c r="F37" i="25"/>
  <c r="F34" i="25"/>
  <c r="F33" i="25"/>
  <c r="F31" i="25"/>
  <c r="F30" i="25"/>
  <c r="F28" i="25"/>
  <c r="F27" i="25"/>
  <c r="F25" i="25"/>
  <c r="F24" i="25"/>
  <c r="F22" i="25"/>
  <c r="F21" i="25"/>
  <c r="F16" i="25"/>
  <c r="F15" i="25"/>
  <c r="F12" i="25"/>
  <c r="F11" i="25"/>
  <c r="E42" i="25"/>
  <c r="E41" i="25"/>
  <c r="E38" i="25"/>
  <c r="E37" i="25"/>
  <c r="E34" i="25"/>
  <c r="E33" i="25"/>
  <c r="E31" i="25"/>
  <c r="E30" i="25"/>
  <c r="E28" i="25"/>
  <c r="E27" i="25"/>
  <c r="E25" i="25"/>
  <c r="E24" i="25"/>
  <c r="E22" i="25"/>
  <c r="E21" i="25"/>
  <c r="E16" i="25"/>
  <c r="E15" i="25"/>
  <c r="E12" i="25"/>
  <c r="E11" i="25"/>
  <c r="D42" i="25"/>
  <c r="D41" i="25"/>
  <c r="D38" i="25"/>
  <c r="D37" i="25"/>
  <c r="D34" i="25"/>
  <c r="D33" i="25"/>
  <c r="D31" i="25"/>
  <c r="D30" i="25"/>
  <c r="D28" i="25"/>
  <c r="D27" i="25"/>
  <c r="D25" i="25"/>
  <c r="D24" i="25"/>
  <c r="D22" i="25"/>
  <c r="D21" i="25"/>
  <c r="D16" i="25"/>
  <c r="D15" i="25"/>
  <c r="D12" i="25"/>
  <c r="D11" i="25"/>
  <c r="C42" i="25"/>
  <c r="C41" i="25"/>
  <c r="C38" i="25"/>
  <c r="C37" i="25"/>
  <c r="C34" i="25"/>
  <c r="C33" i="25"/>
  <c r="C31" i="25"/>
  <c r="C30" i="25"/>
  <c r="C28" i="25"/>
  <c r="C27" i="25"/>
  <c r="C25" i="25"/>
  <c r="C24" i="25"/>
  <c r="C22" i="25"/>
  <c r="C21" i="25"/>
  <c r="C16" i="25"/>
  <c r="C15" i="25"/>
  <c r="C12" i="25"/>
  <c r="C11" i="25"/>
  <c r="M42" i="24"/>
  <c r="M41" i="24"/>
  <c r="M38" i="24"/>
  <c r="M37" i="24"/>
  <c r="M34" i="24"/>
  <c r="M33" i="24"/>
  <c r="M31" i="24"/>
  <c r="M30" i="24"/>
  <c r="M28" i="24"/>
  <c r="M27" i="24"/>
  <c r="M25" i="24"/>
  <c r="M24" i="24"/>
  <c r="M22" i="24"/>
  <c r="M21" i="24"/>
  <c r="M16" i="24"/>
  <c r="M15" i="24"/>
  <c r="M12" i="24"/>
  <c r="M11" i="24"/>
  <c r="L42" i="24"/>
  <c r="L41" i="24"/>
  <c r="L38" i="24"/>
  <c r="L37" i="24"/>
  <c r="L34" i="24"/>
  <c r="L33" i="24"/>
  <c r="L31" i="24"/>
  <c r="L30" i="24"/>
  <c r="L28" i="24"/>
  <c r="L27" i="24"/>
  <c r="L25" i="24"/>
  <c r="L24" i="24"/>
  <c r="L22" i="24"/>
  <c r="L21" i="24"/>
  <c r="L16" i="24"/>
  <c r="L15" i="24"/>
  <c r="L12" i="24"/>
  <c r="L11" i="24"/>
  <c r="K42" i="24"/>
  <c r="K41" i="24"/>
  <c r="K38" i="24"/>
  <c r="K37" i="24"/>
  <c r="K34" i="24"/>
  <c r="K33" i="24"/>
  <c r="K31" i="24"/>
  <c r="K30" i="24"/>
  <c r="K28" i="24"/>
  <c r="K27" i="24"/>
  <c r="K25" i="24"/>
  <c r="K24" i="24"/>
  <c r="K22" i="24"/>
  <c r="K21" i="24"/>
  <c r="K16" i="24"/>
  <c r="K15" i="24"/>
  <c r="K12" i="24"/>
  <c r="K11" i="24"/>
  <c r="J42" i="24"/>
  <c r="J41" i="24"/>
  <c r="J38" i="24"/>
  <c r="J37" i="24"/>
  <c r="J34" i="24"/>
  <c r="J33" i="24"/>
  <c r="J31" i="24"/>
  <c r="J30" i="24"/>
  <c r="J28" i="24"/>
  <c r="J27" i="24"/>
  <c r="J25" i="24"/>
  <c r="J24" i="24"/>
  <c r="J22" i="24"/>
  <c r="J21" i="24"/>
  <c r="J16" i="24"/>
  <c r="J15" i="24"/>
  <c r="J12" i="24"/>
  <c r="J11" i="24"/>
  <c r="I42" i="24"/>
  <c r="I41" i="24"/>
  <c r="I38" i="24"/>
  <c r="I37" i="24"/>
  <c r="I34" i="24"/>
  <c r="I33" i="24"/>
  <c r="I31" i="24"/>
  <c r="I30" i="24"/>
  <c r="I28" i="24"/>
  <c r="I27" i="24"/>
  <c r="I25" i="24"/>
  <c r="I24" i="24"/>
  <c r="I22" i="24"/>
  <c r="I21" i="24"/>
  <c r="I16" i="24"/>
  <c r="I15" i="24"/>
  <c r="I12" i="24"/>
  <c r="I11" i="24"/>
  <c r="H42" i="24"/>
  <c r="H41" i="24"/>
  <c r="H38" i="24"/>
  <c r="H37" i="24"/>
  <c r="H34" i="24"/>
  <c r="H33" i="24"/>
  <c r="H31" i="24"/>
  <c r="H30" i="24"/>
  <c r="H28" i="24"/>
  <c r="H27" i="24"/>
  <c r="H25" i="24"/>
  <c r="H24" i="24"/>
  <c r="H22" i="24"/>
  <c r="H21" i="24"/>
  <c r="H16" i="24"/>
  <c r="H15" i="24"/>
  <c r="H12" i="24"/>
  <c r="H11" i="24"/>
  <c r="G42" i="24"/>
  <c r="G41" i="24"/>
  <c r="G38" i="24"/>
  <c r="G37" i="24"/>
  <c r="G34" i="24"/>
  <c r="G33" i="24"/>
  <c r="G31" i="24"/>
  <c r="G30" i="24"/>
  <c r="G28" i="24"/>
  <c r="G27" i="24"/>
  <c r="G25" i="24"/>
  <c r="G24" i="24"/>
  <c r="G22" i="24"/>
  <c r="G21" i="24"/>
  <c r="G16" i="24"/>
  <c r="G15" i="24"/>
  <c r="G12" i="24"/>
  <c r="G11" i="24"/>
  <c r="F42" i="24"/>
  <c r="F41" i="24"/>
  <c r="F38" i="24"/>
  <c r="F37" i="24"/>
  <c r="F34" i="24"/>
  <c r="F33" i="24"/>
  <c r="F31" i="24"/>
  <c r="F30" i="24"/>
  <c r="F28" i="24"/>
  <c r="F27" i="24"/>
  <c r="F25" i="24"/>
  <c r="F24" i="24"/>
  <c r="F22" i="24"/>
  <c r="F21" i="24"/>
  <c r="F16" i="24"/>
  <c r="F15" i="24"/>
  <c r="F12" i="24"/>
  <c r="F11" i="24"/>
  <c r="E42" i="24"/>
  <c r="E41" i="24"/>
  <c r="E38" i="24"/>
  <c r="E37" i="24"/>
  <c r="E34" i="24"/>
  <c r="E33" i="24"/>
  <c r="E31" i="24"/>
  <c r="E30" i="24"/>
  <c r="E28" i="24"/>
  <c r="E27" i="24"/>
  <c r="E25" i="24"/>
  <c r="E24" i="24"/>
  <c r="E22" i="24"/>
  <c r="E21" i="24"/>
  <c r="E16" i="24"/>
  <c r="E15" i="24"/>
  <c r="E12" i="24"/>
  <c r="E11" i="24"/>
  <c r="D42" i="24"/>
  <c r="D41" i="24"/>
  <c r="D38" i="24"/>
  <c r="D37" i="24"/>
  <c r="D34" i="24"/>
  <c r="D33" i="24"/>
  <c r="D31" i="24"/>
  <c r="D30" i="24"/>
  <c r="D28" i="24"/>
  <c r="D27" i="24"/>
  <c r="D25" i="24"/>
  <c r="D24" i="24"/>
  <c r="D22" i="24"/>
  <c r="D21" i="24"/>
  <c r="D16" i="24"/>
  <c r="D15" i="24"/>
  <c r="D12" i="24"/>
  <c r="D11" i="24"/>
  <c r="C42" i="24"/>
  <c r="C41" i="24"/>
  <c r="C38" i="24"/>
  <c r="C37" i="24"/>
  <c r="C34" i="24"/>
  <c r="C33" i="24"/>
  <c r="C31" i="24"/>
  <c r="C30" i="24"/>
  <c r="C28" i="24"/>
  <c r="C27" i="24"/>
  <c r="C25" i="24"/>
  <c r="C24" i="24"/>
  <c r="C22" i="24"/>
  <c r="C21" i="24"/>
  <c r="C16" i="24"/>
  <c r="C15" i="24"/>
  <c r="C12" i="24"/>
  <c r="C11" i="24"/>
  <c r="M42" i="23"/>
  <c r="M41" i="23"/>
  <c r="M38" i="23"/>
  <c r="M37" i="23"/>
  <c r="M34" i="23"/>
  <c r="M33" i="23"/>
  <c r="M31" i="23"/>
  <c r="M30" i="23"/>
  <c r="M28" i="23"/>
  <c r="M27" i="23"/>
  <c r="M25" i="23"/>
  <c r="M24" i="23"/>
  <c r="M22" i="23"/>
  <c r="M21" i="23"/>
  <c r="M16" i="23"/>
  <c r="M15" i="23"/>
  <c r="M12" i="23"/>
  <c r="M11" i="23"/>
  <c r="L42" i="23"/>
  <c r="L41" i="23"/>
  <c r="L38" i="23"/>
  <c r="L37" i="23"/>
  <c r="L34" i="23"/>
  <c r="L33" i="23"/>
  <c r="L31" i="23"/>
  <c r="L30" i="23"/>
  <c r="L28" i="23"/>
  <c r="L27" i="23"/>
  <c r="L25" i="23"/>
  <c r="L24" i="23"/>
  <c r="L22" i="23"/>
  <c r="L21" i="23"/>
  <c r="L16" i="23"/>
  <c r="L15" i="23"/>
  <c r="L12" i="23"/>
  <c r="L11" i="23"/>
  <c r="K42" i="23"/>
  <c r="K41" i="23"/>
  <c r="K38" i="23"/>
  <c r="K37" i="23"/>
  <c r="K34" i="23"/>
  <c r="K33" i="23"/>
  <c r="K31" i="23"/>
  <c r="K30" i="23"/>
  <c r="K28" i="23"/>
  <c r="K27" i="23"/>
  <c r="K25" i="23"/>
  <c r="K24" i="23"/>
  <c r="K22" i="23"/>
  <c r="K21" i="23"/>
  <c r="K16" i="23"/>
  <c r="K15" i="23"/>
  <c r="K12" i="23"/>
  <c r="K11" i="23"/>
  <c r="J42" i="23"/>
  <c r="J41" i="23"/>
  <c r="J38" i="23"/>
  <c r="J37" i="23"/>
  <c r="J34" i="23"/>
  <c r="J33" i="23"/>
  <c r="J31" i="23"/>
  <c r="J30" i="23"/>
  <c r="J28" i="23"/>
  <c r="J27" i="23"/>
  <c r="J25" i="23"/>
  <c r="J24" i="23"/>
  <c r="J22" i="23"/>
  <c r="J21" i="23"/>
  <c r="J16" i="23"/>
  <c r="J15" i="23"/>
  <c r="J12" i="23"/>
  <c r="J11" i="23"/>
  <c r="I42" i="23"/>
  <c r="I41" i="23"/>
  <c r="I38" i="23"/>
  <c r="I37" i="23"/>
  <c r="I34" i="23"/>
  <c r="I33" i="23"/>
  <c r="I31" i="23"/>
  <c r="I30" i="23"/>
  <c r="I28" i="23"/>
  <c r="I27" i="23"/>
  <c r="I25" i="23"/>
  <c r="I24" i="23"/>
  <c r="I22" i="23"/>
  <c r="I21" i="23"/>
  <c r="I16" i="23"/>
  <c r="I15" i="23"/>
  <c r="I12" i="23"/>
  <c r="I11" i="23"/>
  <c r="H42" i="23"/>
  <c r="H41" i="23"/>
  <c r="H38" i="23"/>
  <c r="H37" i="23"/>
  <c r="H34" i="23"/>
  <c r="H33" i="23"/>
  <c r="H31" i="23"/>
  <c r="H30" i="23"/>
  <c r="H28" i="23"/>
  <c r="H27" i="23"/>
  <c r="H25" i="23"/>
  <c r="H24" i="23"/>
  <c r="H22" i="23"/>
  <c r="H21" i="23"/>
  <c r="H16" i="23"/>
  <c r="H15" i="23"/>
  <c r="H12" i="23"/>
  <c r="H11" i="23"/>
  <c r="G42" i="23"/>
  <c r="G41" i="23"/>
  <c r="G38" i="23"/>
  <c r="G37" i="23"/>
  <c r="G34" i="23"/>
  <c r="G33" i="23"/>
  <c r="G31" i="23"/>
  <c r="G30" i="23"/>
  <c r="G28" i="23"/>
  <c r="G27" i="23"/>
  <c r="G25" i="23"/>
  <c r="G24" i="23"/>
  <c r="G22" i="23"/>
  <c r="G21" i="23"/>
  <c r="G16" i="23"/>
  <c r="G15" i="23"/>
  <c r="G12" i="23"/>
  <c r="G11" i="23"/>
  <c r="F42" i="23"/>
  <c r="F41" i="23"/>
  <c r="F38" i="23"/>
  <c r="F37" i="23"/>
  <c r="F34" i="23"/>
  <c r="F33" i="23"/>
  <c r="F31" i="23"/>
  <c r="F30" i="23"/>
  <c r="F28" i="23"/>
  <c r="F27" i="23"/>
  <c r="F25" i="23"/>
  <c r="F24" i="23"/>
  <c r="F22" i="23"/>
  <c r="F21" i="23"/>
  <c r="F16" i="23"/>
  <c r="F15" i="23"/>
  <c r="F12" i="23"/>
  <c r="F11" i="23"/>
  <c r="E42" i="23"/>
  <c r="E41" i="23"/>
  <c r="E38" i="23"/>
  <c r="E37" i="23"/>
  <c r="E34" i="23"/>
  <c r="E33" i="23"/>
  <c r="E31" i="23"/>
  <c r="E30" i="23"/>
  <c r="E28" i="23"/>
  <c r="E27" i="23"/>
  <c r="E25" i="23"/>
  <c r="E24" i="23"/>
  <c r="E22" i="23"/>
  <c r="E21" i="23"/>
  <c r="E16" i="23"/>
  <c r="E15" i="23"/>
  <c r="E12" i="23"/>
  <c r="E11" i="23"/>
  <c r="D42" i="23"/>
  <c r="D41" i="23"/>
  <c r="D38" i="23"/>
  <c r="D37" i="23"/>
  <c r="D34" i="23"/>
  <c r="D33" i="23"/>
  <c r="D31" i="23"/>
  <c r="D30" i="23"/>
  <c r="D28" i="23"/>
  <c r="D27" i="23"/>
  <c r="D25" i="23"/>
  <c r="D24" i="23"/>
  <c r="D22" i="23"/>
  <c r="D21" i="23"/>
  <c r="D16" i="23"/>
  <c r="D15" i="23"/>
  <c r="D12" i="23"/>
  <c r="D11" i="23"/>
  <c r="C42" i="23"/>
  <c r="C41" i="23"/>
  <c r="C38" i="23"/>
  <c r="C37" i="23"/>
  <c r="C34" i="23"/>
  <c r="C33" i="23"/>
  <c r="C31" i="23"/>
  <c r="C30" i="23"/>
  <c r="C28" i="23"/>
  <c r="C27" i="23"/>
  <c r="C25" i="23"/>
  <c r="C24" i="23"/>
  <c r="C22" i="23"/>
  <c r="C21" i="23"/>
  <c r="C16" i="23"/>
  <c r="C15" i="23"/>
  <c r="C12" i="23"/>
  <c r="C11" i="23"/>
  <c r="M42" i="22"/>
  <c r="M41" i="22"/>
  <c r="M38" i="22"/>
  <c r="M37" i="22"/>
  <c r="M34" i="22"/>
  <c r="M33" i="22"/>
  <c r="M31" i="22"/>
  <c r="M30" i="22"/>
  <c r="M28" i="22"/>
  <c r="M27" i="22"/>
  <c r="M25" i="22"/>
  <c r="M24" i="22"/>
  <c r="M22" i="22"/>
  <c r="M21" i="22"/>
  <c r="M16" i="22"/>
  <c r="M15" i="22"/>
  <c r="M12" i="22"/>
  <c r="M11" i="22"/>
  <c r="L42" i="22"/>
  <c r="L41" i="22"/>
  <c r="L38" i="22"/>
  <c r="L37" i="22"/>
  <c r="L34" i="22"/>
  <c r="L33" i="22"/>
  <c r="L31" i="22"/>
  <c r="L30" i="22"/>
  <c r="L28" i="22"/>
  <c r="L27" i="22"/>
  <c r="L25" i="22"/>
  <c r="L24" i="22"/>
  <c r="L22" i="22"/>
  <c r="L21" i="22"/>
  <c r="L16" i="22"/>
  <c r="L15" i="22"/>
  <c r="L12" i="22"/>
  <c r="L11" i="22"/>
  <c r="K42" i="22"/>
  <c r="K41" i="22"/>
  <c r="K38" i="22"/>
  <c r="K37" i="22"/>
  <c r="K34" i="22"/>
  <c r="K33" i="22"/>
  <c r="K31" i="22"/>
  <c r="K30" i="22"/>
  <c r="K28" i="22"/>
  <c r="K27" i="22"/>
  <c r="K25" i="22"/>
  <c r="K24" i="22"/>
  <c r="K22" i="22"/>
  <c r="K21" i="22"/>
  <c r="K16" i="22"/>
  <c r="K15" i="22"/>
  <c r="K12" i="22"/>
  <c r="K11" i="22"/>
  <c r="J42" i="22"/>
  <c r="J41" i="22"/>
  <c r="J38" i="22"/>
  <c r="J37" i="22"/>
  <c r="J34" i="22"/>
  <c r="J33" i="22"/>
  <c r="J31" i="22"/>
  <c r="J30" i="22"/>
  <c r="J28" i="22"/>
  <c r="J27" i="22"/>
  <c r="J25" i="22"/>
  <c r="J24" i="22"/>
  <c r="J22" i="22"/>
  <c r="J21" i="22"/>
  <c r="J16" i="22"/>
  <c r="J15" i="22"/>
  <c r="J12" i="22"/>
  <c r="J11" i="22"/>
  <c r="I42" i="22"/>
  <c r="I41" i="22"/>
  <c r="I38" i="22"/>
  <c r="I37" i="22"/>
  <c r="I34" i="22"/>
  <c r="I33" i="22"/>
  <c r="I31" i="22"/>
  <c r="I30" i="22"/>
  <c r="I28" i="22"/>
  <c r="I27" i="22"/>
  <c r="I25" i="22"/>
  <c r="I24" i="22"/>
  <c r="I22" i="22"/>
  <c r="I21" i="22"/>
  <c r="I16" i="22"/>
  <c r="I15" i="22"/>
  <c r="I12" i="22"/>
  <c r="I11" i="22"/>
  <c r="H42" i="22"/>
  <c r="H41" i="22"/>
  <c r="H38" i="22"/>
  <c r="H37" i="22"/>
  <c r="H34" i="22"/>
  <c r="H33" i="22"/>
  <c r="H31" i="22"/>
  <c r="H30" i="22"/>
  <c r="H28" i="22"/>
  <c r="H27" i="22"/>
  <c r="H25" i="22"/>
  <c r="H24" i="22"/>
  <c r="H22" i="22"/>
  <c r="H21" i="22"/>
  <c r="H16" i="22"/>
  <c r="H15" i="22"/>
  <c r="H12" i="22"/>
  <c r="H11" i="22"/>
  <c r="G42" i="22"/>
  <c r="G41" i="22"/>
  <c r="G38" i="22"/>
  <c r="G37" i="22"/>
  <c r="G34" i="22"/>
  <c r="G33" i="22"/>
  <c r="G31" i="22"/>
  <c r="G30" i="22"/>
  <c r="G28" i="22"/>
  <c r="G27" i="22"/>
  <c r="G25" i="22"/>
  <c r="G24" i="22"/>
  <c r="G22" i="22"/>
  <c r="G21" i="22"/>
  <c r="G16" i="22"/>
  <c r="G15" i="22"/>
  <c r="G12" i="22"/>
  <c r="G11" i="22"/>
  <c r="F42" i="22"/>
  <c r="F41" i="22"/>
  <c r="F38" i="22"/>
  <c r="F37" i="22"/>
  <c r="F34" i="22"/>
  <c r="F33" i="22"/>
  <c r="F31" i="22"/>
  <c r="F30" i="22"/>
  <c r="F28" i="22"/>
  <c r="F27" i="22"/>
  <c r="F25" i="22"/>
  <c r="F24" i="22"/>
  <c r="F22" i="22"/>
  <c r="F21" i="22"/>
  <c r="F16" i="22"/>
  <c r="F15" i="22"/>
  <c r="F12" i="22"/>
  <c r="F11" i="22"/>
  <c r="E42" i="22"/>
  <c r="E41" i="22"/>
  <c r="E38" i="22"/>
  <c r="E37" i="22"/>
  <c r="E34" i="22"/>
  <c r="E33" i="22"/>
  <c r="E31" i="22"/>
  <c r="E30" i="22"/>
  <c r="E28" i="22"/>
  <c r="E27" i="22"/>
  <c r="E25" i="22"/>
  <c r="E24" i="22"/>
  <c r="E22" i="22"/>
  <c r="E21" i="22"/>
  <c r="E16" i="22"/>
  <c r="E15" i="22"/>
  <c r="E12" i="22"/>
  <c r="E11" i="22"/>
  <c r="D42" i="22"/>
  <c r="D41" i="22"/>
  <c r="D38" i="22"/>
  <c r="D37" i="22"/>
  <c r="D34" i="22"/>
  <c r="D33" i="22"/>
  <c r="D31" i="22"/>
  <c r="D30" i="22"/>
  <c r="D28" i="22"/>
  <c r="D27" i="22"/>
  <c r="D25" i="22"/>
  <c r="D24" i="22"/>
  <c r="D22" i="22"/>
  <c r="D21" i="22"/>
  <c r="D16" i="22"/>
  <c r="D15" i="22"/>
  <c r="D12" i="22"/>
  <c r="D11" i="22"/>
  <c r="C42" i="22"/>
  <c r="C41" i="22"/>
  <c r="C38" i="22"/>
  <c r="C37" i="22"/>
  <c r="C34" i="22"/>
  <c r="C33" i="22"/>
  <c r="C31" i="22"/>
  <c r="C30" i="22"/>
  <c r="C28" i="22"/>
  <c r="C27" i="22"/>
  <c r="C25" i="22"/>
  <c r="C24" i="22"/>
  <c r="C22" i="22"/>
  <c r="C21" i="22"/>
  <c r="C16" i="22"/>
  <c r="C15" i="22"/>
  <c r="C12" i="22"/>
  <c r="C11" i="22"/>
  <c r="M42" i="21"/>
  <c r="M41" i="21"/>
  <c r="M38" i="21"/>
  <c r="M37" i="21"/>
  <c r="M34" i="21"/>
  <c r="M33" i="21"/>
  <c r="M31" i="21"/>
  <c r="M30" i="21"/>
  <c r="M28" i="21"/>
  <c r="M27" i="21"/>
  <c r="M25" i="21"/>
  <c r="M24" i="21"/>
  <c r="M22" i="21"/>
  <c r="M21" i="21"/>
  <c r="M16" i="21"/>
  <c r="M15" i="21"/>
  <c r="M12" i="21"/>
  <c r="M11" i="21"/>
  <c r="L42" i="21"/>
  <c r="L41" i="21"/>
  <c r="L38" i="21"/>
  <c r="L37" i="21"/>
  <c r="L34" i="21"/>
  <c r="L33" i="21"/>
  <c r="L31" i="21"/>
  <c r="L30" i="21"/>
  <c r="L28" i="21"/>
  <c r="L27" i="21"/>
  <c r="L25" i="21"/>
  <c r="L24" i="21"/>
  <c r="L22" i="21"/>
  <c r="L21" i="21"/>
  <c r="L16" i="21"/>
  <c r="L15" i="21"/>
  <c r="L12" i="21"/>
  <c r="L11" i="21"/>
  <c r="K42" i="21"/>
  <c r="K41" i="21"/>
  <c r="K38" i="21"/>
  <c r="K37" i="21"/>
  <c r="K34" i="21"/>
  <c r="K33" i="21"/>
  <c r="K31" i="21"/>
  <c r="K30" i="21"/>
  <c r="K28" i="21"/>
  <c r="K27" i="21"/>
  <c r="K25" i="21"/>
  <c r="K24" i="21"/>
  <c r="K22" i="21"/>
  <c r="K21" i="21"/>
  <c r="K16" i="21"/>
  <c r="K15" i="21"/>
  <c r="K12" i="21"/>
  <c r="K11" i="21"/>
  <c r="J42" i="21"/>
  <c r="J41" i="21"/>
  <c r="J38" i="21"/>
  <c r="J37" i="21"/>
  <c r="J34" i="21"/>
  <c r="J33" i="21"/>
  <c r="J31" i="21"/>
  <c r="J30" i="21"/>
  <c r="J28" i="21"/>
  <c r="J27" i="21"/>
  <c r="J25" i="21"/>
  <c r="J24" i="21"/>
  <c r="J22" i="21"/>
  <c r="J21" i="21"/>
  <c r="J16" i="21"/>
  <c r="J15" i="21"/>
  <c r="J12" i="21"/>
  <c r="J11" i="21"/>
  <c r="I42" i="21"/>
  <c r="I41" i="21"/>
  <c r="I38" i="21"/>
  <c r="I37" i="21"/>
  <c r="I34" i="21"/>
  <c r="I33" i="21"/>
  <c r="I31" i="21"/>
  <c r="I30" i="21"/>
  <c r="I28" i="21"/>
  <c r="I27" i="21"/>
  <c r="I25" i="21"/>
  <c r="I24" i="21"/>
  <c r="I22" i="21"/>
  <c r="I21" i="21"/>
  <c r="I16" i="21"/>
  <c r="I15" i="21"/>
  <c r="I12" i="21"/>
  <c r="I11" i="21"/>
  <c r="H42" i="21"/>
  <c r="H41" i="21"/>
  <c r="H38" i="21"/>
  <c r="H37" i="21"/>
  <c r="H34" i="21"/>
  <c r="H33" i="21"/>
  <c r="H31" i="21"/>
  <c r="H30" i="21"/>
  <c r="H28" i="21"/>
  <c r="H27" i="21"/>
  <c r="H25" i="21"/>
  <c r="H24" i="21"/>
  <c r="H22" i="21"/>
  <c r="H21" i="21"/>
  <c r="H16" i="21"/>
  <c r="H15" i="21"/>
  <c r="H12" i="21"/>
  <c r="H11" i="21"/>
  <c r="G42" i="21"/>
  <c r="G41" i="21"/>
  <c r="G38" i="21"/>
  <c r="G37" i="21"/>
  <c r="G34" i="21"/>
  <c r="G33" i="21"/>
  <c r="G31" i="21"/>
  <c r="G30" i="21"/>
  <c r="G28" i="21"/>
  <c r="G27" i="21"/>
  <c r="G25" i="21"/>
  <c r="G24" i="21"/>
  <c r="G22" i="21"/>
  <c r="G21" i="21"/>
  <c r="G16" i="21"/>
  <c r="G15" i="21"/>
  <c r="G12" i="21"/>
  <c r="G11" i="21"/>
  <c r="F42" i="21"/>
  <c r="F41" i="21"/>
  <c r="F38" i="21"/>
  <c r="F37" i="21"/>
  <c r="F34" i="21"/>
  <c r="F33" i="21"/>
  <c r="F31" i="21"/>
  <c r="F30" i="21"/>
  <c r="F28" i="21"/>
  <c r="F27" i="21"/>
  <c r="F25" i="21"/>
  <c r="F24" i="21"/>
  <c r="F22" i="21"/>
  <c r="F21" i="21"/>
  <c r="F16" i="21"/>
  <c r="F15" i="21"/>
  <c r="F12" i="21"/>
  <c r="F11" i="21"/>
  <c r="E42" i="21"/>
  <c r="E41" i="21"/>
  <c r="E38" i="21"/>
  <c r="E37" i="21"/>
  <c r="E34" i="21"/>
  <c r="E33" i="21"/>
  <c r="E31" i="21"/>
  <c r="E30" i="21"/>
  <c r="E28" i="21"/>
  <c r="E27" i="21"/>
  <c r="E25" i="21"/>
  <c r="E24" i="21"/>
  <c r="E22" i="21"/>
  <c r="E21" i="21"/>
  <c r="E16" i="21"/>
  <c r="E15" i="21"/>
  <c r="E12" i="21"/>
  <c r="E11" i="21"/>
  <c r="D42" i="21"/>
  <c r="D41" i="21"/>
  <c r="D38" i="21"/>
  <c r="D37" i="21"/>
  <c r="D34" i="21"/>
  <c r="D33" i="21"/>
  <c r="D31" i="21"/>
  <c r="D30" i="21"/>
  <c r="D28" i="21"/>
  <c r="D27" i="21"/>
  <c r="D25" i="21"/>
  <c r="D24" i="21"/>
  <c r="D22" i="21"/>
  <c r="D21" i="21"/>
  <c r="D16" i="21"/>
  <c r="D15" i="21"/>
  <c r="D12" i="21"/>
  <c r="D11" i="21"/>
  <c r="C42" i="21"/>
  <c r="C41" i="21"/>
  <c r="C38" i="21"/>
  <c r="C37" i="21"/>
  <c r="C34" i="21"/>
  <c r="C33" i="21"/>
  <c r="C31" i="21"/>
  <c r="C30" i="21"/>
  <c r="C28" i="21"/>
  <c r="C27" i="21"/>
  <c r="C25" i="21"/>
  <c r="C24" i="21"/>
  <c r="C22" i="21"/>
  <c r="C21" i="21"/>
  <c r="C16" i="21"/>
  <c r="C15" i="21"/>
  <c r="C12" i="21"/>
  <c r="C11" i="21"/>
  <c r="M42" i="20"/>
  <c r="M41" i="20"/>
  <c r="M38" i="20"/>
  <c r="M37" i="20"/>
  <c r="M34" i="20"/>
  <c r="M33" i="20"/>
  <c r="M31" i="20"/>
  <c r="M30" i="20"/>
  <c r="M28" i="20"/>
  <c r="M27" i="20"/>
  <c r="M25" i="20"/>
  <c r="M24" i="20"/>
  <c r="M22" i="20"/>
  <c r="M21" i="20"/>
  <c r="M16" i="20"/>
  <c r="M15" i="20"/>
  <c r="M12" i="20"/>
  <c r="M11" i="20"/>
  <c r="L42" i="20"/>
  <c r="L41" i="20"/>
  <c r="L38" i="20"/>
  <c r="L37" i="20"/>
  <c r="L34" i="20"/>
  <c r="L33" i="20"/>
  <c r="L31" i="20"/>
  <c r="L30" i="20"/>
  <c r="L28" i="20"/>
  <c r="L27" i="20"/>
  <c r="L25" i="20"/>
  <c r="L24" i="20"/>
  <c r="L22" i="20"/>
  <c r="L21" i="20"/>
  <c r="L16" i="20"/>
  <c r="L15" i="20"/>
  <c r="L12" i="20"/>
  <c r="L11" i="20"/>
  <c r="K42" i="20"/>
  <c r="K41" i="20"/>
  <c r="K38" i="20"/>
  <c r="K37" i="20"/>
  <c r="K34" i="20"/>
  <c r="K33" i="20"/>
  <c r="K31" i="20"/>
  <c r="K30" i="20"/>
  <c r="K28" i="20"/>
  <c r="K27" i="20"/>
  <c r="K25" i="20"/>
  <c r="K24" i="20"/>
  <c r="K22" i="20"/>
  <c r="K21" i="20"/>
  <c r="K16" i="20"/>
  <c r="K15" i="20"/>
  <c r="K12" i="20"/>
  <c r="K11" i="20"/>
  <c r="J42" i="20"/>
  <c r="J41" i="20"/>
  <c r="J38" i="20"/>
  <c r="J37" i="20"/>
  <c r="J34" i="20"/>
  <c r="J33" i="20"/>
  <c r="J31" i="20"/>
  <c r="J30" i="20"/>
  <c r="J28" i="20"/>
  <c r="J27" i="20"/>
  <c r="J25" i="20"/>
  <c r="J24" i="20"/>
  <c r="J22" i="20"/>
  <c r="J21" i="20"/>
  <c r="J16" i="20"/>
  <c r="J15" i="20"/>
  <c r="J12" i="20"/>
  <c r="J11" i="20"/>
  <c r="I42" i="20"/>
  <c r="I41" i="20"/>
  <c r="I38" i="20"/>
  <c r="I37" i="20"/>
  <c r="I34" i="20"/>
  <c r="I33" i="20"/>
  <c r="I31" i="20"/>
  <c r="I30" i="20"/>
  <c r="I28" i="20"/>
  <c r="I27" i="20"/>
  <c r="I25" i="20"/>
  <c r="I24" i="20"/>
  <c r="I22" i="20"/>
  <c r="I21" i="20"/>
  <c r="I16" i="20"/>
  <c r="I15" i="20"/>
  <c r="I12" i="20"/>
  <c r="I11" i="20"/>
  <c r="H42" i="20"/>
  <c r="H41" i="20"/>
  <c r="H38" i="20"/>
  <c r="H37" i="20"/>
  <c r="H34" i="20"/>
  <c r="H33" i="20"/>
  <c r="H31" i="20"/>
  <c r="H30" i="20"/>
  <c r="H28" i="20"/>
  <c r="H27" i="20"/>
  <c r="H25" i="20"/>
  <c r="H24" i="20"/>
  <c r="H22" i="20"/>
  <c r="H21" i="20"/>
  <c r="H16" i="20"/>
  <c r="H15" i="20"/>
  <c r="H12" i="20"/>
  <c r="H11" i="20"/>
  <c r="G42" i="20"/>
  <c r="G41" i="20"/>
  <c r="G38" i="20"/>
  <c r="G37" i="20"/>
  <c r="G34" i="20"/>
  <c r="G33" i="20"/>
  <c r="G31" i="20"/>
  <c r="G30" i="20"/>
  <c r="G28" i="20"/>
  <c r="G27" i="20"/>
  <c r="G25" i="20"/>
  <c r="G24" i="20"/>
  <c r="G22" i="20"/>
  <c r="G21" i="20"/>
  <c r="G16" i="20"/>
  <c r="G15" i="20"/>
  <c r="G12" i="20"/>
  <c r="G11" i="20"/>
  <c r="F42" i="20"/>
  <c r="F41" i="20"/>
  <c r="F38" i="20"/>
  <c r="F37" i="20"/>
  <c r="F34" i="20"/>
  <c r="F33" i="20"/>
  <c r="F31" i="20"/>
  <c r="F30" i="20"/>
  <c r="F28" i="20"/>
  <c r="F27" i="20"/>
  <c r="F25" i="20"/>
  <c r="F24" i="20"/>
  <c r="F22" i="20"/>
  <c r="F21" i="20"/>
  <c r="F16" i="20"/>
  <c r="F15" i="20"/>
  <c r="F12" i="20"/>
  <c r="F11" i="20"/>
  <c r="E42" i="20"/>
  <c r="E41" i="20"/>
  <c r="E38" i="20"/>
  <c r="E37" i="20"/>
  <c r="E34" i="20"/>
  <c r="E33" i="20"/>
  <c r="E31" i="20"/>
  <c r="E30" i="20"/>
  <c r="E28" i="20"/>
  <c r="E27" i="20"/>
  <c r="E25" i="20"/>
  <c r="E24" i="20"/>
  <c r="E22" i="20"/>
  <c r="E21" i="20"/>
  <c r="E16" i="20"/>
  <c r="E15" i="20"/>
  <c r="E12" i="20"/>
  <c r="E11" i="20"/>
  <c r="D42" i="20"/>
  <c r="D41" i="20"/>
  <c r="D38" i="20"/>
  <c r="D37" i="20"/>
  <c r="D34" i="20"/>
  <c r="D33" i="20"/>
  <c r="D31" i="20"/>
  <c r="D30" i="20"/>
  <c r="D28" i="20"/>
  <c r="D27" i="20"/>
  <c r="D25" i="20"/>
  <c r="D24" i="20"/>
  <c r="D22" i="20"/>
  <c r="D21" i="20"/>
  <c r="D16" i="20"/>
  <c r="D15" i="20"/>
  <c r="D12" i="20"/>
  <c r="D11" i="20"/>
  <c r="C42" i="20"/>
  <c r="C41" i="20"/>
  <c r="C38" i="20"/>
  <c r="C37" i="20"/>
  <c r="C34" i="20"/>
  <c r="C33" i="20"/>
  <c r="C31" i="20"/>
  <c r="C30" i="20"/>
  <c r="C28" i="20"/>
  <c r="C27" i="20"/>
  <c r="C25" i="20"/>
  <c r="C24" i="20"/>
  <c r="C22" i="20"/>
  <c r="C21" i="20"/>
  <c r="C16" i="20"/>
  <c r="C15" i="20"/>
  <c r="C12" i="20"/>
  <c r="C11" i="20"/>
  <c r="M42" i="19"/>
  <c r="M41" i="19"/>
  <c r="M38" i="19"/>
  <c r="M37" i="19"/>
  <c r="M34" i="19"/>
  <c r="M33" i="19"/>
  <c r="M31" i="19"/>
  <c r="M30" i="19"/>
  <c r="M28" i="19"/>
  <c r="M27" i="19"/>
  <c r="M25" i="19"/>
  <c r="M24" i="19"/>
  <c r="M22" i="19"/>
  <c r="M21" i="19"/>
  <c r="M16" i="19"/>
  <c r="M15" i="19"/>
  <c r="M12" i="19"/>
  <c r="M11" i="19"/>
  <c r="L42" i="19"/>
  <c r="L41" i="19"/>
  <c r="L38" i="19"/>
  <c r="L37" i="19"/>
  <c r="L34" i="19"/>
  <c r="L33" i="19"/>
  <c r="L31" i="19"/>
  <c r="L30" i="19"/>
  <c r="L28" i="19"/>
  <c r="L27" i="19"/>
  <c r="L25" i="19"/>
  <c r="L24" i="19"/>
  <c r="L22" i="19"/>
  <c r="L21" i="19"/>
  <c r="L16" i="19"/>
  <c r="L15" i="19"/>
  <c r="L12" i="19"/>
  <c r="L11" i="19"/>
  <c r="K42" i="19"/>
  <c r="K41" i="19"/>
  <c r="K38" i="19"/>
  <c r="K37" i="19"/>
  <c r="K34" i="19"/>
  <c r="K33" i="19"/>
  <c r="K31" i="19"/>
  <c r="K30" i="19"/>
  <c r="K28" i="19"/>
  <c r="K27" i="19"/>
  <c r="K25" i="19"/>
  <c r="K24" i="19"/>
  <c r="K22" i="19"/>
  <c r="K21" i="19"/>
  <c r="K16" i="19"/>
  <c r="K15" i="19"/>
  <c r="K12" i="19"/>
  <c r="K11" i="19"/>
  <c r="J42" i="19"/>
  <c r="J41" i="19"/>
  <c r="J38" i="19"/>
  <c r="J37" i="19"/>
  <c r="J34" i="19"/>
  <c r="J33" i="19"/>
  <c r="J31" i="19"/>
  <c r="J30" i="19"/>
  <c r="J28" i="19"/>
  <c r="J27" i="19"/>
  <c r="J25" i="19"/>
  <c r="J24" i="19"/>
  <c r="J22" i="19"/>
  <c r="J21" i="19"/>
  <c r="J16" i="19"/>
  <c r="J15" i="19"/>
  <c r="J12" i="19"/>
  <c r="J11" i="19"/>
  <c r="I42" i="19"/>
  <c r="I41" i="19"/>
  <c r="I38" i="19"/>
  <c r="I37" i="19"/>
  <c r="I34" i="19"/>
  <c r="I33" i="19"/>
  <c r="I31" i="19"/>
  <c r="I30" i="19"/>
  <c r="I28" i="19"/>
  <c r="I27" i="19"/>
  <c r="I25" i="19"/>
  <c r="I24" i="19"/>
  <c r="I22" i="19"/>
  <c r="I21" i="19"/>
  <c r="I16" i="19"/>
  <c r="I15" i="19"/>
  <c r="I12" i="19"/>
  <c r="I11" i="19"/>
  <c r="H42" i="19"/>
  <c r="H41" i="19"/>
  <c r="H38" i="19"/>
  <c r="H37" i="19"/>
  <c r="H34" i="19"/>
  <c r="H33" i="19"/>
  <c r="H31" i="19"/>
  <c r="H30" i="19"/>
  <c r="H28" i="19"/>
  <c r="H27" i="19"/>
  <c r="H25" i="19"/>
  <c r="H24" i="19"/>
  <c r="H22" i="19"/>
  <c r="H21" i="19"/>
  <c r="H16" i="19"/>
  <c r="H15" i="19"/>
  <c r="H12" i="19"/>
  <c r="H11" i="19"/>
  <c r="G42" i="19"/>
  <c r="G41" i="19"/>
  <c r="G38" i="19"/>
  <c r="G37" i="19"/>
  <c r="G34" i="19"/>
  <c r="G33" i="19"/>
  <c r="G31" i="19"/>
  <c r="G30" i="19"/>
  <c r="G28" i="19"/>
  <c r="G27" i="19"/>
  <c r="G25" i="19"/>
  <c r="G24" i="19"/>
  <c r="G22" i="19"/>
  <c r="G21" i="19"/>
  <c r="G16" i="19"/>
  <c r="G15" i="19"/>
  <c r="G12" i="19"/>
  <c r="G11" i="19"/>
  <c r="F42" i="19"/>
  <c r="F41" i="19"/>
  <c r="F38" i="19"/>
  <c r="F37" i="19"/>
  <c r="F34" i="19"/>
  <c r="F33" i="19"/>
  <c r="F31" i="19"/>
  <c r="F30" i="19"/>
  <c r="F28" i="19"/>
  <c r="F27" i="19"/>
  <c r="F25" i="19"/>
  <c r="F24" i="19"/>
  <c r="F22" i="19"/>
  <c r="F21" i="19"/>
  <c r="F16" i="19"/>
  <c r="F15" i="19"/>
  <c r="F12" i="19"/>
  <c r="F11" i="19"/>
  <c r="E42" i="19"/>
  <c r="E41" i="19"/>
  <c r="E38" i="19"/>
  <c r="E37" i="19"/>
  <c r="E34" i="19"/>
  <c r="E33" i="19"/>
  <c r="E31" i="19"/>
  <c r="E30" i="19"/>
  <c r="E28" i="19"/>
  <c r="E27" i="19"/>
  <c r="E25" i="19"/>
  <c r="E24" i="19"/>
  <c r="E22" i="19"/>
  <c r="E21" i="19"/>
  <c r="E16" i="19"/>
  <c r="E15" i="19"/>
  <c r="E12" i="19"/>
  <c r="E11" i="19"/>
  <c r="D42" i="19"/>
  <c r="D41" i="19"/>
  <c r="D38" i="19"/>
  <c r="D37" i="19"/>
  <c r="D34" i="19"/>
  <c r="D33" i="19"/>
  <c r="D31" i="19"/>
  <c r="D30" i="19"/>
  <c r="D28" i="19"/>
  <c r="D27" i="19"/>
  <c r="D25" i="19"/>
  <c r="D24" i="19"/>
  <c r="D22" i="19"/>
  <c r="D21" i="19"/>
  <c r="D16" i="19"/>
  <c r="D15" i="19"/>
  <c r="D12" i="19"/>
  <c r="D11" i="19"/>
  <c r="C42" i="19"/>
  <c r="C41" i="19"/>
  <c r="C38" i="19"/>
  <c r="C37" i="19"/>
  <c r="C34" i="19"/>
  <c r="C33" i="19"/>
  <c r="C31" i="19"/>
  <c r="C30" i="19"/>
  <c r="C28" i="19"/>
  <c r="C27" i="19"/>
  <c r="C25" i="19"/>
  <c r="C24" i="19"/>
  <c r="C22" i="19"/>
  <c r="C21" i="19"/>
  <c r="C16" i="19"/>
  <c r="C15" i="19"/>
  <c r="C12" i="19"/>
  <c r="C11" i="19"/>
  <c r="M42" i="18"/>
  <c r="M41" i="18"/>
  <c r="M38" i="18"/>
  <c r="M37" i="18"/>
  <c r="M34" i="18"/>
  <c r="M33" i="18"/>
  <c r="M31" i="18"/>
  <c r="M30" i="18"/>
  <c r="M28" i="18"/>
  <c r="M27" i="18"/>
  <c r="M25" i="18"/>
  <c r="M24" i="18"/>
  <c r="M22" i="18"/>
  <c r="M21" i="18"/>
  <c r="M16" i="18"/>
  <c r="M15" i="18"/>
  <c r="M12" i="18"/>
  <c r="M11" i="18"/>
  <c r="L42" i="18"/>
  <c r="L41" i="18"/>
  <c r="L38" i="18"/>
  <c r="L37" i="18"/>
  <c r="L34" i="18"/>
  <c r="L33" i="18"/>
  <c r="L31" i="18"/>
  <c r="L30" i="18"/>
  <c r="L28" i="18"/>
  <c r="L27" i="18"/>
  <c r="L25" i="18"/>
  <c r="L24" i="18"/>
  <c r="L22" i="18"/>
  <c r="L21" i="18"/>
  <c r="L16" i="18"/>
  <c r="L15" i="18"/>
  <c r="L12" i="18"/>
  <c r="L11" i="18"/>
  <c r="K42" i="18"/>
  <c r="K41" i="18"/>
  <c r="K38" i="18"/>
  <c r="K37" i="18"/>
  <c r="K34" i="18"/>
  <c r="K33" i="18"/>
  <c r="K31" i="18"/>
  <c r="K30" i="18"/>
  <c r="K28" i="18"/>
  <c r="K27" i="18"/>
  <c r="K25" i="18"/>
  <c r="K24" i="18"/>
  <c r="K22" i="18"/>
  <c r="K21" i="18"/>
  <c r="K16" i="18"/>
  <c r="K15" i="18"/>
  <c r="K12" i="18"/>
  <c r="K11" i="18"/>
  <c r="J42" i="18"/>
  <c r="J41" i="18"/>
  <c r="J38" i="18"/>
  <c r="J37" i="18"/>
  <c r="J34" i="18"/>
  <c r="J33" i="18"/>
  <c r="J31" i="18"/>
  <c r="J30" i="18"/>
  <c r="J28" i="18"/>
  <c r="J27" i="18"/>
  <c r="J25" i="18"/>
  <c r="J24" i="18"/>
  <c r="J22" i="18"/>
  <c r="J21" i="18"/>
  <c r="J16" i="18"/>
  <c r="J15" i="18"/>
  <c r="J12" i="18"/>
  <c r="J11" i="18"/>
  <c r="I42" i="18"/>
  <c r="I41" i="18"/>
  <c r="I38" i="18"/>
  <c r="I37" i="18"/>
  <c r="I34" i="18"/>
  <c r="I33" i="18"/>
  <c r="I31" i="18"/>
  <c r="I30" i="18"/>
  <c r="I28" i="18"/>
  <c r="I27" i="18"/>
  <c r="I25" i="18"/>
  <c r="I24" i="18"/>
  <c r="I22" i="18"/>
  <c r="I21" i="18"/>
  <c r="I16" i="18"/>
  <c r="I15" i="18"/>
  <c r="I12" i="18"/>
  <c r="I11" i="18"/>
  <c r="H42" i="18"/>
  <c r="H41" i="18"/>
  <c r="H38" i="18"/>
  <c r="H37" i="18"/>
  <c r="H34" i="18"/>
  <c r="H33" i="18"/>
  <c r="H31" i="18"/>
  <c r="H30" i="18"/>
  <c r="H28" i="18"/>
  <c r="H27" i="18"/>
  <c r="H25" i="18"/>
  <c r="H24" i="18"/>
  <c r="H22" i="18"/>
  <c r="H21" i="18"/>
  <c r="H16" i="18"/>
  <c r="H15" i="18"/>
  <c r="H12" i="18"/>
  <c r="H11" i="18"/>
  <c r="G42" i="18"/>
  <c r="G41" i="18"/>
  <c r="G38" i="18"/>
  <c r="G37" i="18"/>
  <c r="G34" i="18"/>
  <c r="G33" i="18"/>
  <c r="G31" i="18"/>
  <c r="G30" i="18"/>
  <c r="G28" i="18"/>
  <c r="G27" i="18"/>
  <c r="G25" i="18"/>
  <c r="G24" i="18"/>
  <c r="G22" i="18"/>
  <c r="G21" i="18"/>
  <c r="G16" i="18"/>
  <c r="G15" i="18"/>
  <c r="G12" i="18"/>
  <c r="G11" i="18"/>
  <c r="F42" i="18"/>
  <c r="F41" i="18"/>
  <c r="F38" i="18"/>
  <c r="F37" i="18"/>
  <c r="F34" i="18"/>
  <c r="F33" i="18"/>
  <c r="F31" i="18"/>
  <c r="F30" i="18"/>
  <c r="F28" i="18"/>
  <c r="F27" i="18"/>
  <c r="F25" i="18"/>
  <c r="F24" i="18"/>
  <c r="F22" i="18"/>
  <c r="F21" i="18"/>
  <c r="F16" i="18"/>
  <c r="F15" i="18"/>
  <c r="F12" i="18"/>
  <c r="F11" i="18"/>
  <c r="E42" i="18"/>
  <c r="E41" i="18"/>
  <c r="E38" i="18"/>
  <c r="E37" i="18"/>
  <c r="E34" i="18"/>
  <c r="E33" i="18"/>
  <c r="E31" i="18"/>
  <c r="E30" i="18"/>
  <c r="E28" i="18"/>
  <c r="E27" i="18"/>
  <c r="E25" i="18"/>
  <c r="E24" i="18"/>
  <c r="E22" i="18"/>
  <c r="E21" i="18"/>
  <c r="E16" i="18"/>
  <c r="E15" i="18"/>
  <c r="E12" i="18"/>
  <c r="E11" i="18"/>
  <c r="D42" i="18"/>
  <c r="D41" i="18"/>
  <c r="D38" i="18"/>
  <c r="D37" i="18"/>
  <c r="D34" i="18"/>
  <c r="D33" i="18"/>
  <c r="D31" i="18"/>
  <c r="D30" i="18"/>
  <c r="D28" i="18"/>
  <c r="D27" i="18"/>
  <c r="D25" i="18"/>
  <c r="D24" i="18"/>
  <c r="D22" i="18"/>
  <c r="D21" i="18"/>
  <c r="D16" i="18"/>
  <c r="D15" i="18"/>
  <c r="D12" i="18"/>
  <c r="D11" i="18"/>
  <c r="C42" i="18"/>
  <c r="C41" i="18"/>
  <c r="C38" i="18"/>
  <c r="C37" i="18"/>
  <c r="C34" i="18"/>
  <c r="C33" i="18"/>
  <c r="C31" i="18"/>
  <c r="C30" i="18"/>
  <c r="C28" i="18"/>
  <c r="C27" i="18"/>
  <c r="C25" i="18"/>
  <c r="C24" i="18"/>
  <c r="C22" i="18"/>
  <c r="C21" i="18"/>
  <c r="C16" i="18"/>
  <c r="C15" i="18"/>
  <c r="C12" i="18"/>
  <c r="C11" i="18"/>
  <c r="M42" i="17"/>
  <c r="M41" i="17"/>
  <c r="M38" i="17"/>
  <c r="M37" i="17"/>
  <c r="M34" i="17"/>
  <c r="M33" i="17"/>
  <c r="M31" i="17"/>
  <c r="M30" i="17"/>
  <c r="M28" i="17"/>
  <c r="M27" i="17"/>
  <c r="M25" i="17"/>
  <c r="M24" i="17"/>
  <c r="M22" i="17"/>
  <c r="M21" i="17"/>
  <c r="M16" i="17"/>
  <c r="M15" i="17"/>
  <c r="M12" i="17"/>
  <c r="M11" i="17"/>
  <c r="L42" i="17"/>
  <c r="L41" i="17"/>
  <c r="L38" i="17"/>
  <c r="L37" i="17"/>
  <c r="L34" i="17"/>
  <c r="L33" i="17"/>
  <c r="L31" i="17"/>
  <c r="L30" i="17"/>
  <c r="L28" i="17"/>
  <c r="L27" i="17"/>
  <c r="L25" i="17"/>
  <c r="L24" i="17"/>
  <c r="L22" i="17"/>
  <c r="L21" i="17"/>
  <c r="L16" i="17"/>
  <c r="L15" i="17"/>
  <c r="L12" i="17"/>
  <c r="L11" i="17"/>
  <c r="K42" i="17"/>
  <c r="K41" i="17"/>
  <c r="K38" i="17"/>
  <c r="K37" i="17"/>
  <c r="K34" i="17"/>
  <c r="K33" i="17"/>
  <c r="K31" i="17"/>
  <c r="K30" i="17"/>
  <c r="K28" i="17"/>
  <c r="K27" i="17"/>
  <c r="K25" i="17"/>
  <c r="K24" i="17"/>
  <c r="K22" i="17"/>
  <c r="K21" i="17"/>
  <c r="K16" i="17"/>
  <c r="K15" i="17"/>
  <c r="K12" i="17"/>
  <c r="K11" i="17"/>
  <c r="J42" i="17"/>
  <c r="J41" i="17"/>
  <c r="J38" i="17"/>
  <c r="J37" i="17"/>
  <c r="J34" i="17"/>
  <c r="J33" i="17"/>
  <c r="J31" i="17"/>
  <c r="J30" i="17"/>
  <c r="J28" i="17"/>
  <c r="J27" i="17"/>
  <c r="J25" i="17"/>
  <c r="J24" i="17"/>
  <c r="J22" i="17"/>
  <c r="J21" i="17"/>
  <c r="J16" i="17"/>
  <c r="J15" i="17"/>
  <c r="J12" i="17"/>
  <c r="J11" i="17"/>
  <c r="I42" i="17"/>
  <c r="I41" i="17"/>
  <c r="I38" i="17"/>
  <c r="I37" i="17"/>
  <c r="I34" i="17"/>
  <c r="I33" i="17"/>
  <c r="I31" i="17"/>
  <c r="I30" i="17"/>
  <c r="I28" i="17"/>
  <c r="I27" i="17"/>
  <c r="I25" i="17"/>
  <c r="I24" i="17"/>
  <c r="I22" i="17"/>
  <c r="I21" i="17"/>
  <c r="I16" i="17"/>
  <c r="I15" i="17"/>
  <c r="I12" i="17"/>
  <c r="I11" i="17"/>
  <c r="H42" i="17"/>
  <c r="H41" i="17"/>
  <c r="H38" i="17"/>
  <c r="H37" i="17"/>
  <c r="H34" i="17"/>
  <c r="H33" i="17"/>
  <c r="H31" i="17"/>
  <c r="H30" i="17"/>
  <c r="H28" i="17"/>
  <c r="H27" i="17"/>
  <c r="H25" i="17"/>
  <c r="H24" i="17"/>
  <c r="H22" i="17"/>
  <c r="H21" i="17"/>
  <c r="H16" i="17"/>
  <c r="H15" i="17"/>
  <c r="H12" i="17"/>
  <c r="H11" i="17"/>
  <c r="G42" i="17"/>
  <c r="G41" i="17"/>
  <c r="G38" i="17"/>
  <c r="G37" i="17"/>
  <c r="G34" i="17"/>
  <c r="G33" i="17"/>
  <c r="G31" i="17"/>
  <c r="G30" i="17"/>
  <c r="G28" i="17"/>
  <c r="G27" i="17"/>
  <c r="G25" i="17"/>
  <c r="G24" i="17"/>
  <c r="G22" i="17"/>
  <c r="G21" i="17"/>
  <c r="G16" i="17"/>
  <c r="G15" i="17"/>
  <c r="G12" i="17"/>
  <c r="G11" i="17"/>
  <c r="F42" i="17"/>
  <c r="F41" i="17"/>
  <c r="F38" i="17"/>
  <c r="F37" i="17"/>
  <c r="F34" i="17"/>
  <c r="F33" i="17"/>
  <c r="F31" i="17"/>
  <c r="F30" i="17"/>
  <c r="F28" i="17"/>
  <c r="F27" i="17"/>
  <c r="F25" i="17"/>
  <c r="F24" i="17"/>
  <c r="F22" i="17"/>
  <c r="F21" i="17"/>
  <c r="F16" i="17"/>
  <c r="F15" i="17"/>
  <c r="F12" i="17"/>
  <c r="F11" i="17"/>
  <c r="E42" i="17"/>
  <c r="E41" i="17"/>
  <c r="E38" i="17"/>
  <c r="E37" i="17"/>
  <c r="E34" i="17"/>
  <c r="E33" i="17"/>
  <c r="E31" i="17"/>
  <c r="E30" i="17"/>
  <c r="E28" i="17"/>
  <c r="E27" i="17"/>
  <c r="E25" i="17"/>
  <c r="E24" i="17"/>
  <c r="E22" i="17"/>
  <c r="E21" i="17"/>
  <c r="E16" i="17"/>
  <c r="E15" i="17"/>
  <c r="E12" i="17"/>
  <c r="E11" i="17"/>
  <c r="D42" i="17"/>
  <c r="D41" i="17"/>
  <c r="D38" i="17"/>
  <c r="D37" i="17"/>
  <c r="D34" i="17"/>
  <c r="D33" i="17"/>
  <c r="D31" i="17"/>
  <c r="D30" i="17"/>
  <c r="D28" i="17"/>
  <c r="D27" i="17"/>
  <c r="D25" i="17"/>
  <c r="D24" i="17"/>
  <c r="D22" i="17"/>
  <c r="D21" i="17"/>
  <c r="D16" i="17"/>
  <c r="D15" i="17"/>
  <c r="D12" i="17"/>
  <c r="D11" i="17"/>
  <c r="C42" i="17"/>
  <c r="C41" i="17"/>
  <c r="C38" i="17"/>
  <c r="C37" i="17"/>
  <c r="C34" i="17"/>
  <c r="C33" i="17"/>
  <c r="C31" i="17"/>
  <c r="C30" i="17"/>
  <c r="C28" i="17"/>
  <c r="C27" i="17"/>
  <c r="C25" i="17"/>
  <c r="C24" i="17"/>
  <c r="C22" i="17"/>
  <c r="C21" i="17"/>
  <c r="C16" i="17"/>
  <c r="C15" i="17"/>
  <c r="C12" i="17"/>
  <c r="C11" i="17"/>
  <c r="M42" i="16"/>
  <c r="M41" i="16"/>
  <c r="M38" i="16"/>
  <c r="M37" i="16"/>
  <c r="M34" i="16"/>
  <c r="M33" i="16"/>
  <c r="M31" i="16"/>
  <c r="M30" i="16"/>
  <c r="M28" i="16"/>
  <c r="M27" i="16"/>
  <c r="M25" i="16"/>
  <c r="M24" i="16"/>
  <c r="M22" i="16"/>
  <c r="M21" i="16"/>
  <c r="M16" i="16"/>
  <c r="M15" i="16"/>
  <c r="M12" i="16"/>
  <c r="M11" i="16"/>
  <c r="L42" i="16"/>
  <c r="L41" i="16"/>
  <c r="L38" i="16"/>
  <c r="L37" i="16"/>
  <c r="L34" i="16"/>
  <c r="L33" i="16"/>
  <c r="L31" i="16"/>
  <c r="L30" i="16"/>
  <c r="L28" i="16"/>
  <c r="L27" i="16"/>
  <c r="L25" i="16"/>
  <c r="L24" i="16"/>
  <c r="L22" i="16"/>
  <c r="L21" i="16"/>
  <c r="L16" i="16"/>
  <c r="L15" i="16"/>
  <c r="L12" i="16"/>
  <c r="L11" i="16"/>
  <c r="K42" i="16"/>
  <c r="K41" i="16"/>
  <c r="K38" i="16"/>
  <c r="K37" i="16"/>
  <c r="K34" i="16"/>
  <c r="K33" i="16"/>
  <c r="K31" i="16"/>
  <c r="K30" i="16"/>
  <c r="K28" i="16"/>
  <c r="K27" i="16"/>
  <c r="K25" i="16"/>
  <c r="K24" i="16"/>
  <c r="K22" i="16"/>
  <c r="K21" i="16"/>
  <c r="K16" i="16"/>
  <c r="K15" i="16"/>
  <c r="K12" i="16"/>
  <c r="K11" i="16"/>
  <c r="J42" i="16"/>
  <c r="J41" i="16"/>
  <c r="J38" i="16"/>
  <c r="J37" i="16"/>
  <c r="J34" i="16"/>
  <c r="J33" i="16"/>
  <c r="J31" i="16"/>
  <c r="J30" i="16"/>
  <c r="J28" i="16"/>
  <c r="J27" i="16"/>
  <c r="J25" i="16"/>
  <c r="J24" i="16"/>
  <c r="J22" i="16"/>
  <c r="J21" i="16"/>
  <c r="J16" i="16"/>
  <c r="J15" i="16"/>
  <c r="J12" i="16"/>
  <c r="J11" i="16"/>
  <c r="I42" i="16"/>
  <c r="I41" i="16"/>
  <c r="I38" i="16"/>
  <c r="I37" i="16"/>
  <c r="I34" i="16"/>
  <c r="I33" i="16"/>
  <c r="I31" i="16"/>
  <c r="I30" i="16"/>
  <c r="I28" i="16"/>
  <c r="I27" i="16"/>
  <c r="I25" i="16"/>
  <c r="I24" i="16"/>
  <c r="I22" i="16"/>
  <c r="I21" i="16"/>
  <c r="I16" i="16"/>
  <c r="I15" i="16"/>
  <c r="I12" i="16"/>
  <c r="I11" i="16"/>
  <c r="H42" i="16"/>
  <c r="H41" i="16"/>
  <c r="H38" i="16"/>
  <c r="H37" i="16"/>
  <c r="H34" i="16"/>
  <c r="H33" i="16"/>
  <c r="H31" i="16"/>
  <c r="H30" i="16"/>
  <c r="H28" i="16"/>
  <c r="H27" i="16"/>
  <c r="H25" i="16"/>
  <c r="H24" i="16"/>
  <c r="H22" i="16"/>
  <c r="H21" i="16"/>
  <c r="H16" i="16"/>
  <c r="H15" i="16"/>
  <c r="H12" i="16"/>
  <c r="H11" i="16"/>
  <c r="G42" i="16"/>
  <c r="G41" i="16"/>
  <c r="G38" i="16"/>
  <c r="G37" i="16"/>
  <c r="G34" i="16"/>
  <c r="G33" i="16"/>
  <c r="G31" i="16"/>
  <c r="G30" i="16"/>
  <c r="G28" i="16"/>
  <c r="G27" i="16"/>
  <c r="G25" i="16"/>
  <c r="G24" i="16"/>
  <c r="G22" i="16"/>
  <c r="G21" i="16"/>
  <c r="G16" i="16"/>
  <c r="G15" i="16"/>
  <c r="G12" i="16"/>
  <c r="G11" i="16"/>
  <c r="F42" i="16"/>
  <c r="F41" i="16"/>
  <c r="F38" i="16"/>
  <c r="F37" i="16"/>
  <c r="F34" i="16"/>
  <c r="F33" i="16"/>
  <c r="F31" i="16"/>
  <c r="F30" i="16"/>
  <c r="F28" i="16"/>
  <c r="F27" i="16"/>
  <c r="F25" i="16"/>
  <c r="F24" i="16"/>
  <c r="F22" i="16"/>
  <c r="F21" i="16"/>
  <c r="F16" i="16"/>
  <c r="F15" i="16"/>
  <c r="F12" i="16"/>
  <c r="F11" i="16"/>
  <c r="E42" i="16"/>
  <c r="E41" i="16"/>
  <c r="E38" i="16"/>
  <c r="E37" i="16"/>
  <c r="E34" i="16"/>
  <c r="E33" i="16"/>
  <c r="E31" i="16"/>
  <c r="E30" i="16"/>
  <c r="E28" i="16"/>
  <c r="E27" i="16"/>
  <c r="E25" i="16"/>
  <c r="E24" i="16"/>
  <c r="E22" i="16"/>
  <c r="E21" i="16"/>
  <c r="E16" i="16"/>
  <c r="E15" i="16"/>
  <c r="E12" i="16"/>
  <c r="E11" i="16"/>
  <c r="D42" i="16"/>
  <c r="D41" i="16"/>
  <c r="D38" i="16"/>
  <c r="D37" i="16"/>
  <c r="D34" i="16"/>
  <c r="D33" i="16"/>
  <c r="D31" i="16"/>
  <c r="D30" i="16"/>
  <c r="D28" i="16"/>
  <c r="D27" i="16"/>
  <c r="D25" i="16"/>
  <c r="D24" i="16"/>
  <c r="D22" i="16"/>
  <c r="D21" i="16"/>
  <c r="D16" i="16"/>
  <c r="D15" i="16"/>
  <c r="D12" i="16"/>
  <c r="D11" i="16"/>
  <c r="C42" i="16"/>
  <c r="C41" i="16"/>
  <c r="C38" i="16"/>
  <c r="C37" i="16"/>
  <c r="C34" i="16"/>
  <c r="C33" i="16"/>
  <c r="C31" i="16"/>
  <c r="C30" i="16"/>
  <c r="C28" i="16"/>
  <c r="C27" i="16"/>
  <c r="C25" i="16"/>
  <c r="C24" i="16"/>
  <c r="C22" i="16"/>
  <c r="C21" i="16"/>
  <c r="C16" i="16"/>
  <c r="C15" i="16"/>
  <c r="C12" i="16"/>
  <c r="C11" i="16"/>
  <c r="M42" i="15"/>
  <c r="M41" i="15"/>
  <c r="M38" i="15"/>
  <c r="M37" i="15"/>
  <c r="M34" i="15"/>
  <c r="M33" i="15"/>
  <c r="M31" i="15"/>
  <c r="M30" i="15"/>
  <c r="M28" i="15"/>
  <c r="M27" i="15"/>
  <c r="M25" i="15"/>
  <c r="M24" i="15"/>
  <c r="M22" i="15"/>
  <c r="M21" i="15"/>
  <c r="M16" i="15"/>
  <c r="M15" i="15"/>
  <c r="M12" i="15"/>
  <c r="M11" i="15"/>
  <c r="L42" i="15"/>
  <c r="L41" i="15"/>
  <c r="L38" i="15"/>
  <c r="L37" i="15"/>
  <c r="L34" i="15"/>
  <c r="L33" i="15"/>
  <c r="L31" i="15"/>
  <c r="L30" i="15"/>
  <c r="L28" i="15"/>
  <c r="L27" i="15"/>
  <c r="L25" i="15"/>
  <c r="L24" i="15"/>
  <c r="L22" i="15"/>
  <c r="L21" i="15"/>
  <c r="L16" i="15"/>
  <c r="L15" i="15"/>
  <c r="L12" i="15"/>
  <c r="L11" i="15"/>
  <c r="K42" i="15"/>
  <c r="K41" i="15"/>
  <c r="K38" i="15"/>
  <c r="K37" i="15"/>
  <c r="K34" i="15"/>
  <c r="K33" i="15"/>
  <c r="K31" i="15"/>
  <c r="K30" i="15"/>
  <c r="K28" i="15"/>
  <c r="K27" i="15"/>
  <c r="K25" i="15"/>
  <c r="K24" i="15"/>
  <c r="K22" i="15"/>
  <c r="K21" i="15"/>
  <c r="K16" i="15"/>
  <c r="K15" i="15"/>
  <c r="K12" i="15"/>
  <c r="K11" i="15"/>
  <c r="J42" i="15"/>
  <c r="J41" i="15"/>
  <c r="J38" i="15"/>
  <c r="J37" i="15"/>
  <c r="J34" i="15"/>
  <c r="J33" i="15"/>
  <c r="J31" i="15"/>
  <c r="J30" i="15"/>
  <c r="J28" i="15"/>
  <c r="J27" i="15"/>
  <c r="J25" i="15"/>
  <c r="J24" i="15"/>
  <c r="J22" i="15"/>
  <c r="J21" i="15"/>
  <c r="J16" i="15"/>
  <c r="J15" i="15"/>
  <c r="J12" i="15"/>
  <c r="J11" i="15"/>
  <c r="I42" i="15"/>
  <c r="I41" i="15"/>
  <c r="I38" i="15"/>
  <c r="I37" i="15"/>
  <c r="I34" i="15"/>
  <c r="I33" i="15"/>
  <c r="I31" i="15"/>
  <c r="I30" i="15"/>
  <c r="I28" i="15"/>
  <c r="I27" i="15"/>
  <c r="I25" i="15"/>
  <c r="I24" i="15"/>
  <c r="I22" i="15"/>
  <c r="I21" i="15"/>
  <c r="I16" i="15"/>
  <c r="I15" i="15"/>
  <c r="I12" i="15"/>
  <c r="I11" i="15"/>
  <c r="H42" i="15"/>
  <c r="H41" i="15"/>
  <c r="H38" i="15"/>
  <c r="H37" i="15"/>
  <c r="H34" i="15"/>
  <c r="H33" i="15"/>
  <c r="H31" i="15"/>
  <c r="H30" i="15"/>
  <c r="H28" i="15"/>
  <c r="H27" i="15"/>
  <c r="H25" i="15"/>
  <c r="H24" i="15"/>
  <c r="H22" i="15"/>
  <c r="H21" i="15"/>
  <c r="H16" i="15"/>
  <c r="H15" i="15"/>
  <c r="H12" i="15"/>
  <c r="H11" i="15"/>
  <c r="G42" i="15"/>
  <c r="G41" i="15"/>
  <c r="G38" i="15"/>
  <c r="G37" i="15"/>
  <c r="G34" i="15"/>
  <c r="G33" i="15"/>
  <c r="G31" i="15"/>
  <c r="G30" i="15"/>
  <c r="G28" i="15"/>
  <c r="G27" i="15"/>
  <c r="G25" i="15"/>
  <c r="G24" i="15"/>
  <c r="G22" i="15"/>
  <c r="G21" i="15"/>
  <c r="G16" i="15"/>
  <c r="G15" i="15"/>
  <c r="G12" i="15"/>
  <c r="G11" i="15"/>
  <c r="F42" i="15"/>
  <c r="F41" i="15"/>
  <c r="F38" i="15"/>
  <c r="F37" i="15"/>
  <c r="F34" i="15"/>
  <c r="F33" i="15"/>
  <c r="F31" i="15"/>
  <c r="F30" i="15"/>
  <c r="F28" i="15"/>
  <c r="F27" i="15"/>
  <c r="F25" i="15"/>
  <c r="F24" i="15"/>
  <c r="F22" i="15"/>
  <c r="F21" i="15"/>
  <c r="F16" i="15"/>
  <c r="F15" i="15"/>
  <c r="F12" i="15"/>
  <c r="F11" i="15"/>
  <c r="E42" i="15"/>
  <c r="E41" i="15"/>
  <c r="E38" i="15"/>
  <c r="E37" i="15"/>
  <c r="E34" i="15"/>
  <c r="E33" i="15"/>
  <c r="E31" i="15"/>
  <c r="E30" i="15"/>
  <c r="E28" i="15"/>
  <c r="E27" i="15"/>
  <c r="E25" i="15"/>
  <c r="E24" i="15"/>
  <c r="E22" i="15"/>
  <c r="E21" i="15"/>
  <c r="E16" i="15"/>
  <c r="E15" i="15"/>
  <c r="E12" i="15"/>
  <c r="E11" i="15"/>
  <c r="D42" i="15"/>
  <c r="D41" i="15"/>
  <c r="D38" i="15"/>
  <c r="D37" i="15"/>
  <c r="D34" i="15"/>
  <c r="D33" i="15"/>
  <c r="D31" i="15"/>
  <c r="D30" i="15"/>
  <c r="D28" i="15"/>
  <c r="D27" i="15"/>
  <c r="D25" i="15"/>
  <c r="D24" i="15"/>
  <c r="D22" i="15"/>
  <c r="D21" i="15"/>
  <c r="D16" i="15"/>
  <c r="D15" i="15"/>
  <c r="D12" i="15"/>
  <c r="D11" i="15"/>
  <c r="C42" i="15"/>
  <c r="C41" i="15"/>
  <c r="C38" i="15"/>
  <c r="C37" i="15"/>
  <c r="C34" i="15"/>
  <c r="C33" i="15"/>
  <c r="C31" i="15"/>
  <c r="C30" i="15"/>
  <c r="C28" i="15"/>
  <c r="C27" i="15"/>
  <c r="C25" i="15"/>
  <c r="C24" i="15"/>
  <c r="C22" i="15"/>
  <c r="C21" i="15"/>
  <c r="C16" i="15"/>
  <c r="C15" i="15"/>
  <c r="C12" i="15"/>
  <c r="C11" i="15"/>
  <c r="M42" i="14"/>
  <c r="M41" i="14"/>
  <c r="M38" i="14"/>
  <c r="M37" i="14"/>
  <c r="M34" i="14"/>
  <c r="M33" i="14"/>
  <c r="M31" i="14"/>
  <c r="M30" i="14"/>
  <c r="M28" i="14"/>
  <c r="M27" i="14"/>
  <c r="M25" i="14"/>
  <c r="M24" i="14"/>
  <c r="M22" i="14"/>
  <c r="M21" i="14"/>
  <c r="M16" i="14"/>
  <c r="M15" i="14"/>
  <c r="M12" i="14"/>
  <c r="M11" i="14"/>
  <c r="L42" i="14"/>
  <c r="L41" i="14"/>
  <c r="L38" i="14"/>
  <c r="L37" i="14"/>
  <c r="L34" i="14"/>
  <c r="L33" i="14"/>
  <c r="L31" i="14"/>
  <c r="L30" i="14"/>
  <c r="L28" i="14"/>
  <c r="L27" i="14"/>
  <c r="L25" i="14"/>
  <c r="L24" i="14"/>
  <c r="L22" i="14"/>
  <c r="L21" i="14"/>
  <c r="L16" i="14"/>
  <c r="L15" i="14"/>
  <c r="L12" i="14"/>
  <c r="L11" i="14"/>
  <c r="K42" i="14"/>
  <c r="K41" i="14"/>
  <c r="K38" i="14"/>
  <c r="K37" i="14"/>
  <c r="K34" i="14"/>
  <c r="K33" i="14"/>
  <c r="K31" i="14"/>
  <c r="K30" i="14"/>
  <c r="K28" i="14"/>
  <c r="K27" i="14"/>
  <c r="K25" i="14"/>
  <c r="K24" i="14"/>
  <c r="K22" i="14"/>
  <c r="K21" i="14"/>
  <c r="K16" i="14"/>
  <c r="K15" i="14"/>
  <c r="K12" i="14"/>
  <c r="K11" i="14"/>
  <c r="J42" i="14"/>
  <c r="J41" i="14"/>
  <c r="J38" i="14"/>
  <c r="J37" i="14"/>
  <c r="J34" i="14"/>
  <c r="J33" i="14"/>
  <c r="J31" i="14"/>
  <c r="J30" i="14"/>
  <c r="J28" i="14"/>
  <c r="J27" i="14"/>
  <c r="J25" i="14"/>
  <c r="J24" i="14"/>
  <c r="J22" i="14"/>
  <c r="J21" i="14"/>
  <c r="J16" i="14"/>
  <c r="J15" i="14"/>
  <c r="J12" i="14"/>
  <c r="J11" i="14"/>
  <c r="I42" i="14"/>
  <c r="I41" i="14"/>
  <c r="I38" i="14"/>
  <c r="I37" i="14"/>
  <c r="I34" i="14"/>
  <c r="I33" i="14"/>
  <c r="I31" i="14"/>
  <c r="I30" i="14"/>
  <c r="I28" i="14"/>
  <c r="I27" i="14"/>
  <c r="I25" i="14"/>
  <c r="I24" i="14"/>
  <c r="I22" i="14"/>
  <c r="I21" i="14"/>
  <c r="I16" i="14"/>
  <c r="I15" i="14"/>
  <c r="I12" i="14"/>
  <c r="I11" i="14"/>
  <c r="H42" i="14"/>
  <c r="H41" i="14"/>
  <c r="H38" i="14"/>
  <c r="H37" i="14"/>
  <c r="H34" i="14"/>
  <c r="H33" i="14"/>
  <c r="H31" i="14"/>
  <c r="H30" i="14"/>
  <c r="H28" i="14"/>
  <c r="H27" i="14"/>
  <c r="H25" i="14"/>
  <c r="H24" i="14"/>
  <c r="H22" i="14"/>
  <c r="H21" i="14"/>
  <c r="H16" i="14"/>
  <c r="H15" i="14"/>
  <c r="H12" i="14"/>
  <c r="H11" i="14"/>
  <c r="G42" i="14"/>
  <c r="G41" i="14"/>
  <c r="G38" i="14"/>
  <c r="G37" i="14"/>
  <c r="G34" i="14"/>
  <c r="G33" i="14"/>
  <c r="G31" i="14"/>
  <c r="G30" i="14"/>
  <c r="G28" i="14"/>
  <c r="G27" i="14"/>
  <c r="G25" i="14"/>
  <c r="G24" i="14"/>
  <c r="G22" i="14"/>
  <c r="G21" i="14"/>
  <c r="G16" i="14"/>
  <c r="G15" i="14"/>
  <c r="G12" i="14"/>
  <c r="G11" i="14"/>
  <c r="F42" i="14"/>
  <c r="F41" i="14"/>
  <c r="F38" i="14"/>
  <c r="F37" i="14"/>
  <c r="F34" i="14"/>
  <c r="F33" i="14"/>
  <c r="F31" i="14"/>
  <c r="F30" i="14"/>
  <c r="F28" i="14"/>
  <c r="F27" i="14"/>
  <c r="F25" i="14"/>
  <c r="F24" i="14"/>
  <c r="F22" i="14"/>
  <c r="F21" i="14"/>
  <c r="F16" i="14"/>
  <c r="F15" i="14"/>
  <c r="F12" i="14"/>
  <c r="F11" i="14"/>
  <c r="E42" i="14"/>
  <c r="E41" i="14"/>
  <c r="E38" i="14"/>
  <c r="E37" i="14"/>
  <c r="E34" i="14"/>
  <c r="E33" i="14"/>
  <c r="E31" i="14"/>
  <c r="E30" i="14"/>
  <c r="E28" i="14"/>
  <c r="E27" i="14"/>
  <c r="E25" i="14"/>
  <c r="E24" i="14"/>
  <c r="E22" i="14"/>
  <c r="E21" i="14"/>
  <c r="E16" i="14"/>
  <c r="E15" i="14"/>
  <c r="E12" i="14"/>
  <c r="E11" i="14"/>
  <c r="D42" i="14"/>
  <c r="D41" i="14"/>
  <c r="D38" i="14"/>
  <c r="D37" i="14"/>
  <c r="D34" i="14"/>
  <c r="D33" i="14"/>
  <c r="D31" i="14"/>
  <c r="D30" i="14"/>
  <c r="D28" i="14"/>
  <c r="D27" i="14"/>
  <c r="D25" i="14"/>
  <c r="D24" i="14"/>
  <c r="D22" i="14"/>
  <c r="D21" i="14"/>
  <c r="D16" i="14"/>
  <c r="D15" i="14"/>
  <c r="D12" i="14"/>
  <c r="D11" i="14"/>
  <c r="C42" i="14"/>
  <c r="C41" i="14"/>
  <c r="C38" i="14"/>
  <c r="C37" i="14"/>
  <c r="C34" i="14"/>
  <c r="C33" i="14"/>
  <c r="C31" i="14"/>
  <c r="C30" i="14"/>
  <c r="C28" i="14"/>
  <c r="C27" i="14"/>
  <c r="C25" i="14"/>
  <c r="C24" i="14"/>
  <c r="C22" i="14"/>
  <c r="C21" i="14"/>
  <c r="C16" i="14"/>
  <c r="C15" i="14"/>
  <c r="C12" i="14"/>
  <c r="C11" i="14"/>
  <c r="M42" i="13"/>
  <c r="M41" i="13"/>
  <c r="M38" i="13"/>
  <c r="M37" i="13"/>
  <c r="M34" i="13"/>
  <c r="M33" i="13"/>
  <c r="M31" i="13"/>
  <c r="M30" i="13"/>
  <c r="M28" i="13"/>
  <c r="M27" i="13"/>
  <c r="M25" i="13"/>
  <c r="M24" i="13"/>
  <c r="M22" i="13"/>
  <c r="M21" i="13"/>
  <c r="M16" i="13"/>
  <c r="M15" i="13"/>
  <c r="M12" i="13"/>
  <c r="M11" i="13"/>
  <c r="L42" i="13"/>
  <c r="L41" i="13"/>
  <c r="L38" i="13"/>
  <c r="L37" i="13"/>
  <c r="L34" i="13"/>
  <c r="L33" i="13"/>
  <c r="L31" i="13"/>
  <c r="L30" i="13"/>
  <c r="L28" i="13"/>
  <c r="L27" i="13"/>
  <c r="L25" i="13"/>
  <c r="L24" i="13"/>
  <c r="L22" i="13"/>
  <c r="L21" i="13"/>
  <c r="L16" i="13"/>
  <c r="L15" i="13"/>
  <c r="L12" i="13"/>
  <c r="L11" i="13"/>
  <c r="K42" i="13"/>
  <c r="K41" i="13"/>
  <c r="K38" i="13"/>
  <c r="K37" i="13"/>
  <c r="K34" i="13"/>
  <c r="K33" i="13"/>
  <c r="K31" i="13"/>
  <c r="K30" i="13"/>
  <c r="K28" i="13"/>
  <c r="K27" i="13"/>
  <c r="K25" i="13"/>
  <c r="K24" i="13"/>
  <c r="K22" i="13"/>
  <c r="K21" i="13"/>
  <c r="K16" i="13"/>
  <c r="K15" i="13"/>
  <c r="K12" i="13"/>
  <c r="K11" i="13"/>
  <c r="J42" i="13"/>
  <c r="J41" i="13"/>
  <c r="J38" i="13"/>
  <c r="J37" i="13"/>
  <c r="J34" i="13"/>
  <c r="J33" i="13"/>
  <c r="J31" i="13"/>
  <c r="J30" i="13"/>
  <c r="J28" i="13"/>
  <c r="J27" i="13"/>
  <c r="J25" i="13"/>
  <c r="J24" i="13"/>
  <c r="J22" i="13"/>
  <c r="J21" i="13"/>
  <c r="J16" i="13"/>
  <c r="J15" i="13"/>
  <c r="J12" i="13"/>
  <c r="J11" i="13"/>
  <c r="I42" i="13"/>
  <c r="I41" i="13"/>
  <c r="I38" i="13"/>
  <c r="I37" i="13"/>
  <c r="I34" i="13"/>
  <c r="I33" i="13"/>
  <c r="I31" i="13"/>
  <c r="I30" i="13"/>
  <c r="I28" i="13"/>
  <c r="I27" i="13"/>
  <c r="I25" i="13"/>
  <c r="I24" i="13"/>
  <c r="I22" i="13"/>
  <c r="I21" i="13"/>
  <c r="I16" i="13"/>
  <c r="I15" i="13"/>
  <c r="I12" i="13"/>
  <c r="I11" i="13"/>
  <c r="H42" i="13"/>
  <c r="H41" i="13"/>
  <c r="H38" i="13"/>
  <c r="H37" i="13"/>
  <c r="H34" i="13"/>
  <c r="H33" i="13"/>
  <c r="H31" i="13"/>
  <c r="H30" i="13"/>
  <c r="H28" i="13"/>
  <c r="H27" i="13"/>
  <c r="H25" i="13"/>
  <c r="H24" i="13"/>
  <c r="H22" i="13"/>
  <c r="H21" i="13"/>
  <c r="H16" i="13"/>
  <c r="H15" i="13"/>
  <c r="H12" i="13"/>
  <c r="H11" i="13"/>
  <c r="G42" i="13"/>
  <c r="G41" i="13"/>
  <c r="G38" i="13"/>
  <c r="G37" i="13"/>
  <c r="G34" i="13"/>
  <c r="G33" i="13"/>
  <c r="G31" i="13"/>
  <c r="G30" i="13"/>
  <c r="G28" i="13"/>
  <c r="G27" i="13"/>
  <c r="G25" i="13"/>
  <c r="G24" i="13"/>
  <c r="G22" i="13"/>
  <c r="G21" i="13"/>
  <c r="G16" i="13"/>
  <c r="G15" i="13"/>
  <c r="G12" i="13"/>
  <c r="G11" i="13"/>
  <c r="F42" i="13"/>
  <c r="F41" i="13"/>
  <c r="F38" i="13"/>
  <c r="F37" i="13"/>
  <c r="F34" i="13"/>
  <c r="F33" i="13"/>
  <c r="F31" i="13"/>
  <c r="F30" i="13"/>
  <c r="F28" i="13"/>
  <c r="F27" i="13"/>
  <c r="F25" i="13"/>
  <c r="F24" i="13"/>
  <c r="F22" i="13"/>
  <c r="F21" i="13"/>
  <c r="F16" i="13"/>
  <c r="F15" i="13"/>
  <c r="F12" i="13"/>
  <c r="F11" i="13"/>
  <c r="E42" i="13"/>
  <c r="E41" i="13"/>
  <c r="E38" i="13"/>
  <c r="E37" i="13"/>
  <c r="E34" i="13"/>
  <c r="E33" i="13"/>
  <c r="E31" i="13"/>
  <c r="E30" i="13"/>
  <c r="E28" i="13"/>
  <c r="E27" i="13"/>
  <c r="E25" i="13"/>
  <c r="E24" i="13"/>
  <c r="E22" i="13"/>
  <c r="E21" i="13"/>
  <c r="E16" i="13"/>
  <c r="E15" i="13"/>
  <c r="E12" i="13"/>
  <c r="E11" i="13"/>
  <c r="D42" i="13"/>
  <c r="D41" i="13"/>
  <c r="D38" i="13"/>
  <c r="D37" i="13"/>
  <c r="D34" i="13"/>
  <c r="D33" i="13"/>
  <c r="D31" i="13"/>
  <c r="D30" i="13"/>
  <c r="D28" i="13"/>
  <c r="D27" i="13"/>
  <c r="D25" i="13"/>
  <c r="D24" i="13"/>
  <c r="D22" i="13"/>
  <c r="D21" i="13"/>
  <c r="D16" i="13"/>
  <c r="D15" i="13"/>
  <c r="D12" i="13"/>
  <c r="D11" i="13"/>
  <c r="C42" i="13"/>
  <c r="C41" i="13"/>
  <c r="C38" i="13"/>
  <c r="C37" i="13"/>
  <c r="C34" i="13"/>
  <c r="C33" i="13"/>
  <c r="C31" i="13"/>
  <c r="C30" i="13"/>
  <c r="C28" i="13"/>
  <c r="C27" i="13"/>
  <c r="C25" i="13"/>
  <c r="C24" i="13"/>
  <c r="C22" i="13"/>
  <c r="C21" i="13"/>
  <c r="C16" i="13"/>
  <c r="C15" i="13"/>
  <c r="C12" i="13"/>
  <c r="C11" i="13"/>
  <c r="M42" i="12"/>
  <c r="M41" i="12"/>
  <c r="M38" i="12"/>
  <c r="M37" i="12"/>
  <c r="M34" i="12"/>
  <c r="M33" i="12"/>
  <c r="M31" i="12"/>
  <c r="M30" i="12"/>
  <c r="M28" i="12"/>
  <c r="M27" i="12"/>
  <c r="M25" i="12"/>
  <c r="M24" i="12"/>
  <c r="M22" i="12"/>
  <c r="M21" i="12"/>
  <c r="M16" i="12"/>
  <c r="M15" i="12"/>
  <c r="M12" i="12"/>
  <c r="M11" i="12"/>
  <c r="L42" i="12"/>
  <c r="L41" i="12"/>
  <c r="L38" i="12"/>
  <c r="L37" i="12"/>
  <c r="L34" i="12"/>
  <c r="L33" i="12"/>
  <c r="L31" i="12"/>
  <c r="L30" i="12"/>
  <c r="L28" i="12"/>
  <c r="L27" i="12"/>
  <c r="L25" i="12"/>
  <c r="L24" i="12"/>
  <c r="L22" i="12"/>
  <c r="L21" i="12"/>
  <c r="L16" i="12"/>
  <c r="L15" i="12"/>
  <c r="L12" i="12"/>
  <c r="L11" i="12"/>
  <c r="K42" i="12"/>
  <c r="K41" i="12"/>
  <c r="K38" i="12"/>
  <c r="K37" i="12"/>
  <c r="K34" i="12"/>
  <c r="K33" i="12"/>
  <c r="K31" i="12"/>
  <c r="K30" i="12"/>
  <c r="K28" i="12"/>
  <c r="K27" i="12"/>
  <c r="K25" i="12"/>
  <c r="K24" i="12"/>
  <c r="K22" i="12"/>
  <c r="K21" i="12"/>
  <c r="K16" i="12"/>
  <c r="K15" i="12"/>
  <c r="K12" i="12"/>
  <c r="K11" i="12"/>
  <c r="J42" i="12"/>
  <c r="J41" i="12"/>
  <c r="J38" i="12"/>
  <c r="J37" i="12"/>
  <c r="J34" i="12"/>
  <c r="J33" i="12"/>
  <c r="J31" i="12"/>
  <c r="J30" i="12"/>
  <c r="J28" i="12"/>
  <c r="J27" i="12"/>
  <c r="J25" i="12"/>
  <c r="J24" i="12"/>
  <c r="J22" i="12"/>
  <c r="J21" i="12"/>
  <c r="J16" i="12"/>
  <c r="J15" i="12"/>
  <c r="J12" i="12"/>
  <c r="J11" i="12"/>
  <c r="I42" i="12"/>
  <c r="I41" i="12"/>
  <c r="I38" i="12"/>
  <c r="I37" i="12"/>
  <c r="I34" i="12"/>
  <c r="I33" i="12"/>
  <c r="I31" i="12"/>
  <c r="I30" i="12"/>
  <c r="I28" i="12"/>
  <c r="I27" i="12"/>
  <c r="I25" i="12"/>
  <c r="I24" i="12"/>
  <c r="I22" i="12"/>
  <c r="I21" i="12"/>
  <c r="I16" i="12"/>
  <c r="I15" i="12"/>
  <c r="I12" i="12"/>
  <c r="I11" i="12"/>
  <c r="H42" i="12"/>
  <c r="H41" i="12"/>
  <c r="H38" i="12"/>
  <c r="H37" i="12"/>
  <c r="H34" i="12"/>
  <c r="H33" i="12"/>
  <c r="H31" i="12"/>
  <c r="H30" i="12"/>
  <c r="H28" i="12"/>
  <c r="H27" i="12"/>
  <c r="H25" i="12"/>
  <c r="H24" i="12"/>
  <c r="H22" i="12"/>
  <c r="H21" i="12"/>
  <c r="H16" i="12"/>
  <c r="H15" i="12"/>
  <c r="H12" i="12"/>
  <c r="H11" i="12"/>
  <c r="G42" i="12"/>
  <c r="G41" i="12"/>
  <c r="G38" i="12"/>
  <c r="G37" i="12"/>
  <c r="G34" i="12"/>
  <c r="G33" i="12"/>
  <c r="G31" i="12"/>
  <c r="G30" i="12"/>
  <c r="G28" i="12"/>
  <c r="G27" i="12"/>
  <c r="G25" i="12"/>
  <c r="G24" i="12"/>
  <c r="G22" i="12"/>
  <c r="G21" i="12"/>
  <c r="G16" i="12"/>
  <c r="G15" i="12"/>
  <c r="G12" i="12"/>
  <c r="G11" i="12"/>
  <c r="F42" i="12"/>
  <c r="F41" i="12"/>
  <c r="F38" i="12"/>
  <c r="F37" i="12"/>
  <c r="F34" i="12"/>
  <c r="F33" i="12"/>
  <c r="F31" i="12"/>
  <c r="F30" i="12"/>
  <c r="F28" i="12"/>
  <c r="F27" i="12"/>
  <c r="F25" i="12"/>
  <c r="F24" i="12"/>
  <c r="F22" i="12"/>
  <c r="F21" i="12"/>
  <c r="F16" i="12"/>
  <c r="F15" i="12"/>
  <c r="F12" i="12"/>
  <c r="F11" i="12"/>
  <c r="E42" i="12"/>
  <c r="E41" i="12"/>
  <c r="E38" i="12"/>
  <c r="E37" i="12"/>
  <c r="E34" i="12"/>
  <c r="E33" i="12"/>
  <c r="E31" i="12"/>
  <c r="E30" i="12"/>
  <c r="E28" i="12"/>
  <c r="E27" i="12"/>
  <c r="E25" i="12"/>
  <c r="E24" i="12"/>
  <c r="E22" i="12"/>
  <c r="E21" i="12"/>
  <c r="E16" i="12"/>
  <c r="E15" i="12"/>
  <c r="E12" i="12"/>
  <c r="E11" i="12"/>
  <c r="D42" i="12"/>
  <c r="D41" i="12"/>
  <c r="D38" i="12"/>
  <c r="D37" i="12"/>
  <c r="D34" i="12"/>
  <c r="D33" i="12"/>
  <c r="D31" i="12"/>
  <c r="D30" i="12"/>
  <c r="D28" i="12"/>
  <c r="D27" i="12"/>
  <c r="D25" i="12"/>
  <c r="D24" i="12"/>
  <c r="D22" i="12"/>
  <c r="D21" i="12"/>
  <c r="D16" i="12"/>
  <c r="D15" i="12"/>
  <c r="D12" i="12"/>
  <c r="D11" i="12"/>
  <c r="C42" i="12"/>
  <c r="C41" i="12"/>
  <c r="C38" i="12"/>
  <c r="C37" i="12"/>
  <c r="C34" i="12"/>
  <c r="C33" i="12"/>
  <c r="C31" i="12"/>
  <c r="C30" i="12"/>
  <c r="C28" i="12"/>
  <c r="C27" i="12"/>
  <c r="C25" i="12"/>
  <c r="C24" i="12"/>
  <c r="C22" i="12"/>
  <c r="C21" i="12"/>
  <c r="C16" i="12"/>
  <c r="C15" i="12"/>
  <c r="C12" i="12"/>
  <c r="C11" i="12"/>
  <c r="M42" i="11"/>
  <c r="M41" i="11"/>
  <c r="M38" i="11"/>
  <c r="M37" i="11"/>
  <c r="M34" i="11"/>
  <c r="M33" i="11"/>
  <c r="M31" i="11"/>
  <c r="M30" i="11"/>
  <c r="M28" i="11"/>
  <c r="M27" i="11"/>
  <c r="M25" i="11"/>
  <c r="M24" i="11"/>
  <c r="M22" i="11"/>
  <c r="M21" i="11"/>
  <c r="M16" i="11"/>
  <c r="M15" i="11"/>
  <c r="M12" i="11"/>
  <c r="M11" i="11"/>
  <c r="L42" i="11"/>
  <c r="L41" i="11"/>
  <c r="L38" i="11"/>
  <c r="L37" i="11"/>
  <c r="L34" i="11"/>
  <c r="L33" i="11"/>
  <c r="L31" i="11"/>
  <c r="L30" i="11"/>
  <c r="L28" i="11"/>
  <c r="L27" i="11"/>
  <c r="L25" i="11"/>
  <c r="L24" i="11"/>
  <c r="L22" i="11"/>
  <c r="L21" i="11"/>
  <c r="L16" i="11"/>
  <c r="L15" i="11"/>
  <c r="L12" i="11"/>
  <c r="L11" i="11"/>
  <c r="K42" i="11"/>
  <c r="K41" i="11"/>
  <c r="K38" i="11"/>
  <c r="K37" i="11"/>
  <c r="K34" i="11"/>
  <c r="K33" i="11"/>
  <c r="K31" i="11"/>
  <c r="K30" i="11"/>
  <c r="K28" i="11"/>
  <c r="K27" i="11"/>
  <c r="K25" i="11"/>
  <c r="K24" i="11"/>
  <c r="K22" i="11"/>
  <c r="K21" i="11"/>
  <c r="K16" i="11"/>
  <c r="K15" i="11"/>
  <c r="K12" i="11"/>
  <c r="K11" i="11"/>
  <c r="J42" i="11"/>
  <c r="J41" i="11"/>
  <c r="J38" i="11"/>
  <c r="J37" i="11"/>
  <c r="J34" i="11"/>
  <c r="J33" i="11"/>
  <c r="J31" i="11"/>
  <c r="J30" i="11"/>
  <c r="J28" i="11"/>
  <c r="J27" i="11"/>
  <c r="J25" i="11"/>
  <c r="J24" i="11"/>
  <c r="J22" i="11"/>
  <c r="J21" i="11"/>
  <c r="J16" i="11"/>
  <c r="J15" i="11"/>
  <c r="J12" i="11"/>
  <c r="J11" i="11"/>
  <c r="I42" i="11"/>
  <c r="I41" i="11"/>
  <c r="I38" i="11"/>
  <c r="I37" i="11"/>
  <c r="I34" i="11"/>
  <c r="I33" i="11"/>
  <c r="I31" i="11"/>
  <c r="I30" i="11"/>
  <c r="I28" i="11"/>
  <c r="I27" i="11"/>
  <c r="I25" i="11"/>
  <c r="I24" i="11"/>
  <c r="I22" i="11"/>
  <c r="I21" i="11"/>
  <c r="I16" i="11"/>
  <c r="I15" i="11"/>
  <c r="I12" i="11"/>
  <c r="I11" i="11"/>
  <c r="H42" i="11"/>
  <c r="H41" i="11"/>
  <c r="H38" i="11"/>
  <c r="H37" i="11"/>
  <c r="H34" i="11"/>
  <c r="H33" i="11"/>
  <c r="H31" i="11"/>
  <c r="H30" i="11"/>
  <c r="H28" i="11"/>
  <c r="H27" i="11"/>
  <c r="H25" i="11"/>
  <c r="H24" i="11"/>
  <c r="H22" i="11"/>
  <c r="H21" i="11"/>
  <c r="H16" i="11"/>
  <c r="H15" i="11"/>
  <c r="H12" i="11"/>
  <c r="H11" i="11"/>
  <c r="G42" i="11"/>
  <c r="G41" i="11"/>
  <c r="G38" i="11"/>
  <c r="G37" i="11"/>
  <c r="G34" i="11"/>
  <c r="G33" i="11"/>
  <c r="G31" i="11"/>
  <c r="G30" i="11"/>
  <c r="G28" i="11"/>
  <c r="G27" i="11"/>
  <c r="G25" i="11"/>
  <c r="G24" i="11"/>
  <c r="G22" i="11"/>
  <c r="G21" i="11"/>
  <c r="G16" i="11"/>
  <c r="G15" i="11"/>
  <c r="G12" i="11"/>
  <c r="G11" i="11"/>
  <c r="F42" i="11"/>
  <c r="F41" i="11"/>
  <c r="F38" i="11"/>
  <c r="F37" i="11"/>
  <c r="F34" i="11"/>
  <c r="F33" i="11"/>
  <c r="F31" i="11"/>
  <c r="F30" i="11"/>
  <c r="F28" i="11"/>
  <c r="F27" i="11"/>
  <c r="F25" i="11"/>
  <c r="F24" i="11"/>
  <c r="F22" i="11"/>
  <c r="F21" i="11"/>
  <c r="F16" i="11"/>
  <c r="F15" i="11"/>
  <c r="F12" i="11"/>
  <c r="F11" i="11"/>
  <c r="E42" i="11"/>
  <c r="E41" i="11"/>
  <c r="E38" i="11"/>
  <c r="E37" i="11"/>
  <c r="E34" i="11"/>
  <c r="E33" i="11"/>
  <c r="E31" i="11"/>
  <c r="E30" i="11"/>
  <c r="E28" i="11"/>
  <c r="E27" i="11"/>
  <c r="E25" i="11"/>
  <c r="E24" i="11"/>
  <c r="E22" i="11"/>
  <c r="E21" i="11"/>
  <c r="E16" i="11"/>
  <c r="E15" i="11"/>
  <c r="E12" i="11"/>
  <c r="E11" i="11"/>
  <c r="D42" i="11"/>
  <c r="D41" i="11"/>
  <c r="D38" i="11"/>
  <c r="D37" i="11"/>
  <c r="D34" i="11"/>
  <c r="D33" i="11"/>
  <c r="D31" i="11"/>
  <c r="D30" i="11"/>
  <c r="D28" i="11"/>
  <c r="D27" i="11"/>
  <c r="D25" i="11"/>
  <c r="D24" i="11"/>
  <c r="D22" i="11"/>
  <c r="D21" i="11"/>
  <c r="D16" i="11"/>
  <c r="D15" i="11"/>
  <c r="D12" i="11"/>
  <c r="D11" i="11"/>
  <c r="C42" i="11"/>
  <c r="C41" i="11"/>
  <c r="C38" i="11"/>
  <c r="C37" i="11"/>
  <c r="C34" i="11"/>
  <c r="C33" i="11"/>
  <c r="C31" i="11"/>
  <c r="C30" i="11"/>
  <c r="C28" i="11"/>
  <c r="C27" i="11"/>
  <c r="C25" i="11"/>
  <c r="C24" i="11"/>
  <c r="C22" i="11"/>
  <c r="C21" i="11"/>
  <c r="C16" i="11"/>
  <c r="C15" i="11"/>
  <c r="C12" i="11"/>
  <c r="C11" i="11"/>
  <c r="M42" i="10"/>
  <c r="M41" i="10"/>
  <c r="M38" i="10"/>
  <c r="M37" i="10"/>
  <c r="M34" i="10"/>
  <c r="M33" i="10"/>
  <c r="M31" i="10"/>
  <c r="M30" i="10"/>
  <c r="M28" i="10"/>
  <c r="M27" i="10"/>
  <c r="M25" i="10"/>
  <c r="M24" i="10"/>
  <c r="M22" i="10"/>
  <c r="M21" i="10"/>
  <c r="M16" i="10"/>
  <c r="M15" i="10"/>
  <c r="M12" i="10"/>
  <c r="M11" i="10"/>
  <c r="L42" i="10"/>
  <c r="L41" i="10"/>
  <c r="L38" i="10"/>
  <c r="L37" i="10"/>
  <c r="L34" i="10"/>
  <c r="L33" i="10"/>
  <c r="L31" i="10"/>
  <c r="L30" i="10"/>
  <c r="L28" i="10"/>
  <c r="L27" i="10"/>
  <c r="L25" i="10"/>
  <c r="L24" i="10"/>
  <c r="L22" i="10"/>
  <c r="L21" i="10"/>
  <c r="L16" i="10"/>
  <c r="L15" i="10"/>
  <c r="L12" i="10"/>
  <c r="L11" i="10"/>
  <c r="K42" i="10"/>
  <c r="K41" i="10"/>
  <c r="K38" i="10"/>
  <c r="K37" i="10"/>
  <c r="K34" i="10"/>
  <c r="K33" i="10"/>
  <c r="K31" i="10"/>
  <c r="K30" i="10"/>
  <c r="K28" i="10"/>
  <c r="K27" i="10"/>
  <c r="K25" i="10"/>
  <c r="K24" i="10"/>
  <c r="K22" i="10"/>
  <c r="K21" i="10"/>
  <c r="K16" i="10"/>
  <c r="K15" i="10"/>
  <c r="K12" i="10"/>
  <c r="K11" i="10"/>
  <c r="J42" i="10"/>
  <c r="J41" i="10"/>
  <c r="J38" i="10"/>
  <c r="J37" i="10"/>
  <c r="J34" i="10"/>
  <c r="J33" i="10"/>
  <c r="J31" i="10"/>
  <c r="J30" i="10"/>
  <c r="J28" i="10"/>
  <c r="J27" i="10"/>
  <c r="J25" i="10"/>
  <c r="J24" i="10"/>
  <c r="J22" i="10"/>
  <c r="J21" i="10"/>
  <c r="J16" i="10"/>
  <c r="J15" i="10"/>
  <c r="J12" i="10"/>
  <c r="J11" i="10"/>
  <c r="I42" i="10"/>
  <c r="I41" i="10"/>
  <c r="I38" i="10"/>
  <c r="I37" i="10"/>
  <c r="I34" i="10"/>
  <c r="I33" i="10"/>
  <c r="I31" i="10"/>
  <c r="I30" i="10"/>
  <c r="I28" i="10"/>
  <c r="I27" i="10"/>
  <c r="I25" i="10"/>
  <c r="I24" i="10"/>
  <c r="I22" i="10"/>
  <c r="I21" i="10"/>
  <c r="I16" i="10"/>
  <c r="I15" i="10"/>
  <c r="I12" i="10"/>
  <c r="I11" i="10"/>
  <c r="H42" i="10"/>
  <c r="H41" i="10"/>
  <c r="H38" i="10"/>
  <c r="H37" i="10"/>
  <c r="H34" i="10"/>
  <c r="H33" i="10"/>
  <c r="H31" i="10"/>
  <c r="H30" i="10"/>
  <c r="H28" i="10"/>
  <c r="H27" i="10"/>
  <c r="H25" i="10"/>
  <c r="H24" i="10"/>
  <c r="H22" i="10"/>
  <c r="H21" i="10"/>
  <c r="H16" i="10"/>
  <c r="H15" i="10"/>
  <c r="H12" i="10"/>
  <c r="H11" i="10"/>
  <c r="G42" i="10"/>
  <c r="G41" i="10"/>
  <c r="G38" i="10"/>
  <c r="G37" i="10"/>
  <c r="G34" i="10"/>
  <c r="G33" i="10"/>
  <c r="G31" i="10"/>
  <c r="G30" i="10"/>
  <c r="G28" i="10"/>
  <c r="G27" i="10"/>
  <c r="G25" i="10"/>
  <c r="G24" i="10"/>
  <c r="G22" i="10"/>
  <c r="G21" i="10"/>
  <c r="G16" i="10"/>
  <c r="G15" i="10"/>
  <c r="G12" i="10"/>
  <c r="G11" i="10"/>
  <c r="F42" i="10"/>
  <c r="F41" i="10"/>
  <c r="F38" i="10"/>
  <c r="F37" i="10"/>
  <c r="F34" i="10"/>
  <c r="F33" i="10"/>
  <c r="F31" i="10"/>
  <c r="F30" i="10"/>
  <c r="F28" i="10"/>
  <c r="F27" i="10"/>
  <c r="F25" i="10"/>
  <c r="F24" i="10"/>
  <c r="F22" i="10"/>
  <c r="F21" i="10"/>
  <c r="F16" i="10"/>
  <c r="F15" i="10"/>
  <c r="F12" i="10"/>
  <c r="F11" i="10"/>
  <c r="E42" i="10"/>
  <c r="E41" i="10"/>
  <c r="E38" i="10"/>
  <c r="E37" i="10"/>
  <c r="E34" i="10"/>
  <c r="E33" i="10"/>
  <c r="E31" i="10"/>
  <c r="E30" i="10"/>
  <c r="E28" i="10"/>
  <c r="E27" i="10"/>
  <c r="E25" i="10"/>
  <c r="E24" i="10"/>
  <c r="E22" i="10"/>
  <c r="E21" i="10"/>
  <c r="E16" i="10"/>
  <c r="E15" i="10"/>
  <c r="E12" i="10"/>
  <c r="E11" i="10"/>
  <c r="D42" i="10"/>
  <c r="D41" i="10"/>
  <c r="D38" i="10"/>
  <c r="D37" i="10"/>
  <c r="D34" i="10"/>
  <c r="D33" i="10"/>
  <c r="D31" i="10"/>
  <c r="D30" i="10"/>
  <c r="D28" i="10"/>
  <c r="D27" i="10"/>
  <c r="D25" i="10"/>
  <c r="D24" i="10"/>
  <c r="D22" i="10"/>
  <c r="D21" i="10"/>
  <c r="D16" i="10"/>
  <c r="D15" i="10"/>
  <c r="D12" i="10"/>
  <c r="D11" i="10"/>
  <c r="C42" i="10"/>
  <c r="C41" i="10"/>
  <c r="C38" i="10"/>
  <c r="C37" i="10"/>
  <c r="C34" i="10"/>
  <c r="C33" i="10"/>
  <c r="C31" i="10"/>
  <c r="C30" i="10"/>
  <c r="C28" i="10"/>
  <c r="C27" i="10"/>
  <c r="C25" i="10"/>
  <c r="C24" i="10"/>
  <c r="C22" i="10"/>
  <c r="C21" i="10"/>
  <c r="C16" i="10"/>
  <c r="C15" i="10"/>
  <c r="C12" i="10"/>
  <c r="C11" i="10"/>
  <c r="M42" i="9"/>
  <c r="M41" i="9"/>
  <c r="M38" i="9"/>
  <c r="M37" i="9"/>
  <c r="M34" i="9"/>
  <c r="M33" i="9"/>
  <c r="M31" i="9"/>
  <c r="M30" i="9"/>
  <c r="M28" i="9"/>
  <c r="M27" i="9"/>
  <c r="M25" i="9"/>
  <c r="M24" i="9"/>
  <c r="M22" i="9"/>
  <c r="M21" i="9"/>
  <c r="M16" i="9"/>
  <c r="M15" i="9"/>
  <c r="M12" i="9"/>
  <c r="M11" i="9"/>
  <c r="L42" i="9"/>
  <c r="L41" i="9"/>
  <c r="L38" i="9"/>
  <c r="L37" i="9"/>
  <c r="L34" i="9"/>
  <c r="L33" i="9"/>
  <c r="L31" i="9"/>
  <c r="L30" i="9"/>
  <c r="L28" i="9"/>
  <c r="L27" i="9"/>
  <c r="L25" i="9"/>
  <c r="L24" i="9"/>
  <c r="L22" i="9"/>
  <c r="L21" i="9"/>
  <c r="L16" i="9"/>
  <c r="L15" i="9"/>
  <c r="L12" i="9"/>
  <c r="L11" i="9"/>
  <c r="K42" i="9"/>
  <c r="K41" i="9"/>
  <c r="K38" i="9"/>
  <c r="K37" i="9"/>
  <c r="K34" i="9"/>
  <c r="K33" i="9"/>
  <c r="K31" i="9"/>
  <c r="K30" i="9"/>
  <c r="K28" i="9"/>
  <c r="K27" i="9"/>
  <c r="K25" i="9"/>
  <c r="K24" i="9"/>
  <c r="K22" i="9"/>
  <c r="K21" i="9"/>
  <c r="K16" i="9"/>
  <c r="K15" i="9"/>
  <c r="K12" i="9"/>
  <c r="K11" i="9"/>
  <c r="J42" i="9"/>
  <c r="J41" i="9"/>
  <c r="J38" i="9"/>
  <c r="J37" i="9"/>
  <c r="J34" i="9"/>
  <c r="J33" i="9"/>
  <c r="J31" i="9"/>
  <c r="J30" i="9"/>
  <c r="J28" i="9"/>
  <c r="J27" i="9"/>
  <c r="J25" i="9"/>
  <c r="J24" i="9"/>
  <c r="J22" i="9"/>
  <c r="J21" i="9"/>
  <c r="J16" i="9"/>
  <c r="J15" i="9"/>
  <c r="J12" i="9"/>
  <c r="J11" i="9"/>
  <c r="I42" i="9"/>
  <c r="I41" i="9"/>
  <c r="I38" i="9"/>
  <c r="I37" i="9"/>
  <c r="I34" i="9"/>
  <c r="I33" i="9"/>
  <c r="I31" i="9"/>
  <c r="I30" i="9"/>
  <c r="I28" i="9"/>
  <c r="I27" i="9"/>
  <c r="I25" i="9"/>
  <c r="I24" i="9"/>
  <c r="I22" i="9"/>
  <c r="I21" i="9"/>
  <c r="I16" i="9"/>
  <c r="I15" i="9"/>
  <c r="I12" i="9"/>
  <c r="I11" i="9"/>
  <c r="H42" i="9"/>
  <c r="H41" i="9"/>
  <c r="H38" i="9"/>
  <c r="H37" i="9"/>
  <c r="H34" i="9"/>
  <c r="H33" i="9"/>
  <c r="H31" i="9"/>
  <c r="H30" i="9"/>
  <c r="H28" i="9"/>
  <c r="H27" i="9"/>
  <c r="H25" i="9"/>
  <c r="H24" i="9"/>
  <c r="H22" i="9"/>
  <c r="H21" i="9"/>
  <c r="H16" i="9"/>
  <c r="H15" i="9"/>
  <c r="H12" i="9"/>
  <c r="H11" i="9"/>
  <c r="G42" i="9"/>
  <c r="G41" i="9"/>
  <c r="G38" i="9"/>
  <c r="G37" i="9"/>
  <c r="G34" i="9"/>
  <c r="G33" i="9"/>
  <c r="G31" i="9"/>
  <c r="G30" i="9"/>
  <c r="G28" i="9"/>
  <c r="G27" i="9"/>
  <c r="G25" i="9"/>
  <c r="G24" i="9"/>
  <c r="G22" i="9"/>
  <c r="G21" i="9"/>
  <c r="G16" i="9"/>
  <c r="G15" i="9"/>
  <c r="G12" i="9"/>
  <c r="G11" i="9"/>
  <c r="F42" i="9"/>
  <c r="F41" i="9"/>
  <c r="F38" i="9"/>
  <c r="F37" i="9"/>
  <c r="F34" i="9"/>
  <c r="F33" i="9"/>
  <c r="F31" i="9"/>
  <c r="F30" i="9"/>
  <c r="F28" i="9"/>
  <c r="F27" i="9"/>
  <c r="F25" i="9"/>
  <c r="F24" i="9"/>
  <c r="F22" i="9"/>
  <c r="F21" i="9"/>
  <c r="F16" i="9"/>
  <c r="F15" i="9"/>
  <c r="F12" i="9"/>
  <c r="F11" i="9"/>
  <c r="E42" i="9"/>
  <c r="E41" i="9"/>
  <c r="E38" i="9"/>
  <c r="E37" i="9"/>
  <c r="E34" i="9"/>
  <c r="E33" i="9"/>
  <c r="E31" i="9"/>
  <c r="E30" i="9"/>
  <c r="E28" i="9"/>
  <c r="E27" i="9"/>
  <c r="E25" i="9"/>
  <c r="E24" i="9"/>
  <c r="E22" i="9"/>
  <c r="E21" i="9"/>
  <c r="E16" i="9"/>
  <c r="E15" i="9"/>
  <c r="E12" i="9"/>
  <c r="E11" i="9"/>
  <c r="D42" i="9"/>
  <c r="D41" i="9"/>
  <c r="D38" i="9"/>
  <c r="D37" i="9"/>
  <c r="D34" i="9"/>
  <c r="D33" i="9"/>
  <c r="D31" i="9"/>
  <c r="D30" i="9"/>
  <c r="D28" i="9"/>
  <c r="D27" i="9"/>
  <c r="D25" i="9"/>
  <c r="D24" i="9"/>
  <c r="D22" i="9"/>
  <c r="D21" i="9"/>
  <c r="D16" i="9"/>
  <c r="D15" i="9"/>
  <c r="D12" i="9"/>
  <c r="D11" i="9"/>
  <c r="C42" i="9"/>
  <c r="C41" i="9"/>
  <c r="C38" i="9"/>
  <c r="C37" i="9"/>
  <c r="C34" i="9"/>
  <c r="C33" i="9"/>
  <c r="C31" i="9"/>
  <c r="C30" i="9"/>
  <c r="C28" i="9"/>
  <c r="C27" i="9"/>
  <c r="C25" i="9"/>
  <c r="C24" i="9"/>
  <c r="C22" i="9"/>
  <c r="C21" i="9"/>
  <c r="C16" i="9"/>
  <c r="C15" i="9"/>
  <c r="C12" i="9"/>
  <c r="C11" i="9"/>
  <c r="C69" i="9"/>
  <c r="C70" i="9" s="1"/>
  <c r="L1" i="6"/>
</calcChain>
</file>

<file path=xl/sharedStrings.xml><?xml version="1.0" encoding="utf-8"?>
<sst xmlns="http://schemas.openxmlformats.org/spreadsheetml/2006/main" count="4200" uniqueCount="1003">
  <si>
    <t>Valuation &amp; Business Modeling</t>
  </si>
  <si>
    <t>Onex Corporation</t>
  </si>
  <si>
    <t>Valuation of (Certain Intangible Assets) of Certain business assets of TRSI, TRBP and TRAM of Thomson Reuters</t>
  </si>
  <si>
    <t>for ASC 805 / IFRS 3 purposes</t>
  </si>
  <si>
    <t>Valuation schedules as of 3 October 2016</t>
  </si>
  <si>
    <t>04 November 2016</t>
  </si>
  <si>
    <t>Reliance Restricted</t>
  </si>
  <si>
    <t>Draft</t>
  </si>
  <si>
    <t>Exhibit A</t>
  </si>
  <si>
    <t>Certain business assets of TRSI, TRBP and TRAM of Thomson Reuters</t>
  </si>
  <si>
    <t>Summary of values</t>
  </si>
  <si>
    <t>Valuation as of 3 October 2016</t>
  </si>
  <si>
    <t>(USD in million)</t>
  </si>
  <si>
    <t>Recommended Fair Value</t>
  </si>
  <si>
    <t>Remaining Useful Life</t>
  </si>
  <si>
    <t>Cash and Cash Equivalents</t>
  </si>
  <si>
    <t>Current Assets</t>
  </si>
  <si>
    <t>Computer Hardware, and other property</t>
  </si>
  <si>
    <t>Other Assets</t>
  </si>
  <si>
    <t>Subtotal, Current and tangible assets</t>
  </si>
  <si>
    <t>Identifiable intangible assets</t>
  </si>
  <si>
    <t>Database - Web of Science + Incites</t>
  </si>
  <si>
    <t>17 years</t>
  </si>
  <si>
    <t>Database - Cortellis</t>
  </si>
  <si>
    <t>13 years</t>
  </si>
  <si>
    <t>Database - Integrity</t>
  </si>
  <si>
    <t>Database - Newport</t>
  </si>
  <si>
    <t>Database - Compumark</t>
  </si>
  <si>
    <t>20 years</t>
  </si>
  <si>
    <t>Database - Metacore</t>
  </si>
  <si>
    <t>Database - Innovation</t>
  </si>
  <si>
    <t>Total Database</t>
  </si>
  <si>
    <t>Internally developed software associated with database</t>
  </si>
  <si>
    <t>7 years</t>
  </si>
  <si>
    <t>Customer relationships-WOS</t>
  </si>
  <si>
    <t>2.5 years</t>
  </si>
  <si>
    <t>Customer relationships-Cortellis</t>
  </si>
  <si>
    <t>Customer relationships-Newport</t>
  </si>
  <si>
    <t>Customer relationships-Integrity</t>
  </si>
  <si>
    <t>Customer relationships-Innovation</t>
  </si>
  <si>
    <t>Customer relationships-CompuMark</t>
  </si>
  <si>
    <t>Customer relationships-Metacore</t>
  </si>
  <si>
    <t>Total Customer Relationship</t>
  </si>
  <si>
    <t>7.5 years</t>
  </si>
  <si>
    <t>Developed Technology for Application</t>
  </si>
  <si>
    <t>Customer Relationships for Applications</t>
  </si>
  <si>
    <t>14 Years</t>
  </si>
  <si>
    <t>Service Customer Relationship</t>
  </si>
  <si>
    <t>Trademarks and trade names</t>
  </si>
  <si>
    <t>Indefinite</t>
  </si>
  <si>
    <t>Total Identified Intangibles (Rounded)</t>
  </si>
  <si>
    <t>Assembled Workforce</t>
  </si>
  <si>
    <t>Implied Goodwill</t>
  </si>
  <si>
    <t>Fair Value of Total Assets</t>
  </si>
  <si>
    <t>Deferred Revenue Haircut</t>
  </si>
  <si>
    <t>Consideration Paid</t>
  </si>
  <si>
    <t>Long-Term Liabilities</t>
  </si>
  <si>
    <t>Acquired Cash</t>
  </si>
  <si>
    <t>Deferred Revenue (Fair Value)</t>
  </si>
  <si>
    <t>Current Non-interest bearing liabilities (excluding deferred revenue)</t>
  </si>
  <si>
    <t>Note:</t>
  </si>
  <si>
    <t>Some totals may not add due to rounding.  See Statement of Limiting Conditions.</t>
  </si>
  <si>
    <t>4-November-2016 -- Draft document.  All data subject to change upon completion of additional analysis.</t>
  </si>
  <si>
    <t>E</t>
  </si>
  <si>
    <t>Exhibit B</t>
  </si>
  <si>
    <t>Weighted average return on assets</t>
  </si>
  <si>
    <t>Recommended Fair</t>
  </si>
  <si>
    <t>Value</t>
  </si>
  <si>
    <t>After-tax return</t>
  </si>
  <si>
    <t>Weighted return</t>
  </si>
  <si>
    <t>Cash, acquired</t>
  </si>
  <si>
    <t>- %</t>
  </si>
  <si>
    <t>Debt-free net working capital</t>
  </si>
  <si>
    <t>Database Asset</t>
  </si>
  <si>
    <t>Software</t>
  </si>
  <si>
    <t>Developed Technology - Application</t>
  </si>
  <si>
    <t>Customer Relationships - Database</t>
  </si>
  <si>
    <t>Assembled workforce (part of goodwill)</t>
  </si>
  <si>
    <t>Implied goodwill (excluding workforce)</t>
  </si>
  <si>
    <t>Operational invested capital, incl req cash</t>
  </si>
  <si>
    <t>11.3%  Weighted average return on assets</t>
  </si>
  <si>
    <t>11.0%  Weighted average cost of capital</t>
  </si>
  <si>
    <t>Purchase price</t>
  </si>
  <si>
    <t>11.4% Internal Rate of Return</t>
  </si>
  <si>
    <t>Interest-bearing liabilities assumed</t>
  </si>
  <si>
    <t>Transaction enterprise value (EV), excl cash</t>
  </si>
  <si>
    <t>Plus: required cash</t>
  </si>
  <si>
    <t>Note - check if already includ</t>
  </si>
  <si>
    <t>Transaction enterprise value (EV), incl req cash</t>
  </si>
  <si>
    <t>Less: (excess)/deficient DFNWC</t>
  </si>
  <si>
    <t>-</t>
  </si>
  <si>
    <t>note - excess DFNWC shoul</t>
  </si>
  <si>
    <t>Less: non-operating assets, net</t>
  </si>
  <si>
    <t>Exhibit C</t>
  </si>
  <si>
    <t>Internal rate of return</t>
  </si>
  <si>
    <t>2.9 months</t>
  </si>
  <si>
    <t>For the years ending 31 Dec</t>
  </si>
  <si>
    <t>2016E</t>
  </si>
  <si>
    <t>2017E</t>
  </si>
  <si>
    <t>2018E</t>
  </si>
  <si>
    <t>2019E</t>
  </si>
  <si>
    <t>2020E</t>
  </si>
  <si>
    <t>2021E</t>
  </si>
  <si>
    <t>2022E</t>
  </si>
  <si>
    <t>2023E</t>
  </si>
  <si>
    <t>Total revenue</t>
  </si>
  <si>
    <t>Adjusted EBITDA</t>
  </si>
  <si>
    <t>Depreciation (tax)</t>
  </si>
  <si>
    <t>Pretax income (loss)</t>
  </si>
  <si>
    <t>Income taxes</t>
  </si>
  <si>
    <t>Debt-free net income (loss)</t>
  </si>
  <si>
    <t>Add: Depreciation</t>
  </si>
  <si>
    <t>Add/(less): Changes in DFNWC</t>
  </si>
  <si>
    <t>Less: Capital expenditures</t>
  </si>
  <si>
    <t>Debt-free cash flow</t>
  </si>
  <si>
    <t>Present value factor</t>
  </si>
  <si>
    <t>Present value of after-tax cash flow</t>
  </si>
  <si>
    <t>Present value of discrete cash flows</t>
  </si>
  <si>
    <t>Terminal value calculation</t>
  </si>
  <si>
    <t>Present value of terminal cash flow</t>
  </si>
  <si>
    <t>Debt-free cash flow, normalized</t>
  </si>
  <si>
    <t>Tax amortization benefit</t>
  </si>
  <si>
    <t>(a)</t>
  </si>
  <si>
    <t>Long-term growth rate</t>
  </si>
  <si>
    <t>Cash and equivalents</t>
  </si>
  <si>
    <t>Total enterprise value, including cash</t>
  </si>
  <si>
    <t>Total purchase price, including cash</t>
  </si>
  <si>
    <t>Notes:</t>
  </si>
  <si>
    <t>(a) Based on book value as of the Valuation Date.</t>
  </si>
  <si>
    <t>Exhibit D</t>
  </si>
  <si>
    <t>Weighted average cost of capital</t>
  </si>
  <si>
    <t>Equity market</t>
  </si>
  <si>
    <t>Debt/equity</t>
  </si>
  <si>
    <t>Income tax</t>
  </si>
  <si>
    <t>Identifier</t>
  </si>
  <si>
    <t>Currency</t>
  </si>
  <si>
    <t>Equity beta   (a)</t>
  </si>
  <si>
    <t>Total debt</t>
  </si>
  <si>
    <t>value</t>
  </si>
  <si>
    <t>market value</t>
  </si>
  <si>
    <t>rate</t>
  </si>
  <si>
    <t>Asset beta</t>
  </si>
  <si>
    <t>RELX PLC</t>
  </si>
  <si>
    <t>LSE:REL</t>
  </si>
  <si>
    <t>GBP</t>
  </si>
  <si>
    <t>Thomson Reuters Corporation</t>
  </si>
  <si>
    <t>TSX:TRI</t>
  </si>
  <si>
    <t>USD</t>
  </si>
  <si>
    <t>S&amp;P Global, Inc.</t>
  </si>
  <si>
    <t>NYSE:SPGI</t>
  </si>
  <si>
    <t>Nielsen Holdings plc</t>
  </si>
  <si>
    <t>NYSE:NLSN</t>
  </si>
  <si>
    <t>Verisk Analytics, Inc.</t>
  </si>
  <si>
    <t>NasdaqGS:VRSK</t>
  </si>
  <si>
    <t>Wolters Kluwer N.V.</t>
  </si>
  <si>
    <t>ENXTAM:WKL</t>
  </si>
  <si>
    <t>EUR</t>
  </si>
  <si>
    <t>Gartner Inc.</t>
  </si>
  <si>
    <t>NYSE:IT</t>
  </si>
  <si>
    <t>Informa plc</t>
  </si>
  <si>
    <t>LSE:INF</t>
  </si>
  <si>
    <t>FactSet Research Systems Inc.</t>
  </si>
  <si>
    <t>NYSE:FDS</t>
  </si>
  <si>
    <t>John Wiley &amp; Sons Inc.</t>
  </si>
  <si>
    <t>NYSE:JW.A</t>
  </si>
  <si>
    <t>Median</t>
  </si>
  <si>
    <t>Mean</t>
  </si>
  <si>
    <t>Cost of equity calculation</t>
  </si>
  <si>
    <t>Cost of debt calculation</t>
  </si>
  <si>
    <t>Selected asset beta</t>
  </si>
  <si>
    <t>0.75 (a)</t>
  </si>
  <si>
    <t>Debt borrowing rate   (g)</t>
  </si>
  <si>
    <t>Debt to equity market value</t>
  </si>
  <si>
    <t>19.1%   (b)</t>
  </si>
  <si>
    <t>Expected income tax rate</t>
  </si>
  <si>
    <t>After-tax cost of debt</t>
  </si>
  <si>
    <t>Risk-free rate:20 yr. Treasury Bonds</t>
  </si>
  <si>
    <t>2.0%   (c)</t>
  </si>
  <si>
    <r>
      <t>Re</t>
    </r>
    <r>
      <rPr>
        <sz val="8"/>
        <color rgb="FF000000"/>
        <rFont val="Arial"/>
        <family val="2"/>
      </rPr>
      <t>-</t>
    </r>
    <r>
      <rPr>
        <sz val="8"/>
        <color rgb="FF000000"/>
        <rFont val="Arial Narrow"/>
        <family val="2"/>
      </rPr>
      <t>levered beta</t>
    </r>
  </si>
  <si>
    <t>Debt</t>
  </si>
  <si>
    <t>Market equity risk premium</t>
  </si>
  <si>
    <t>6.5%   (d)</t>
  </si>
  <si>
    <t>Equity</t>
  </si>
  <si>
    <t>Company specific risk premium</t>
  </si>
  <si>
    <t>3.5%   (e)</t>
  </si>
  <si>
    <t>WACC</t>
  </si>
  <si>
    <t>Company size/unsystematic risk premium</t>
  </si>
  <si>
    <t>1.5%   (f)</t>
  </si>
  <si>
    <t>Cost of equity capital</t>
  </si>
  <si>
    <t>WACC (rounded)</t>
  </si>
  <si>
    <t>Notes::</t>
  </si>
  <si>
    <t>(a) Based on 2-yr weekly betas. Source: Capital IQ</t>
  </si>
  <si>
    <t>(b) Based on the average of the comparables D/E ratios as of 3 October 2016 and a review of historical D/E ratios of peers.</t>
  </si>
  <si>
    <t>(c) Source: Federal Reserve Board statistical release as of 3 October 2016.</t>
  </si>
  <si>
    <t>(d) Equity risk premium is based on historical Ibbotson equity risk premium, forward-looking premium estimates, and recent academic studies.</t>
  </si>
  <si>
    <t>(e) Company specific risk premium estimated based on perceived risk in Management's forecast.</t>
  </si>
  <si>
    <t>(f) Small Stock/Unsystematic Risk Premium of the 5th decile, is based on Duff &amp; Phelps 2016 Valuation Handbook.</t>
  </si>
  <si>
    <t>(g) Yield on 20 year Baa rated bonds as of 3 October 2016. Source: Capital IQ</t>
  </si>
  <si>
    <t>Exhibit E.1.1</t>
  </si>
  <si>
    <t>Database - Web of Science + InCites + Other G&amp;A</t>
  </si>
  <si>
    <t>2024E</t>
  </si>
  <si>
    <t>2025E</t>
  </si>
  <si>
    <t>2026E</t>
  </si>
  <si>
    <t>Revenue associated with Database</t>
  </si>
  <si>
    <t>Less: Deferred Revenue</t>
  </si>
  <si>
    <t>Adjusted revenue from database</t>
  </si>
  <si>
    <t>Weilbull curve average</t>
  </si>
  <si>
    <t>60 Years</t>
  </si>
  <si>
    <t>End of year revenue</t>
  </si>
  <si>
    <t>Pre-Tax Income</t>
  </si>
  <si>
    <t>Trademark royalty</t>
  </si>
  <si>
    <t>EBITA</t>
  </si>
  <si>
    <t>Income tax expense</t>
  </si>
  <si>
    <t>Net income (loss)</t>
  </si>
  <si>
    <t>Less: Contributory assets' charge</t>
  </si>
  <si>
    <t>After-tax cash flow</t>
  </si>
  <si>
    <t>Present value discrete cash flows</t>
  </si>
  <si>
    <t>Long Term Growth Rate</t>
  </si>
  <si>
    <t>Subtotal</t>
  </si>
  <si>
    <t>Recommended Fair Value (rounded)</t>
  </si>
  <si>
    <t>Survival Years</t>
  </si>
  <si>
    <t>Selected assumptions</t>
  </si>
  <si>
    <t>Growth % of beginning revenue</t>
  </si>
  <si>
    <t>n/a</t>
  </si>
  <si>
    <t>Adjusted EBITDA margin</t>
  </si>
  <si>
    <t>EBITA margin</t>
  </si>
  <si>
    <t>Contributory assets charge</t>
  </si>
  <si>
    <t>(a) Calculation based on current tax legislation.  See narrative report for more detail.</t>
  </si>
  <si>
    <t>Exhibit E.1.2</t>
  </si>
  <si>
    <t>2027E</t>
  </si>
  <si>
    <t>2028E</t>
  </si>
  <si>
    <t>2029E</t>
  </si>
  <si>
    <t>2030E</t>
  </si>
  <si>
    <t>2031E</t>
  </si>
  <si>
    <t>2032E</t>
  </si>
  <si>
    <t>2033E</t>
  </si>
  <si>
    <t>2034E</t>
  </si>
  <si>
    <t>2035E</t>
  </si>
  <si>
    <t>2036E</t>
  </si>
  <si>
    <t>2037E</t>
  </si>
  <si>
    <t>Contributory assets' charge</t>
  </si>
  <si>
    <t>Exhibit E.1.3</t>
  </si>
  <si>
    <t>2038E</t>
  </si>
  <si>
    <t>2039E</t>
  </si>
  <si>
    <t>2040E</t>
  </si>
  <si>
    <t>2041E</t>
  </si>
  <si>
    <t>2042E</t>
  </si>
  <si>
    <t>2043E</t>
  </si>
  <si>
    <t>2044E</t>
  </si>
  <si>
    <t>2045E</t>
  </si>
  <si>
    <t>2046E</t>
  </si>
  <si>
    <t>Exhibit E.2.1</t>
  </si>
  <si>
    <t>Database - Cortellis + LS Others</t>
  </si>
  <si>
    <t>Adjusted Revenue from Database</t>
  </si>
  <si>
    <t>30 Years</t>
  </si>
  <si>
    <t>Exhibit E.2.2</t>
  </si>
  <si>
    <t>Exhibit E.2.3</t>
  </si>
  <si>
    <t>Exhibit E.3.1</t>
  </si>
  <si>
    <t>Database- Integrity</t>
  </si>
  <si>
    <t>Exhibit E.3.2</t>
  </si>
  <si>
    <t>Exhibit E.3.3</t>
  </si>
  <si>
    <t>Exhibit E.4.1</t>
  </si>
  <si>
    <t>Database- Newport</t>
  </si>
  <si>
    <t>Exhibit E.4.2</t>
  </si>
  <si>
    <t>Exhibit E.4.3</t>
  </si>
  <si>
    <t>Exhibit E.5.1</t>
  </si>
  <si>
    <t>Database- Innovation</t>
  </si>
  <si>
    <t>Exhibit E.5.2</t>
  </si>
  <si>
    <t>Exhibit E.5.3</t>
  </si>
  <si>
    <t>Valuation as of 11 July 2016</t>
  </si>
  <si>
    <t>Exhibit E.6.1</t>
  </si>
  <si>
    <t>Database - CompuMark</t>
  </si>
  <si>
    <t>Exhibit E.6.2</t>
  </si>
  <si>
    <t>Exhibit E.6.3</t>
  </si>
  <si>
    <t>Exhibit E.7.1</t>
  </si>
  <si>
    <t>Database- Metacore</t>
  </si>
  <si>
    <t>Exhibit E.7.2</t>
  </si>
  <si>
    <t>Exhibit E.7.3</t>
  </si>
  <si>
    <t>Exhibit F.1</t>
  </si>
  <si>
    <t>Applications - Customer Relationship</t>
  </si>
  <si>
    <t>Revenue associated with Applications</t>
  </si>
  <si>
    <t>Growth</t>
  </si>
  <si>
    <t>Attrition</t>
  </si>
  <si>
    <t>Average Revenue</t>
  </si>
  <si>
    <t>Deferred revenue adjustment</t>
  </si>
  <si>
    <t>Adjusted revenue from Applications</t>
  </si>
  <si>
    <t>Technology royalty</t>
  </si>
  <si>
    <t>Developed Technology Royalty Rate</t>
  </si>
  <si>
    <t>(b)</t>
  </si>
  <si>
    <t>Selling and Marketing Costs Related to New Customers</t>
  </si>
  <si>
    <t>(a) Selling and marketing adjusted to reflect only selling and marketing associated with the existing customer base.</t>
  </si>
  <si>
    <t>(b) Calculation based on current tax legislation.  See narrative report for more detail.</t>
  </si>
  <si>
    <t>Exhibit F.2</t>
  </si>
  <si>
    <t>Exhibit F.3</t>
  </si>
  <si>
    <t>Exhibit G.4</t>
  </si>
  <si>
    <t>Applications - Service Customer Relationship</t>
  </si>
  <si>
    <t>Revenue associated with Consulting Services</t>
  </si>
  <si>
    <t>Adjusted revenue from Consulting Services</t>
  </si>
  <si>
    <t>LT Growth Rate</t>
  </si>
  <si>
    <t>Exhibit G.5</t>
  </si>
  <si>
    <t>Exhibit G.6</t>
  </si>
  <si>
    <t>Exhibit H.1</t>
  </si>
  <si>
    <t>Application Technology</t>
  </si>
  <si>
    <t>Total</t>
  </si>
  <si>
    <t>Remaining Life</t>
  </si>
  <si>
    <t>Total revenue dependent on technology before</t>
  </si>
  <si>
    <t>obsolescence</t>
  </si>
  <si>
    <t>EndNote</t>
  </si>
  <si>
    <t>Weibull curve average</t>
  </si>
  <si>
    <t>ScholarOne</t>
  </si>
  <si>
    <t>Techstreet</t>
  </si>
  <si>
    <t>Mark Monitor</t>
  </si>
  <si>
    <t>TRAM Revenues</t>
  </si>
  <si>
    <t>Application technology revenue</t>
  </si>
  <si>
    <t>Royalty saved</t>
  </si>
  <si>
    <t>Pretax royalty income</t>
  </si>
  <si>
    <t>Net royalty income</t>
  </si>
  <si>
    <t>Present value of after-tax royalty income</t>
  </si>
  <si>
    <t>Royalty Saved</t>
  </si>
  <si>
    <t>Reasonability test</t>
  </si>
  <si>
    <t>Royalty share of EBITA margin</t>
  </si>
  <si>
    <t>Exhibit H.2</t>
  </si>
  <si>
    <t>Technology market royalty rates</t>
  </si>
  <si>
    <t>Royalty rate</t>
  </si>
  <si>
    <t>Licensor</t>
  </si>
  <si>
    <t>Licensee</t>
  </si>
  <si>
    <t>Licensor business</t>
  </si>
  <si>
    <t>Description</t>
  </si>
  <si>
    <t>Basis</t>
  </si>
  <si>
    <t>Robertson Technologies</t>
  </si>
  <si>
    <t>Telemedicine Africa (Pty) Ltd Business Services, Computers:</t>
  </si>
  <si>
    <t>1. Grant the right to access and the Software (the RHealth Advisor healthcare solution including web-enabled services for mobile</t>
  </si>
  <si>
    <t>Gross Sales</t>
  </si>
  <si>
    <t>Licensing LLC</t>
  </si>
  <si>
    <t>Hardware and Software, Consumer applications, user interfaces, backend knowledge management system, and the Robertson Health engines) and documentation during the</t>
  </si>
  <si>
    <t>Services, Healthcare: Facilities,</t>
  </si>
  <si>
    <t>term of this Agreement for its own internal business purposes.</t>
  </si>
  <si>
    <t>Healthcare: Products and Supplies,</t>
  </si>
  <si>
    <t>Internet, Telecommunications,</t>
  </si>
  <si>
    <t>Consumer Durables</t>
  </si>
  <si>
    <t>LOGICAPITAL</t>
  </si>
  <si>
    <t>JOHNSTONE</t>
  </si>
  <si>
    <t>Computers: Hardware and</t>
  </si>
  <si>
    <t>1. Grant the right to use, reproduce and distribute directly to paid subscribers of Licensee Websites any Output Data published on a</t>
  </si>
  <si>
    <t>CORPORATION</t>
  </si>
  <si>
    <t>SOFTMACHINE</t>
  </si>
  <si>
    <t>Software, Financial Services,</t>
  </si>
  <si>
    <t>Licensee Website generated by Licensor at Licensee's request.</t>
  </si>
  <si>
    <t>Internet, Business Services,</t>
  </si>
  <si>
    <t>Consumer Services</t>
  </si>
  <si>
    <t>2. Grant the right to use the trademark "Profit EngineTM" in association with the Licensed Products, provided that Licensor is clearly</t>
  </si>
  <si>
    <t>identified as the owner of Profit EngineTM.</t>
  </si>
  <si>
    <t>CaptureQuest, Inc.</t>
  </si>
  <si>
    <t>eWorldMedia, Inc.</t>
  </si>
  <si>
    <t>1. Grant the right to use CaptureQuest's Technology relating to  email and on-line advertising, and Software designed to create customized</t>
  </si>
  <si>
    <t>Net Sales</t>
  </si>
  <si>
    <t>Software, Advertising</t>
  </si>
  <si>
    <t>email marketing campaigns, deliver such campaigns or track their success.</t>
  </si>
  <si>
    <t>2. Grant the right to use all rights of CaptureQuest in the items designed for the Customized System and the Templates whatsoever, except</t>
  </si>
  <si>
    <t>for CaptureQuest's Toolset now existing or hereafter discovered, in all media and forms of expression.</t>
  </si>
  <si>
    <t>3. Grant the right to reproduce, make derivative works, publicly perform or publicly display the portions of the Customized System or</t>
  </si>
  <si>
    <t>Templates deemed to be EWorldMedia's intellectual property.</t>
  </si>
  <si>
    <t>MEDIA GENERAL</t>
  </si>
  <si>
    <t>AXXESS, INC.</t>
  </si>
  <si>
    <t>1. Grant the right to install, market, and distribute the QuickSource dataset of selected elements of Media's common stock database</t>
  </si>
  <si>
    <t>FINANCIAL SERVICES,</t>
  </si>
  <si>
    <t>Software, Internet</t>
  </si>
  <si>
    <t>through AXXESS's www.rapidresearch.com Web site.</t>
  </si>
  <si>
    <t>INC.</t>
  </si>
  <si>
    <t>Forecross (R) Corporation, CY2K Solutions, L.L.C.</t>
  </si>
  <si>
    <t>Business Services, Computers:</t>
  </si>
  <si>
    <t>1. Grant the right to use the Licensed Product (a proprietary software system including programs, options, documentation, data and</t>
  </si>
  <si>
    <t>FORECROSS</t>
  </si>
  <si>
    <t>Hardware and Software</t>
  </si>
  <si>
    <t>information, collectively entitled ASSESS/2000).</t>
  </si>
  <si>
    <t>CCC Information Services Synergy 2000, Inc.</t>
  </si>
  <si>
    <t>1. Grant the right to develop the claims management system for use in processing personal and commercial motor vehicle insurance claims</t>
  </si>
  <si>
    <t>Inc.</t>
  </si>
  <si>
    <t>and to process multiple lines of insurance (e.g., Homeowners, Personal Liability, Personal Umbrella) in accordance with the Specifications;</t>
  </si>
  <si>
    <t>Business Services</t>
  </si>
  <si>
    <t>and to use its best efforts to develop the ability to process claims involving commercial lines of insurance, excluding motor vehicle claims.</t>
  </si>
  <si>
    <t>Viaquo Corporatiob</t>
  </si>
  <si>
    <t>SiVault Analytics</t>
  </si>
  <si>
    <t>1. Grant the right to host electronically the ViaSeal software for use in protecting transactions-based data in primarily in the health care</t>
  </si>
  <si>
    <t>Software, Healthcare: Facilities</t>
  </si>
  <si>
    <t>industry, typically pharmaceutical and medical services and related transactions.</t>
  </si>
  <si>
    <t>2. Grant the right to brand its product offerings as "Secured by Viaquo"</t>
  </si>
  <si>
    <t>1. Grant the right to use, reproduce and distribute directly to paid subscribers of licensee websites any licensed products to analyze</t>
  </si>
  <si>
    <t>Software, Agribusiness</t>
  </si>
  <si>
    <t>livestock market feed data and generate useful information for investors in realtime, such as, for example, lists of the highest returning</t>
  </si>
  <si>
    <t>covered call options ("Profit EngineTM").</t>
  </si>
  <si>
    <t>Stock Siren.com, LLC</t>
  </si>
  <si>
    <t>1. Grant the right to install, market, and distribute</t>
  </si>
  <si>
    <t>the QuickSource dataset of selected elements of Media's common stock database</t>
  </si>
  <si>
    <t>Business Services, Consumer</t>
  </si>
  <si>
    <t>through StockSiren Web site.</t>
  </si>
  <si>
    <t>Services</t>
  </si>
  <si>
    <t>2. Grant the right to develop and market such other products utilizing the Media data available for all companies over all historical period</t>
  </si>
  <si>
    <t>relating to stock and other financial information.</t>
  </si>
  <si>
    <t>GSE Systems,  Inc.</t>
  </si>
  <si>
    <t>Avantium B.V.</t>
  </si>
  <si>
    <t>1. Grant the right to use the source code of the GSE Products: A. BatchCAD Version 7.0 or later; B. BatchWizard Version 1.0 or later; C.</t>
  </si>
  <si>
    <t>Hardware and Software, Chemicals, VPbatch Version 1.3 or later; D. SimSuite Pro Version 3.0 or later; and E. TotalVision Version 1.1 or later.</t>
  </si>
  <si>
    <t>Healthcare: Pharmaceutical</t>
  </si>
  <si>
    <t>2. Grant the right to use the object code of the GSE Products; for the  research and development (R&amp;D) of a HSE&amp;S informatics system</t>
  </si>
  <si>
    <t>and the development of New Software Products.</t>
  </si>
  <si>
    <t>3. Grant the right to execute the first right of refusal to be appointed as the sole and exclusive  distributor  of each such New  Software</t>
  </si>
  <si>
    <t>Product and all  upgraded,  revised,  reformatted, modified, similar or renamed version and improvement of each such New Software</t>
  </si>
  <si>
    <t>Product.</t>
  </si>
  <si>
    <t>ActiveHire, Inc.</t>
  </si>
  <si>
    <t>Bright Mountainr LLC</t>
  </si>
  <si>
    <t>Consumer Services, Business</t>
  </si>
  <si>
    <t>1. Grant the right to resell access to the Service (the Bright Mountain® LLC private label version of ActiveHire, Inc.'s ZillionResumes.com</t>
  </si>
  <si>
    <t>Other</t>
  </si>
  <si>
    <t>Services, Computers: Hardware</t>
  </si>
  <si>
    <t>service) during the Term, with respect only to any interest ActiveHire, Inc. has in the Service and in the resume data provided by the</t>
  </si>
  <si>
    <t>and Software, Internet</t>
  </si>
  <si>
    <t>Service, to use, reproduce, distribute, license and display the resume data provided by the Service, to do only the following: a. Resell</t>
  </si>
  <si>
    <t>monthly subscription access to the Service directly to its end user customers and prospects; b. Use the Service internally for selling and</t>
  </si>
  <si>
    <t>supporting the Service; c. Rename the Service under its own private branding label for use by any Customer, as long as ActiveHire, Inc. has</t>
  </si>
  <si>
    <t>reviewed and approved, in writing, all such materials before use and publication, such review and approval shall not be unreasonably</t>
  </si>
  <si>
    <t>withheld or delayed; and d. Take all such actions with respect to any and all of the foregoing as may be reasonably necessary to give full</t>
  </si>
  <si>
    <t>effect to the purposes of this Agreement.</t>
  </si>
  <si>
    <t>Authentec Corporation</t>
  </si>
  <si>
    <t>Digital Descriptor Systems</t>
  </si>
  <si>
    <t>1. Grant the right to use the PowerMatch software and all</t>
  </si>
  <si>
    <t>Software, Public Safety</t>
  </si>
  <si>
    <t>documentation with respect to the foregoing, to make, have made, use, improve, market and license products and to provide services to</t>
  </si>
  <si>
    <t>customers.</t>
  </si>
  <si>
    <t>UNIVERSITY OF</t>
  </si>
  <si>
    <t>INTELLIGENT SYSTEMS,</t>
  </si>
  <si>
    <t>1. Grant the right to use, modify and copy the "DATA CRYSTAL" software, which is designed for data mining and discovering relational</t>
  </si>
  <si>
    <t>SOUTHERN CALIFORNIA INC.</t>
  </si>
  <si>
    <t>Software, Education</t>
  </si>
  <si>
    <t>patterns from databases solely to develop or have developed derivative works.</t>
  </si>
  <si>
    <t>MRX-NET.COM, Inc.</t>
  </si>
  <si>
    <t>HealthCentrics, Inc.</t>
  </si>
  <si>
    <t>1. Grant the right to use the Licensed Materials (all HTML, XML, other Source Code, Object Code, database architectures and system</t>
  </si>
  <si>
    <t>Hardware and Software,</t>
  </si>
  <si>
    <t>documentation) related to MedBillRx (a proprietary medical billing system), ComplyMD (a physician compliance monitoring program), and</t>
  </si>
  <si>
    <t>Healthcare: Facilities, Internet</t>
  </si>
  <si>
    <t>SnaPPNet.</t>
  </si>
  <si>
    <t>FUJITSU-SIEMENS</t>
  </si>
  <si>
    <t>UNISPHERE NETWORKS</t>
  </si>
  <si>
    <t>1. Grant the right to use the human readable source code and all applicable user documentation and the matching machine readable binary Gross Sales</t>
  </si>
  <si>
    <t>Software, Internet,</t>
  </si>
  <si>
    <t>code and all applicable user documentation for any delivered RTP version or release or patch, including comments, tools, notes, and related</t>
  </si>
  <si>
    <t>Telecommunications, Business</t>
  </si>
  <si>
    <t>and supporting technical documentation of RTP (Resilient Telco Platform).</t>
  </si>
  <si>
    <t>2. Grant the right to use, copy and modify the Source Code version of the RTP Software (except 3rd party software) for purposes of</t>
  </si>
  <si>
    <t>development of bug fixes, patches or work-arounds for any reported problems or errors, which are of severity, level 1 and 2 and which</t>
  </si>
  <si>
    <t>require urgent resolution.</t>
  </si>
  <si>
    <t>3. Grant the right to copy the Source Code as required for purposes of back-up, disaster recovery or source code control.</t>
  </si>
  <si>
    <t>4. Grant the right to incorporate the Object Code version of the RTP Software into the Named Products (Unisphere Networks Inc. SRX-</t>
  </si>
  <si>
    <t>3000).</t>
  </si>
  <si>
    <t>5. Grant the right to distribute and sublicense copies of the Object Code version of the RTP Software to Licensee's end users for use with</t>
  </si>
  <si>
    <t>Prosoft I-Net Solutions,</t>
  </si>
  <si>
    <t>Training Resources</t>
  </si>
  <si>
    <t>Computers: Hardware and Software 1. Grant the right to reproduce and distribute the Courseware Titles exclusively for distribution and resale to Educational Institutions.</t>
  </si>
  <si>
    <t>International, Inc.</t>
  </si>
  <si>
    <t>THE BOARD OF</t>
  </si>
  <si>
    <t>CIRCLE GROUP</t>
  </si>
  <si>
    <t>1. Grant the right to receive assignment of rights, title and interest as licensee under the license agreement.</t>
  </si>
  <si>
    <t>TRUSTEES OF THE</t>
  </si>
  <si>
    <t>HOLDINGS, INC.</t>
  </si>
  <si>
    <t>Software, Education, Healthcare:</t>
  </si>
  <si>
    <t>Products and Supplies</t>
  </si>
  <si>
    <t>2. Grant the right to promote, copy, create derivative works, distribute, resell, install, maintain, support and otherwise market the NAT Tool</t>
  </si>
  <si>
    <t>ILLINOIS, UTEK</t>
  </si>
  <si>
    <t>Version 2.0, MyNAT, Energy Calculator, Nutrition Analysis Tool (NAT), and The Energy Calculator software.</t>
  </si>
  <si>
    <t>West Virginia University</t>
  </si>
  <si>
    <t>Cybermarche, Inc.</t>
  </si>
  <si>
    <t>1. Grant the right to use, display, copy, modify, duplicate, make, have made, sell, import, export, and otherwise distribute the Software (the</t>
  </si>
  <si>
    <t>Research Corporation,</t>
  </si>
  <si>
    <t>ARTEMIS patient medical record management software).</t>
  </si>
  <si>
    <t>Healthcare: Facilities</t>
  </si>
  <si>
    <t>BioFactors, Inc., Systems Bogart International</t>
  </si>
  <si>
    <t>Healthcare: Products and Supplies, 1. Grant the right to reproduce, manufacture, use and market directly and through sub-distributors and/or sublicensees, to commercial end-</t>
  </si>
  <si>
    <t>Technology, Inc.</t>
  </si>
  <si>
    <t>Associates, Inc.</t>
  </si>
  <si>
    <t>Biotechnology, Computers:</t>
  </si>
  <si>
    <t>user customers, the SportsTrac System (a prototype on-field athletic performance system based on the FACTOR 1000 Service, a non-</t>
  </si>
  <si>
    <t>invasive fitness-for-work testing service, and proprietary computer software and associated protocols and methodology for objectively</t>
  </si>
  <si>
    <t>Entertainment</t>
  </si>
  <si>
    <t>testing operator psychomotor skills) solely for sports-related and sports entertainment applications (Sports-related and sports entertainment</t>
  </si>
  <si>
    <t>applications shall include athletic performance enhancement, measuring sports diagnostics, sports rehabilitation and sports related clinical</t>
  </si>
  <si>
    <t>applications and applications directly related to the foregoing).</t>
  </si>
  <si>
    <t>ALTERNATE HEALTH</t>
  </si>
  <si>
    <t>NEW GLOBAL MEDICAL,</t>
  </si>
  <si>
    <t>1. Grant the right to take advantage of certain strengths it could access and develop its own Business Plan, focused primarily on the</t>
  </si>
  <si>
    <t>Software, Healthcare: Products and Medical Marijuana Industry and also in respect of the more traditional medical industry. This exclusive license grant includes no additional</t>
  </si>
  <si>
    <t>Supplies, Internet, Business</t>
  </si>
  <si>
    <t>fee or cost for all updates to the Licensed Property (the CanaCard Patient Management Software System) as well as the right of Licensee</t>
  </si>
  <si>
    <t>Services, Consumer Services,</t>
  </si>
  <si>
    <t>to use the Documentation.</t>
  </si>
  <si>
    <t>Consumer Non Durables</t>
  </si>
  <si>
    <t>High</t>
  </si>
  <si>
    <t>Average</t>
  </si>
  <si>
    <t>Low</t>
  </si>
  <si>
    <t>(a) Source: KtMINE</t>
  </si>
  <si>
    <t>Exhibit H.3</t>
  </si>
  <si>
    <t>Internally developed software related to databases (historical cost basis)</t>
  </si>
  <si>
    <t>(USD in Actuals, unless indicated)</t>
  </si>
  <si>
    <t>Software Fixed Asset Register</t>
  </si>
  <si>
    <t>Net Book Value based on 10</t>
  </si>
  <si>
    <t>Acquisition Value</t>
  </si>
  <si>
    <t>Accumulated Deprecation</t>
  </si>
  <si>
    <t>Book Value</t>
  </si>
  <si>
    <t>years life</t>
  </si>
  <si>
    <t>Developed Software</t>
  </si>
  <si>
    <t>AUC - Developed Software</t>
  </si>
  <si>
    <t>Fair Value of Software</t>
  </si>
  <si>
    <t>Less: Fair Value of Developed technology</t>
  </si>
  <si>
    <t>associated with applications</t>
  </si>
  <si>
    <t>Recommended Fair Value of Internally</t>
  </si>
  <si>
    <t>Developed Software (Rounded)</t>
  </si>
  <si>
    <t>(a) Provided by Management.</t>
  </si>
  <si>
    <t>Exhibit H.4</t>
  </si>
  <si>
    <t>Internally developed software related to databases (cost to recreate)</t>
  </si>
  <si>
    <t>(USD actual unless indicated)</t>
  </si>
  <si>
    <t>Cost to rewrite</t>
  </si>
  <si>
    <t>Program</t>
  </si>
  <si>
    <t>Annual Project Spend</t>
  </si>
  <si>
    <t>Annual Maintenance Spend</t>
  </si>
  <si>
    <t>Total Development Spend</t>
  </si>
  <si>
    <t>Years to rewrite Application</t>
  </si>
  <si>
    <t>Application</t>
  </si>
  <si>
    <t>WoS</t>
  </si>
  <si>
    <t>Cortellis</t>
  </si>
  <si>
    <t>Integrity</t>
  </si>
  <si>
    <t>Newport</t>
  </si>
  <si>
    <t>Metacore</t>
  </si>
  <si>
    <t>Innovation</t>
  </si>
  <si>
    <t>TCM</t>
  </si>
  <si>
    <t>Total Costs</t>
  </si>
  <si>
    <t>Add: Opportunity cost avoided</t>
  </si>
  <si>
    <t>Recommended Fair Value (rounded in million)</t>
  </si>
  <si>
    <t>(b) This is supporting data for a cross check purpose only.</t>
  </si>
  <si>
    <t>Exhibit I.1</t>
  </si>
  <si>
    <t>Contributory asset charges - TRSI High Charge</t>
  </si>
  <si>
    <t>Total Revenue - IPS</t>
  </si>
  <si>
    <t>Total Revenue - TRSI</t>
  </si>
  <si>
    <t>Total Revenue - Web of Science + Incites</t>
  </si>
  <si>
    <t>Total Revenue - Cortellis</t>
  </si>
  <si>
    <t>Total Revenue - Newport</t>
  </si>
  <si>
    <t>Total Revenue - Integrity</t>
  </si>
  <si>
    <t>Total Revenue - Innovation</t>
  </si>
  <si>
    <t>Total Revenue - Metacore</t>
  </si>
  <si>
    <t>Debt-free net working capital (DFNWC)</t>
  </si>
  <si>
    <t>Charge (after-tax rate)</t>
  </si>
  <si>
    <t>Charge (after-tax rate), % of total revenue</t>
  </si>
  <si>
    <t>Normalized level, % of revenue</t>
  </si>
  <si>
    <t>Fixed assets (excluding land)</t>
  </si>
  <si>
    <t>Assembled workforce</t>
  </si>
  <si>
    <t>Wos Customer Relationship</t>
  </si>
  <si>
    <t>Normalized level</t>
  </si>
  <si>
    <t>Cortellis Customer Relationship</t>
  </si>
  <si>
    <t>Integrity Customer Relationship</t>
  </si>
  <si>
    <t>Newport Customer Relationship</t>
  </si>
  <si>
    <t>Innovation Customer Relationship</t>
  </si>
  <si>
    <t>Metacore Customer Relationship</t>
  </si>
  <si>
    <t>Internally Developed Software -</t>
  </si>
  <si>
    <t>Database</t>
  </si>
  <si>
    <t>Total Contributory Asset Charges - WOS</t>
  </si>
  <si>
    <t>Total Contributory Asset Charges - Cortellis</t>
  </si>
  <si>
    <t>Total Contributory Asset Charges - Integrity</t>
  </si>
  <si>
    <t>Total Contributory Asset Charges - Newport</t>
  </si>
  <si>
    <t>Total Contributory Asset Charges - Innovation</t>
  </si>
  <si>
    <t>Total Contributory Asset Charges - Metacore</t>
  </si>
  <si>
    <t>Exhibit I.2</t>
  </si>
  <si>
    <t>Contributory asset charges - TRBP High Charge</t>
  </si>
  <si>
    <t>Total Revenue - TRBP</t>
  </si>
  <si>
    <t>Total Revenue - CompuMark</t>
  </si>
  <si>
    <t>CompuMark Customer Relationship</t>
  </si>
  <si>
    <t>Internally Developed Software</t>
  </si>
  <si>
    <t>Total Contributory Asset Charges - CompuMark</t>
  </si>
  <si>
    <t>Exhibit I.4</t>
  </si>
  <si>
    <t>Application Customers - Contributory Asset Charges</t>
  </si>
  <si>
    <t>Total Revenue</t>
  </si>
  <si>
    <t>Asset</t>
  </si>
  <si>
    <t>Total Contributory Asset Charges</t>
  </si>
  <si>
    <t>Exhibit I.5</t>
  </si>
  <si>
    <t>USD in Actuals unless indicated</t>
  </si>
  <si>
    <t>compensation (w/o</t>
  </si>
  <si>
    <t>Average total</t>
  </si>
  <si>
    <t>Average Weekly</t>
  </si>
  <si>
    <t>Recruiting costs per</t>
  </si>
  <si>
    <t>Other costs per</t>
  </si>
  <si>
    <t>% of Time Spent</t>
  </si>
  <si>
    <t>Employee category</t>
  </si>
  <si>
    <t>burden)</t>
  </si>
  <si>
    <t>Burden rate  (%)</t>
  </si>
  <si>
    <t>compensation</t>
  </si>
  <si>
    <t>individual</t>
  </si>
  <si>
    <t>Weeks in training</t>
  </si>
  <si>
    <t>Training</t>
  </si>
  <si>
    <t>Training Costs</t>
  </si>
  <si>
    <t>A</t>
  </si>
  <si>
    <t>B</t>
  </si>
  <si>
    <t>C = A*(1+B)</t>
  </si>
  <si>
    <t>D</t>
  </si>
  <si>
    <t>F</t>
  </si>
  <si>
    <t>G</t>
  </si>
  <si>
    <t>Brand</t>
  </si>
  <si>
    <t>Finance</t>
  </si>
  <si>
    <t>HR</t>
  </si>
  <si>
    <t>Innovation Industries</t>
  </si>
  <si>
    <t>Content</t>
  </si>
  <si>
    <t>Legal</t>
  </si>
  <si>
    <t>Marketing</t>
  </si>
  <si>
    <t>Sales</t>
  </si>
  <si>
    <t>Strategy</t>
  </si>
  <si>
    <t>Technology</t>
  </si>
  <si>
    <t>Number of employees</t>
  </si>
  <si>
    <t>Total recruiting costs</t>
  </si>
  <si>
    <t>Total other costs</t>
  </si>
  <si>
    <t>Total Training Costs</t>
  </si>
  <si>
    <t>Total cost</t>
  </si>
  <si>
    <t>I</t>
  </si>
  <si>
    <t>J = D * I</t>
  </si>
  <si>
    <t>K = E * I</t>
  </si>
  <si>
    <t>L = H * I</t>
  </si>
  <si>
    <t>M = J + K + L</t>
  </si>
  <si>
    <t>Total workforce cost</t>
  </si>
  <si>
    <t>Total value per employee</t>
  </si>
  <si>
    <t>Exhibit J.1</t>
  </si>
  <si>
    <t>Customer Relationship - Web of Science including Incites</t>
  </si>
  <si>
    <t>Scenario 1 - Cash flows with Customer base in place (a)</t>
  </si>
  <si>
    <t>Revenue</t>
  </si>
  <si>
    <t>Operating Expenses</t>
  </si>
  <si>
    <t>EBITDA</t>
  </si>
  <si>
    <t>Depreciation</t>
  </si>
  <si>
    <t>Income Tax Expenses</t>
  </si>
  <si>
    <t>Net Income</t>
  </si>
  <si>
    <t>Add/(Less): Changes in DFNWC</t>
  </si>
  <si>
    <t>After-Tax Cash flow</t>
  </si>
  <si>
    <t>Assumptions</t>
  </si>
  <si>
    <t>Revenue Growth</t>
  </si>
  <si>
    <t>EBITDA Margin</t>
  </si>
  <si>
    <t>NWC Requirement as a % of Revenue</t>
  </si>
  <si>
    <t>Capital Expenditure</t>
  </si>
  <si>
    <t>Scenario 2 - Cash flows without Customer base in place (a)</t>
  </si>
  <si>
    <t>Customer Ramp up Time</t>
  </si>
  <si>
    <t>Revenue with existing customers</t>
  </si>
  <si>
    <t>Fixed Operating Expense</t>
  </si>
  <si>
    <t>Variable Operating Expense</t>
  </si>
  <si>
    <t>Incremental Operating Expense</t>
  </si>
  <si>
    <t>EBITDA Check</t>
  </si>
  <si>
    <t>After-tax net cash flow</t>
  </si>
  <si>
    <t>Scenario 1 - With Customer Cash Flow</t>
  </si>
  <si>
    <t>Scenario 2 - Without Customer Cash Flow</t>
  </si>
  <si>
    <t>Differential, after-tax cash flow</t>
  </si>
  <si>
    <t>Customer Ramp-up</t>
  </si>
  <si>
    <t>Incremental</t>
  </si>
  <si>
    <t>Cost in Yr 1</t>
  </si>
  <si>
    <t>Operating expenses, total</t>
  </si>
  <si>
    <t>Operating expenses, % fixed</t>
  </si>
  <si>
    <t>Operating expenses, % variable</t>
  </si>
  <si>
    <t>Incremental fixed operating expenses</t>
  </si>
  <si>
    <t>Net working capital</t>
  </si>
  <si>
    <t>Capital expenditures</t>
  </si>
  <si>
    <t>(a) Based on discussions with Management.</t>
  </si>
  <si>
    <t>Exhibit J.2</t>
  </si>
  <si>
    <t>Customer Relationship - Cortellis</t>
  </si>
  <si>
    <t>Scenario 2 - Cash flows without Customer base in place</t>
  </si>
  <si>
    <t>Recommended Fair Value (rounded) High</t>
  </si>
  <si>
    <t>Exhibit J.3</t>
  </si>
  <si>
    <t>Customer Relationship - Integrity</t>
  </si>
  <si>
    <t>Exhibit J.4</t>
  </si>
  <si>
    <t>Customer Relationship - Newport</t>
  </si>
  <si>
    <t>Exhibit J.5</t>
  </si>
  <si>
    <t>Customer Relationship - Innovation</t>
  </si>
  <si>
    <t>2.9months</t>
  </si>
  <si>
    <t>Exhibit J.6</t>
  </si>
  <si>
    <t>Customer Relationship - CompuMark</t>
  </si>
  <si>
    <t>Exhibit J.7</t>
  </si>
  <si>
    <t>Customer Relationship - Metacore</t>
  </si>
  <si>
    <t>Exhibit K.1</t>
  </si>
  <si>
    <t>Trademark and trade name</t>
  </si>
  <si>
    <t>Total remaining life (in years)</t>
  </si>
  <si>
    <t>Years before obsolescence begins</t>
  </si>
  <si>
    <t>Revenue dependent on trademark/trade name</t>
  </si>
  <si>
    <t>Developed trademark/trade name contribution</t>
  </si>
  <si>
    <t>Trademark/trade name revenue</t>
  </si>
  <si>
    <t>Royalty Rates</t>
  </si>
  <si>
    <t>Present value terminal cash flow</t>
  </si>
  <si>
    <t>Exhibit K.2</t>
  </si>
  <si>
    <t>Exhibit L</t>
  </si>
  <si>
    <t>Capital equipment detail</t>
  </si>
  <si>
    <t>Opening capital equipment balance</t>
  </si>
  <si>
    <t>Capital expenditures (additions)</t>
  </si>
  <si>
    <t>Opening balance</t>
  </si>
  <si>
    <t>Additions, period 1</t>
  </si>
  <si>
    <t>Additions, period 2</t>
  </si>
  <si>
    <t>Additions, period 3</t>
  </si>
  <si>
    <t>Additions, period 4</t>
  </si>
  <si>
    <t>Additions, period 5</t>
  </si>
  <si>
    <t>Additions, period 6</t>
  </si>
  <si>
    <t>Additions, period 7</t>
  </si>
  <si>
    <t>Additions, period 8</t>
  </si>
  <si>
    <t>Ending net balance</t>
  </si>
  <si>
    <t>Average net capital equipment</t>
  </si>
  <si>
    <t>Avg net cap. equipment turnover (a)</t>
  </si>
  <si>
    <t>nmf</t>
  </si>
  <si>
    <t>Average remaining lives (net capital equipment)</t>
  </si>
  <si>
    <t>years</t>
  </si>
  <si>
    <t>New asset additions</t>
  </si>
  <si>
    <t>(a) Defined as total revenue divided by average net capital equipment.</t>
  </si>
  <si>
    <t>Exhibit M.1</t>
  </si>
  <si>
    <t>TRSI Deferred Revenue</t>
  </si>
  <si>
    <t>Cost of sales</t>
  </si>
  <si>
    <t>Allocations of Data Center, RE and admin support</t>
  </si>
  <si>
    <t>Selling and Marketing</t>
  </si>
  <si>
    <t>Other general &amp; administrative expenses</t>
  </si>
  <si>
    <t>Total direct and indirect expenses</t>
  </si>
  <si>
    <t>Total company EBITA margin, including book depreciation</t>
  </si>
  <si>
    <t>Cost based profit margin</t>
  </si>
  <si>
    <t>Total deferred revenue to be recognized (a)</t>
  </si>
  <si>
    <t>Deferred revenue to be recognized</t>
  </si>
  <si>
    <t>Direct and indirect costs to fulfill obligation</t>
  </si>
  <si>
    <t>Add: Normal margin</t>
  </si>
  <si>
    <t>Present value factor, pretax</t>
  </si>
  <si>
    <t>Present value of cash flow</t>
  </si>
  <si>
    <t>Sum, present value of cash flow</t>
  </si>
  <si>
    <t>Recommended Fair Value as a % of book value</t>
  </si>
  <si>
    <t>(a) Based on book value as of March 31, 2016.</t>
  </si>
  <si>
    <t>Exhibit M.2</t>
  </si>
  <si>
    <t>TRBP Deferred Revenue</t>
  </si>
  <si>
    <t>Allocations of Data Center, RE and admin</t>
  </si>
  <si>
    <t>support</t>
  </si>
  <si>
    <t>Total company EBITA margin, including book</t>
  </si>
  <si>
    <t>depreciation</t>
  </si>
  <si>
    <t>Exhibit M.3</t>
  </si>
  <si>
    <t>TRAM Deferred Revenue</t>
  </si>
  <si>
    <t>Exhibit N</t>
  </si>
  <si>
    <t>Selected income statement information -IP&amp;S</t>
  </si>
  <si>
    <t>For the years ended 31 Dec</t>
  </si>
  <si>
    <t>Period ended</t>
  </si>
  <si>
    <t>2012A</t>
  </si>
  <si>
    <t>2013A</t>
  </si>
  <si>
    <t>2014A</t>
  </si>
  <si>
    <t>2015A</t>
  </si>
  <si>
    <t>YTD</t>
  </si>
  <si>
    <t>30 June 2016</t>
  </si>
  <si>
    <t>Cost of goods sold</t>
  </si>
  <si>
    <t>Gross profit</t>
  </si>
  <si>
    <t>General and administrative</t>
  </si>
  <si>
    <t>Selling and marketing</t>
  </si>
  <si>
    <t>Allocation of costs from Parent and affiliates</t>
  </si>
  <si>
    <t>Other operating (losses)gains</t>
  </si>
  <si>
    <t>Amortization</t>
  </si>
  <si>
    <t>EBIT</t>
  </si>
  <si>
    <t>Selected performance metrics</t>
  </si>
  <si>
    <t>Over 4 yrs</t>
  </si>
  <si>
    <t>Over 3 yrs</t>
  </si>
  <si>
    <t>Over 2 yrs</t>
  </si>
  <si>
    <t>Revenue growth</t>
  </si>
  <si>
    <t>(100.0%) CAGR</t>
  </si>
  <si>
    <t>Gross profit margin</t>
  </si>
  <si>
    <t>69.4%  Average</t>
  </si>
  <si>
    <t>EBITDA margin</t>
  </si>
  <si>
    <t>22.4%  Average</t>
  </si>
  <si>
    <t>EBIT margin</t>
  </si>
  <si>
    <t>12.0%  Average</t>
  </si>
  <si>
    <t>Depreciation, % of revenue</t>
  </si>
  <si>
    <t>(10.4%) Average</t>
  </si>
  <si>
    <t>Amortization, % of revenue</t>
  </si>
  <si>
    <t>- %  Average</t>
  </si>
  <si>
    <t>Capital expenditures, % of revenue</t>
  </si>
  <si>
    <t>5.4%  Average</t>
  </si>
  <si>
    <t>Exhibit O</t>
  </si>
  <si>
    <t>Selected balance sheet information - IP&amp;S</t>
  </si>
  <si>
    <t>Closing at</t>
  </si>
  <si>
    <t>2016A</t>
  </si>
  <si>
    <t>Comments</t>
  </si>
  <si>
    <t>Assets</t>
  </si>
  <si>
    <t>Cash and cash equivalents</t>
  </si>
  <si>
    <t>Accounts receivable</t>
  </si>
  <si>
    <t>Intercompany accounts receivable</t>
  </si>
  <si>
    <t>Inventory</t>
  </si>
  <si>
    <t>Prepaid expenses &amp; other</t>
  </si>
  <si>
    <t>Notes: receivable</t>
  </si>
  <si>
    <t>Current assets</t>
  </si>
  <si>
    <t>Land</t>
  </si>
  <si>
    <t>Computer Hardware, and other propoerty</t>
  </si>
  <si>
    <t>Computer Software, Net</t>
  </si>
  <si>
    <t>Intangible assets</t>
  </si>
  <si>
    <t>Other assets</t>
  </si>
  <si>
    <t>Goodwill, excess/deficient purchase price</t>
  </si>
  <si>
    <t>Total assets</t>
  </si>
  <si>
    <t>Liabilities &amp; equity</t>
  </si>
  <si>
    <t>Accounts payable</t>
  </si>
  <si>
    <t>Intercompany accounts payable</t>
  </si>
  <si>
    <t>Notes: payable, current</t>
  </si>
  <si>
    <t>Accrued Expenses</t>
  </si>
  <si>
    <t>Other accrued &amp; payables</t>
  </si>
  <si>
    <t>Deferred revenue</t>
  </si>
  <si>
    <t>Other liabilities</t>
  </si>
  <si>
    <t>Current liabilities</t>
  </si>
  <si>
    <t>Notes: payable, long-term</t>
  </si>
  <si>
    <t>Deferred Revenue, net of current portion</t>
  </si>
  <si>
    <t>Deferred tax liabilities</t>
  </si>
  <si>
    <t>Other Long term liabilities</t>
  </si>
  <si>
    <t>Long term liabilities</t>
  </si>
  <si>
    <t>Total equity</t>
  </si>
  <si>
    <t>Total liabilities and equity</t>
  </si>
  <si>
    <t>Debt-free, cash-free net working capital</t>
  </si>
  <si>
    <t>(DFCFNWC)</t>
  </si>
  <si>
    <t>DFCFNWC, % of revenue</t>
  </si>
  <si>
    <t>Total interest-bearing debt</t>
  </si>
  <si>
    <t>Net debt</t>
  </si>
  <si>
    <t>Exhibit P</t>
  </si>
  <si>
    <t>Selected PFI - IP&amp;S</t>
  </si>
  <si>
    <t>Selected PFI (stand alone)</t>
  </si>
  <si>
    <t>Notes</t>
  </si>
  <si>
    <t>DFNWC</t>
  </si>
  <si>
    <t>Change in DFNWC</t>
  </si>
  <si>
    <t>4-year avg</t>
  </si>
  <si>
    <t>3-year avg</t>
  </si>
  <si>
    <t>2-year avg</t>
  </si>
  <si>
    <t>Income taxes as a % of EBIT</t>
  </si>
  <si>
    <t>Depreciation as a % of revenue</t>
  </si>
  <si>
    <t>Capital expenditures as a % of revenue</t>
  </si>
  <si>
    <t>DFNWC as a % of revenue</t>
  </si>
  <si>
    <t>=sum(8:9)</t>
  </si>
  <si>
    <t>=sum(C8:C9)</t>
  </si>
  <si>
    <t>=C11-C10</t>
  </si>
  <si>
    <t>=sum(C18,C19)</t>
  </si>
  <si>
    <t>=C21-C20</t>
  </si>
  <si>
    <t>=sum(C26,C29)</t>
  </si>
  <si>
    <t>=C33-C32</t>
  </si>
  <si>
    <t>=sum(D8:D9)</t>
  </si>
  <si>
    <t>=D11-D10</t>
  </si>
  <si>
    <t>=sum(D18,D19)</t>
  </si>
  <si>
    <t>=D21-D20</t>
  </si>
  <si>
    <t>=sum(D26,D29)</t>
  </si>
  <si>
    <t>=D33-D32</t>
  </si>
  <si>
    <t>=sum(E8:E9)</t>
  </si>
  <si>
    <t>=E11-E10</t>
  </si>
  <si>
    <t>=sum(E18,E19)</t>
  </si>
  <si>
    <t>=E21-E20</t>
  </si>
  <si>
    <t>=E10*b23</t>
  </si>
  <si>
    <t>=E24-E23</t>
  </si>
  <si>
    <t>=E26*b29</t>
  </si>
  <si>
    <t>=E30-E29</t>
  </si>
  <si>
    <t>=sum(E26,E29)</t>
  </si>
  <si>
    <t>=E33-E32</t>
  </si>
  <si>
    <t>=sum(F8:F9)</t>
  </si>
  <si>
    <t>=F11-F10</t>
  </si>
  <si>
    <t>=sum(F18,F19)</t>
  </si>
  <si>
    <t>=F21-F20</t>
  </si>
  <si>
    <t>=F10*b23</t>
  </si>
  <si>
    <t>=F24-F23</t>
  </si>
  <si>
    <t>=sum(F20,F23)</t>
  </si>
  <si>
    <t>=F27-F26</t>
  </si>
  <si>
    <t>=F26*b29</t>
  </si>
  <si>
    <t>=F30-F29</t>
  </si>
  <si>
    <t>=sum(F26,F29)</t>
  </si>
  <si>
    <t>=F33-F32</t>
  </si>
  <si>
    <t>=sum(G8:G9)</t>
  </si>
  <si>
    <t>=G11-G10</t>
  </si>
  <si>
    <t>=sum(G18,G19)</t>
  </si>
  <si>
    <t>=G21-G20</t>
  </si>
  <si>
    <t>=G10*b23</t>
  </si>
  <si>
    <t>=G24-G23</t>
  </si>
  <si>
    <t>=sum(G20,G23)</t>
  </si>
  <si>
    <t>=G27-G26</t>
  </si>
  <si>
    <t>=G26*b29</t>
  </si>
  <si>
    <t>=G30-G29</t>
  </si>
  <si>
    <t>=sum(G26,G29)</t>
  </si>
  <si>
    <t>=G33-G32</t>
  </si>
  <si>
    <t>=sum(H8:H9)</t>
  </si>
  <si>
    <t>=H11-H10</t>
  </si>
  <si>
    <t>=sum(H18,H19)</t>
  </si>
  <si>
    <t>=H21-H20</t>
  </si>
  <si>
    <t>=H10*b23</t>
  </si>
  <si>
    <t>=H24-H23</t>
  </si>
  <si>
    <t>=sum(H20,H23)</t>
  </si>
  <si>
    <t>=H27-H26</t>
  </si>
  <si>
    <t>=H26*b29</t>
  </si>
  <si>
    <t>=H30-H29</t>
  </si>
  <si>
    <t>=sum(H26,H29)</t>
  </si>
  <si>
    <t>=H33-H32</t>
  </si>
  <si>
    <t>=sum(I8:I9)</t>
  </si>
  <si>
    <t>=I11-I10</t>
  </si>
  <si>
    <t>=sum(I18,I19)</t>
  </si>
  <si>
    <t>=I21-I20</t>
  </si>
  <si>
    <t>=I10*b23</t>
  </si>
  <si>
    <t>=I24-I23</t>
  </si>
  <si>
    <t>=sum(I20,I23)</t>
  </si>
  <si>
    <t>=I27-I26</t>
  </si>
  <si>
    <t>=I26*b29</t>
  </si>
  <si>
    <t>=I30-I29</t>
  </si>
  <si>
    <t>=sum(I26,I29)</t>
  </si>
  <si>
    <t>=I33-I32</t>
  </si>
  <si>
    <t>=sum(J8:J9)</t>
  </si>
  <si>
    <t>=J11-J10</t>
  </si>
  <si>
    <t>=sum(J18,J19)</t>
  </si>
  <si>
    <t>=J21-J20</t>
  </si>
  <si>
    <t>=J10*b23</t>
  </si>
  <si>
    <t>=J24-J23</t>
  </si>
  <si>
    <t>=sum(J20,J23)</t>
  </si>
  <si>
    <t>=J27-J26</t>
  </si>
  <si>
    <t>=J26*b29</t>
  </si>
  <si>
    <t>=J30-J29</t>
  </si>
  <si>
    <t>=sum(J26,J29)</t>
  </si>
  <si>
    <t>=J33-J32</t>
  </si>
  <si>
    <t>=sum(K8:K9)</t>
  </si>
  <si>
    <t>=K11-K10</t>
  </si>
  <si>
    <t>=sum(K18,K19)</t>
  </si>
  <si>
    <t>=K21-K20</t>
  </si>
  <si>
    <t>=K10*b23</t>
  </si>
  <si>
    <t>=K24-K23</t>
  </si>
  <si>
    <t>=sum(K20,K23)</t>
  </si>
  <si>
    <t>=K27-K26</t>
  </si>
  <si>
    <t>=K26*b29</t>
  </si>
  <si>
    <t>=K30-K29</t>
  </si>
  <si>
    <t>=sum(K26,K29)</t>
  </si>
  <si>
    <t>=K33-K32</t>
  </si>
  <si>
    <t>=sum(L8:L9)</t>
  </si>
  <si>
    <t>=L11-L10</t>
  </si>
  <si>
    <t>=sum(L18,L19)</t>
  </si>
  <si>
    <t>=L21-L20</t>
  </si>
  <si>
    <t>=L10*b23</t>
  </si>
  <si>
    <t>=L24-L23</t>
  </si>
  <si>
    <t>=sum(L20,L23)</t>
  </si>
  <si>
    <t>=L27-L26</t>
  </si>
  <si>
    <t>=L26*b29</t>
  </si>
  <si>
    <t>=L30-L29</t>
  </si>
  <si>
    <t>=sum(L26,L29)</t>
  </si>
  <si>
    <t>=L33-L32</t>
  </si>
  <si>
    <t>=C10*C13</t>
  </si>
  <si>
    <t>=C15-C14</t>
  </si>
  <si>
    <t>=C10*b23</t>
  </si>
  <si>
    <t>=C24-C23</t>
  </si>
  <si>
    <t>=C26*b29</t>
  </si>
  <si>
    <t>=C30-C29</t>
  </si>
  <si>
    <t>=D10*b23</t>
  </si>
  <si>
    <t>=D24-D23</t>
  </si>
  <si>
    <t>=sum(D20,D23)</t>
  </si>
  <si>
    <t>=D27-D26</t>
  </si>
  <si>
    <t>=D26*b29</t>
  </si>
  <si>
    <t>=D30-D29</t>
  </si>
  <si>
    <t>=sum(D32,D35)</t>
  </si>
  <si>
    <t>=D37-D36</t>
  </si>
  <si>
    <t>=D36*D39</t>
  </si>
  <si>
    <t>=D41-D40</t>
  </si>
  <si>
    <t>=sum(E32,E35)</t>
  </si>
  <si>
    <t>=E37-E36</t>
  </si>
  <si>
    <t>=sum(E20,E23)</t>
  </si>
  <si>
    <t>=E27-E26</t>
  </si>
  <si>
    <t>=F36*F39</t>
  </si>
  <si>
    <t>=F41-F40</t>
  </si>
  <si>
    <t>=sum(G32,G35)</t>
  </si>
  <si>
    <t>=G37-G36</t>
  </si>
  <si>
    <t>=sum(H32,H35)</t>
  </si>
  <si>
    <t>=H37-H36</t>
  </si>
  <si>
    <t>=I10*I13</t>
  </si>
  <si>
    <t>=I15-I14</t>
  </si>
  <si>
    <t>=E10*E13</t>
  </si>
  <si>
    <t>=E15-E14</t>
  </si>
  <si>
    <t>=F10*F13</t>
  </si>
  <si>
    <t>=F15-F14</t>
  </si>
  <si>
    <t>=G10*G13</t>
  </si>
  <si>
    <t>=G15-G14</t>
  </si>
  <si>
    <t>=H10*H13</t>
  </si>
  <si>
    <t>=H15-H14</t>
  </si>
  <si>
    <t>=J10*J13</t>
  </si>
  <si>
    <t>=J15-J14</t>
  </si>
  <si>
    <t>=sum(I32,I35)</t>
  </si>
  <si>
    <t>=I37-I36</t>
  </si>
  <si>
    <t>=I36*I39</t>
  </si>
  <si>
    <t>=I41-I40</t>
  </si>
  <si>
    <t>=sum(J32,J35)</t>
  </si>
  <si>
    <t>=J37-J36</t>
  </si>
  <si>
    <t>=J36*J39</t>
  </si>
  <si>
    <t>=J41-J40</t>
  </si>
  <si>
    <t>=sum(K32,K35)</t>
  </si>
  <si>
    <t>=K37-K36</t>
  </si>
  <si>
    <t>=K36*K39</t>
  </si>
  <si>
    <t>=K41-K40</t>
  </si>
  <si>
    <t>=sum(L32,L35)</t>
  </si>
  <si>
    <t>=L37-L36</t>
  </si>
  <si>
    <t>=L36*L39</t>
  </si>
  <si>
    <t>=L41-L40</t>
  </si>
  <si>
    <t>=sum(C20,C23)</t>
  </si>
  <si>
    <t>=C27-C26</t>
  </si>
  <si>
    <t>=E36*E39</t>
  </si>
  <si>
    <t>=E41-E40</t>
  </si>
  <si>
    <t>=sum(F32,F35)</t>
  </si>
  <si>
    <t>=F37-F36</t>
  </si>
  <si>
    <t>=G36*G39</t>
  </si>
  <si>
    <t>=G41-G40</t>
  </si>
  <si>
    <t>=H36*H39</t>
  </si>
  <si>
    <t>=H41-H40</t>
  </si>
  <si>
    <t>=sum(C32,C35)</t>
  </si>
  <si>
    <t>=C37-C36</t>
  </si>
  <si>
    <t>=C36*C39</t>
  </si>
  <si>
    <t>=C41-C40</t>
  </si>
  <si>
    <t>=D10*D13</t>
  </si>
  <si>
    <t>=D15-D14</t>
  </si>
  <si>
    <t>=sum(M18,M19)</t>
  </si>
  <si>
    <t>=M21-M20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</si>
</sst>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\(0\)"/>
    <numFmt numFmtId="165" formatCode="0.0"/>
    <numFmt numFmtId="166" formatCode="0.0000"/>
    <numFmt numFmtId="167" formatCode="0.00_);\(0.00\)"/>
  </numFmts>
  <fonts count="26" x14ac:knownFonts="1">
    <font>
      <sz val="11"/>
      <color theme="1"/>
      <name val="Calibri"/>
      <family val="2"/>
      <scheme val="minor"/>
    </font>
    <font>
      <sz val="9"/>
      <color rgb="FF7E7D81"/>
      <name val="Arial Bold"/>
    </font>
    <font>
      <sz val="8"/>
      <color rgb="FF929292"/>
      <name val="Arial"/>
      <family val="2"/>
    </font>
    <font>
      <sz val="8"/>
      <color rgb="FF7E7D81"/>
      <name val="Arial"/>
      <family val="2"/>
    </font>
    <font>
      <sz val="8"/>
      <color rgb="FF7E7D81"/>
      <name val="Arial Bold"/>
    </font>
    <font>
      <sz val="8"/>
      <color rgb="FF000000"/>
      <name val="Arial"/>
      <family val="2"/>
    </font>
    <font>
      <sz val="8"/>
      <color rgb="FF000000"/>
      <name val="Arial Narrow Bold"/>
    </font>
    <font>
      <sz val="8"/>
      <color rgb="FF000000"/>
      <name val="Arial Narrow"/>
      <family val="2"/>
    </font>
    <font>
      <sz val="8"/>
      <color rgb="FF7E7D81"/>
      <name val="Arial Narrow Italic"/>
    </font>
    <font>
      <sz val="8"/>
      <color rgb="FF7E7D81"/>
      <name val="Arial Narrow Bold"/>
    </font>
    <font>
      <sz val="8"/>
      <color rgb="FF000000"/>
      <name val="Arial Narrow Italic"/>
    </font>
    <font>
      <sz val="8"/>
      <color rgb="FF7E7D81"/>
      <name val="Arial Narrow"/>
      <family val="2"/>
    </font>
    <font>
      <sz val="11"/>
      <color rgb="FF929292"/>
      <name val="Arial"/>
      <family val="2"/>
    </font>
    <font>
      <sz val="9"/>
      <color rgb="FF000000"/>
      <name val="Arial Narrow Bold"/>
    </font>
    <font>
      <sz val="15"/>
      <color rgb="FF929292"/>
      <name val="Arial"/>
      <family val="2"/>
    </font>
    <font>
      <sz val="8"/>
      <color rgb="FF7E7D81"/>
      <name val="Arial Narrow Bold Italic"/>
    </font>
    <font>
      <sz val="14"/>
      <color rgb="FF929292"/>
      <name val="Arial"/>
      <family val="2"/>
    </font>
    <font>
      <sz val="12"/>
      <color rgb="FF929292"/>
      <name val="Arial"/>
      <family val="2"/>
    </font>
    <font>
      <sz val="10"/>
      <color rgb="FF929292"/>
      <name val="Arial"/>
      <family val="2"/>
    </font>
    <font>
      <sz val="8"/>
      <color rgb="FF929292"/>
      <name val="Arial Narrow"/>
      <family val="2"/>
    </font>
    <font>
      <sz val="9"/>
      <color rgb="FF929292"/>
      <name val="Arial"/>
      <family val="2"/>
    </font>
    <font>
      <sz val="13"/>
      <color rgb="FF929292"/>
      <name val="Arial"/>
      <family val="2"/>
    </font>
    <font>
      <sz val="8"/>
      <color rgb="FF528CD4"/>
      <name val="Arial Narrow"/>
      <family val="2"/>
    </font>
    <font>
      <sz val="8"/>
      <color rgb="FF0000FF"/>
      <name val="Arial Narrow"/>
      <family val="2"/>
    </font>
    <font>
      <sz val="8"/>
      <color rgb="FF0033CC"/>
      <name val="Arial Narrow"/>
      <family val="2"/>
    </font>
    <font>
      <sz val="8"/>
      <color rgb="FF929292"/>
      <name val="Arial Narrow Bold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49" fontId="1" fillId="0" borderId="0" xfId="0" applyNumberFormat="1" applyFont="1"/>
    <xf numFmtId="49" fontId="2" fillId="0" borderId="0" xfId="0" applyNumberFormat="1" applyFont="1"/>
    <xf numFmtId="49" fontId="3" fillId="0" borderId="0" xfId="0" applyNumberFormat="1" applyFont="1"/>
    <xf numFmtId="49" fontId="4" fillId="0" borderId="0" xfId="0" applyNumberFormat="1" applyFont="1"/>
    <xf numFmtId="49" fontId="5" fillId="0" borderId="0" xfId="0" applyNumberFormat="1" applyFont="1"/>
    <xf numFmtId="49" fontId="6" fillId="0" borderId="0" xfId="0" applyNumberFormat="1" applyFont="1"/>
    <xf numFmtId="49" fontId="7" fillId="0" borderId="0" xfId="0" applyNumberFormat="1" applyFont="1"/>
    <xf numFmtId="49" fontId="8" fillId="0" borderId="0" xfId="0" applyNumberFormat="1" applyFont="1"/>
    <xf numFmtId="49" fontId="9" fillId="0" borderId="0" xfId="0" applyNumberFormat="1" applyFont="1"/>
    <xf numFmtId="1" fontId="7" fillId="0" borderId="0" xfId="0" applyNumberFormat="1" applyFont="1"/>
    <xf numFmtId="49" fontId="10" fillId="0" borderId="0" xfId="0" applyNumberFormat="1" applyFont="1"/>
    <xf numFmtId="3" fontId="6" fillId="0" borderId="0" xfId="0" applyNumberFormat="1" applyFont="1"/>
    <xf numFmtId="1" fontId="6" fillId="0" borderId="0" xfId="0" applyNumberFormat="1" applyFont="1"/>
    <xf numFmtId="3" fontId="7" fillId="0" borderId="0" xfId="0" applyNumberFormat="1" applyFont="1"/>
    <xf numFmtId="9" fontId="7" fillId="0" borderId="0" xfId="0" applyNumberFormat="1" applyFont="1"/>
    <xf numFmtId="49" fontId="11" fillId="0" borderId="0" xfId="0" applyNumberFormat="1" applyFont="1"/>
    <xf numFmtId="49" fontId="12" fillId="0" borderId="0" xfId="0" applyNumberFormat="1" applyFont="1"/>
    <xf numFmtId="49" fontId="13" fillId="0" borderId="0" xfId="0" applyNumberFormat="1" applyFont="1"/>
    <xf numFmtId="164" fontId="7" fillId="0" borderId="0" xfId="0" applyNumberFormat="1" applyFont="1"/>
    <xf numFmtId="10" fontId="7" fillId="0" borderId="0" xfId="0" applyNumberFormat="1" applyFont="1"/>
    <xf numFmtId="165" fontId="7" fillId="0" borderId="0" xfId="0" applyNumberFormat="1" applyFont="1"/>
    <xf numFmtId="49" fontId="14" fillId="0" borderId="0" xfId="0" applyNumberFormat="1" applyFont="1"/>
    <xf numFmtId="0" fontId="7" fillId="0" borderId="0" xfId="0" applyFont="1"/>
    <xf numFmtId="166" fontId="7" fillId="0" borderId="0" xfId="0" applyNumberFormat="1" applyFont="1"/>
    <xf numFmtId="49" fontId="15" fillId="0" borderId="0" xfId="0" applyNumberFormat="1" applyFont="1"/>
    <xf numFmtId="49" fontId="16" fillId="0" borderId="0" xfId="0" applyNumberFormat="1" applyFont="1"/>
    <xf numFmtId="2" fontId="7" fillId="0" borderId="0" xfId="0" applyNumberFormat="1" applyFont="1"/>
    <xf numFmtId="10" fontId="6" fillId="0" borderId="0" xfId="0" applyNumberFormat="1" applyFont="1"/>
    <xf numFmtId="0" fontId="6" fillId="0" borderId="0" xfId="0" applyFont="1"/>
    <xf numFmtId="49" fontId="17" fillId="0" borderId="0" xfId="0" applyNumberFormat="1" applyFont="1"/>
    <xf numFmtId="164" fontId="6" fillId="0" borderId="0" xfId="0" applyNumberFormat="1" applyFont="1"/>
    <xf numFmtId="49" fontId="18" fillId="0" borderId="0" xfId="0" applyNumberFormat="1" applyFont="1"/>
    <xf numFmtId="1" fontId="5" fillId="0" borderId="0" xfId="0" applyNumberFormat="1" applyFont="1"/>
    <xf numFmtId="49" fontId="19" fillId="0" borderId="0" xfId="0" applyNumberFormat="1" applyFont="1"/>
    <xf numFmtId="37" fontId="7" fillId="0" borderId="0" xfId="0" applyNumberFormat="1" applyFont="1"/>
    <xf numFmtId="49" fontId="20" fillId="0" borderId="0" xfId="0" applyNumberFormat="1" applyFont="1"/>
    <xf numFmtId="9" fontId="6" fillId="0" borderId="0" xfId="0" applyNumberFormat="1" applyFont="1"/>
    <xf numFmtId="165" fontId="6" fillId="0" borderId="0" xfId="0" applyNumberFormat="1" applyFont="1"/>
    <xf numFmtId="49" fontId="21" fillId="0" borderId="0" xfId="0" applyNumberFormat="1" applyFont="1"/>
    <xf numFmtId="10" fontId="22" fillId="0" borderId="0" xfId="0" applyNumberFormat="1" applyFont="1"/>
    <xf numFmtId="1" fontId="10" fillId="0" borderId="0" xfId="0" applyNumberFormat="1" applyFont="1"/>
    <xf numFmtId="167" fontId="7" fillId="0" borderId="0" xfId="0" applyNumberFormat="1" applyFont="1"/>
    <xf numFmtId="49" fontId="23" fillId="0" borderId="0" xfId="0" applyNumberFormat="1" applyFont="1"/>
    <xf numFmtId="10" fontId="10" fillId="0" borderId="0" xfId="0" applyNumberFormat="1" applyFont="1"/>
    <xf numFmtId="49" fontId="24" fillId="0" borderId="0" xfId="0" applyNumberFormat="1" applyFont="1"/>
    <xf numFmtId="49" fontId="25" fillId="0" borderId="0" xfId="0" applyNumberFormat="1" applyFont="1"/>
    <xf numFmtId="49" fontId="5" fillId="0" borderId="0" xfId="0" applyNumberFormat="1" applyFont="1" applyAlignment="1"/>
    <xf numFmtId="49" fontId="4" fillId="0" borderId="0" xfId="0" applyNumberFormat="1" applyFont="1" applyAlignment="1"/>
    <xf numFmtId="49" fontId="25" fillId="0" borderId="0" xfId="0" applyNumberFormat="1" applyFont="1" applyAlignment="1"/>
    <xf numFmtId="0" fontId="0" fillId="0" borderId="0" xfId="0" applyAlignment="1"/>
    <xf numFmtId="49" fontId="8" fillId="0" borderId="0" xfId="0" applyNumberFormat="1" applyFont="1" applyAlignment="1"/>
    <xf numFmtId="49" fontId="7" fillId="0" borderId="0" xfId="0" applyNumberFormat="1" applyFont="1" applyAlignment="1"/>
    <xf numFmtId="49" fontId="6" fillId="0" borderId="0" xfId="0" applyNumberFormat="1" applyFont="1" applyAlignment="1"/>
    <xf numFmtId="49" fontId="9" fillId="0" borderId="0" xfId="0" applyNumberFormat="1" applyFont="1" applyAlignment="1"/>
    <xf numFmtId="49" fontId="11" fillId="0" borderId="0" xfId="0" applyNumberFormat="1" applyFont="1" applyAlignment="1"/>
    <xf numFmtId="49" fontId="0" fillId="0" borderId="0" xfId="0" applyNumberFormat="1"/>
    <xf numFmtId="10" fontId="0" fillId="0" borderId="0" xfId="0" applyNumberFormat="1"/>
    <xf numFmtId="1" fontId="0" fillId="0" borderId="0" xfId="0" applyNumberFormat="1"/>
    <xf numFmtId="3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workbookViewId="0">
      <selection activeCell="D22" sqref="D2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0"/>
  <sheetViews>
    <sheetView workbookViewId="0">
      <selection activeCell="G12" sqref="G12"/>
    </sheetView>
  </sheetViews>
  <sheetFormatPr defaultRowHeight="15" x14ac:dyDescent="0.25"/>
  <sheetData>
    <row r="2" spans="2:4" x14ac:dyDescent="0.25">
      <c r="B2" s="1" t="s">
        <v>0</v>
      </c>
    </row>
    <row r="3" spans="2:4" x14ac:dyDescent="0.25">
      <c r="B3" s="2" t="s">
        <v>1</v>
      </c>
    </row>
    <row r="4" spans="2:4" x14ac:dyDescent="0.25">
      <c r="B4" s="3" t="s">
        <v>2</v>
      </c>
    </row>
    <row r="5" spans="2:4" x14ac:dyDescent="0.25">
      <c r="B5" s="3" t="s">
        <v>3</v>
      </c>
    </row>
    <row r="6" spans="2:4" x14ac:dyDescent="0.25">
      <c r="B6" s="2" t="s">
        <v>4</v>
      </c>
    </row>
    <row r="7" spans="2:4" x14ac:dyDescent="0.25">
      <c r="B7" s="2" t="s">
        <v>5</v>
      </c>
    </row>
    <row r="8" spans="2:4" x14ac:dyDescent="0.25">
      <c r="B8" s="2" t="s">
        <v>6</v>
      </c>
    </row>
    <row r="9" spans="2:4" x14ac:dyDescent="0.25">
      <c r="B9" s="4" t="s">
        <v>7</v>
      </c>
    </row>
    <row r="10" spans="2:4" x14ac:dyDescent="0.25">
      <c r="D10" s="5" t="s">
        <v>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D48"/>
  <sheetViews>
    <sheetView workbookViewId="0"/>
  </sheetViews>
  <sheetFormatPr defaultRowHeight="15" x14ac:dyDescent="0.25"/>
  <cols>
    <col min="1" max="1" width="62.7109375" bestFit="1" customWidth="1"/>
    <col min="2" max="2" width="23.7109375" bestFit="1" customWidth="1"/>
  </cols>
  <sheetData>
    <row r="2" spans="1:4" x14ac:dyDescent="0.25">
      <c r="A2" s="6" t="s">
        <v>1</v>
      </c>
      <c r="D2" s="7" t="s">
        <v>8</v>
      </c>
    </row>
    <row r="3" spans="1:4" x14ac:dyDescent="0.25">
      <c r="A3" s="6" t="s">
        <v>9</v>
      </c>
    </row>
    <row r="4" spans="1:4" x14ac:dyDescent="0.25">
      <c r="A4" s="6" t="s">
        <v>10</v>
      </c>
    </row>
    <row r="5" spans="1:4" x14ac:dyDescent="0.25">
      <c r="A5" s="6" t="s">
        <v>11</v>
      </c>
    </row>
    <row r="6" spans="1:4" x14ac:dyDescent="0.25">
      <c r="A6" s="8" t="s">
        <v>12</v>
      </c>
      <c r="C6" s="9" t="s">
        <v>13</v>
      </c>
      <c r="D6" s="9" t="s">
        <v>14</v>
      </c>
    </row>
    <row r="7" spans="1:4" x14ac:dyDescent="0.25">
      <c r="A7" s="7" t="s">
        <v>15</v>
      </c>
      <c r="C7" s="10">
        <v>2</v>
      </c>
    </row>
    <row r="8" spans="1:4" x14ac:dyDescent="0.25">
      <c r="A8" s="7" t="s">
        <v>16</v>
      </c>
      <c r="C8" s="10">
        <v>298</v>
      </c>
    </row>
    <row r="9" spans="1:4" x14ac:dyDescent="0.25">
      <c r="A9" s="7" t="s">
        <v>17</v>
      </c>
      <c r="C9" s="10">
        <v>24</v>
      </c>
    </row>
    <row r="10" spans="1:4" x14ac:dyDescent="0.25">
      <c r="A10" s="7" t="s">
        <v>18</v>
      </c>
      <c r="C10" s="10">
        <v>11</v>
      </c>
    </row>
    <row r="11" spans="1:4" x14ac:dyDescent="0.25">
      <c r="B11" s="7" t="s">
        <v>19</v>
      </c>
      <c r="C11" s="10">
        <v>335</v>
      </c>
    </row>
    <row r="12" spans="1:4" x14ac:dyDescent="0.25">
      <c r="A12" s="11" t="s">
        <v>20</v>
      </c>
    </row>
    <row r="13" spans="1:4" x14ac:dyDescent="0.25">
      <c r="A13" s="7" t="s">
        <v>21</v>
      </c>
      <c r="C13" s="10">
        <v>850</v>
      </c>
      <c r="D13" s="7" t="s">
        <v>22</v>
      </c>
    </row>
    <row r="14" spans="1:4" x14ac:dyDescent="0.25">
      <c r="A14" s="7" t="s">
        <v>23</v>
      </c>
      <c r="C14" s="10">
        <v>160</v>
      </c>
      <c r="D14" s="7" t="s">
        <v>24</v>
      </c>
    </row>
    <row r="15" spans="1:4" x14ac:dyDescent="0.25">
      <c r="A15" s="7" t="s">
        <v>25</v>
      </c>
      <c r="C15" s="10">
        <v>50</v>
      </c>
      <c r="D15" s="7" t="s">
        <v>24</v>
      </c>
    </row>
    <row r="16" spans="1:4" x14ac:dyDescent="0.25">
      <c r="A16" s="7" t="s">
        <v>26</v>
      </c>
      <c r="C16" s="10">
        <v>80</v>
      </c>
      <c r="D16" s="7" t="s">
        <v>24</v>
      </c>
    </row>
    <row r="17" spans="1:4" x14ac:dyDescent="0.25">
      <c r="A17" s="7" t="s">
        <v>27</v>
      </c>
      <c r="C17" s="10">
        <v>340</v>
      </c>
      <c r="D17" s="7" t="s">
        <v>28</v>
      </c>
    </row>
    <row r="18" spans="1:4" x14ac:dyDescent="0.25">
      <c r="A18" s="7" t="s">
        <v>29</v>
      </c>
      <c r="C18" s="10">
        <v>10</v>
      </c>
      <c r="D18" s="7" t="s">
        <v>24</v>
      </c>
    </row>
    <row r="19" spans="1:4" x14ac:dyDescent="0.25">
      <c r="A19" s="7" t="s">
        <v>30</v>
      </c>
      <c r="C19" s="10">
        <v>230</v>
      </c>
      <c r="D19" s="7" t="s">
        <v>22</v>
      </c>
    </row>
    <row r="20" spans="1:4" x14ac:dyDescent="0.25">
      <c r="A20" s="6" t="s">
        <v>31</v>
      </c>
      <c r="C20" s="12">
        <v>1720</v>
      </c>
      <c r="D20" s="7" t="s">
        <v>22</v>
      </c>
    </row>
    <row r="21" spans="1:4" x14ac:dyDescent="0.25">
      <c r="A21" s="6" t="s">
        <v>32</v>
      </c>
      <c r="C21" s="13">
        <v>100</v>
      </c>
      <c r="D21" s="6" t="s">
        <v>33</v>
      </c>
    </row>
    <row r="22" spans="1:4" x14ac:dyDescent="0.25">
      <c r="A22" s="7" t="s">
        <v>34</v>
      </c>
      <c r="C22" s="10">
        <v>80</v>
      </c>
      <c r="D22" s="7" t="s">
        <v>35</v>
      </c>
    </row>
    <row r="23" spans="1:4" x14ac:dyDescent="0.25">
      <c r="A23" s="7" t="s">
        <v>36</v>
      </c>
      <c r="C23" s="10">
        <v>20</v>
      </c>
      <c r="D23" s="7" t="s">
        <v>35</v>
      </c>
    </row>
    <row r="24" spans="1:4" x14ac:dyDescent="0.25">
      <c r="A24" s="7" t="s">
        <v>37</v>
      </c>
      <c r="C24" s="10">
        <v>7</v>
      </c>
      <c r="D24" s="7" t="s">
        <v>35</v>
      </c>
    </row>
    <row r="25" spans="1:4" x14ac:dyDescent="0.25">
      <c r="A25" s="7" t="s">
        <v>38</v>
      </c>
      <c r="C25" s="10">
        <v>6</v>
      </c>
      <c r="D25" s="7" t="s">
        <v>35</v>
      </c>
    </row>
    <row r="26" spans="1:4" x14ac:dyDescent="0.25">
      <c r="A26" s="7" t="s">
        <v>39</v>
      </c>
      <c r="C26" s="10">
        <v>30</v>
      </c>
      <c r="D26" s="7" t="s">
        <v>35</v>
      </c>
    </row>
    <row r="27" spans="1:4" x14ac:dyDescent="0.25">
      <c r="A27" s="7" t="s">
        <v>40</v>
      </c>
      <c r="C27" s="10">
        <v>20</v>
      </c>
      <c r="D27" s="7" t="s">
        <v>35</v>
      </c>
    </row>
    <row r="28" spans="1:4" x14ac:dyDescent="0.25">
      <c r="A28" s="7" t="s">
        <v>41</v>
      </c>
      <c r="C28" s="10">
        <v>2</v>
      </c>
      <c r="D28" s="7" t="s">
        <v>35</v>
      </c>
    </row>
    <row r="29" spans="1:4" x14ac:dyDescent="0.25">
      <c r="A29" s="6" t="s">
        <v>42</v>
      </c>
      <c r="C29" s="13">
        <v>295</v>
      </c>
      <c r="D29" s="6" t="s">
        <v>43</v>
      </c>
    </row>
    <row r="30" spans="1:4" x14ac:dyDescent="0.25">
      <c r="A30" s="6" t="s">
        <v>44</v>
      </c>
      <c r="C30" s="13">
        <v>85</v>
      </c>
      <c r="D30" s="6" t="s">
        <v>33</v>
      </c>
    </row>
    <row r="31" spans="1:4" x14ac:dyDescent="0.25">
      <c r="A31" s="7" t="s">
        <v>45</v>
      </c>
      <c r="C31" s="10">
        <v>80</v>
      </c>
      <c r="D31" s="6" t="s">
        <v>46</v>
      </c>
    </row>
    <row r="32" spans="1:4" x14ac:dyDescent="0.25">
      <c r="A32" s="7" t="s">
        <v>47</v>
      </c>
      <c r="C32" s="10">
        <v>50</v>
      </c>
      <c r="D32" s="6" t="s">
        <v>46</v>
      </c>
    </row>
    <row r="33" spans="1:4" x14ac:dyDescent="0.25">
      <c r="A33" s="6" t="s">
        <v>48</v>
      </c>
      <c r="C33" s="13">
        <v>140</v>
      </c>
      <c r="D33" s="6" t="s">
        <v>49</v>
      </c>
    </row>
    <row r="34" spans="1:4" x14ac:dyDescent="0.25">
      <c r="B34" s="6" t="s">
        <v>50</v>
      </c>
      <c r="C34" s="12">
        <v>2340</v>
      </c>
    </row>
    <row r="35" spans="1:4" x14ac:dyDescent="0.25">
      <c r="A35" s="7" t="s">
        <v>51</v>
      </c>
      <c r="C35" s="10">
        <v>40</v>
      </c>
    </row>
    <row r="36" spans="1:4" x14ac:dyDescent="0.25">
      <c r="A36" s="7" t="s">
        <v>52</v>
      </c>
      <c r="C36" s="14">
        <v>1206</v>
      </c>
    </row>
    <row r="37" spans="1:4" x14ac:dyDescent="0.25">
      <c r="B37" s="6" t="s">
        <v>53</v>
      </c>
      <c r="C37" s="12">
        <v>3921</v>
      </c>
    </row>
    <row r="38" spans="1:4" x14ac:dyDescent="0.25">
      <c r="A38" s="7" t="s">
        <v>54</v>
      </c>
      <c r="C38" s="15">
        <v>0.37</v>
      </c>
    </row>
    <row r="39" spans="1:4" x14ac:dyDescent="0.25">
      <c r="A39" s="7" t="s">
        <v>55</v>
      </c>
      <c r="C39" s="12">
        <v>3550</v>
      </c>
    </row>
    <row r="40" spans="1:4" x14ac:dyDescent="0.25">
      <c r="A40" s="7" t="s">
        <v>56</v>
      </c>
      <c r="C40" s="10">
        <v>14</v>
      </c>
    </row>
    <row r="41" spans="1:4" x14ac:dyDescent="0.25">
      <c r="A41" s="7" t="s">
        <v>57</v>
      </c>
      <c r="C41" s="10">
        <v>30</v>
      </c>
    </row>
    <row r="42" spans="1:4" x14ac:dyDescent="0.25">
      <c r="A42" s="7" t="s">
        <v>58</v>
      </c>
      <c r="C42" s="10">
        <v>190</v>
      </c>
    </row>
    <row r="43" spans="1:4" x14ac:dyDescent="0.25">
      <c r="A43" s="7" t="s">
        <v>59</v>
      </c>
      <c r="C43" s="10">
        <v>137</v>
      </c>
    </row>
    <row r="44" spans="1:4" x14ac:dyDescent="0.25">
      <c r="A44" s="6" t="s">
        <v>53</v>
      </c>
      <c r="C44" s="12">
        <v>3921</v>
      </c>
    </row>
    <row r="45" spans="1:4" x14ac:dyDescent="0.25">
      <c r="A45" s="6" t="s">
        <v>60</v>
      </c>
    </row>
    <row r="46" spans="1:4" x14ac:dyDescent="0.25">
      <c r="A46" s="16" t="s">
        <v>61</v>
      </c>
    </row>
    <row r="47" spans="1:4" x14ac:dyDescent="0.25">
      <c r="A47" s="9" t="s">
        <v>62</v>
      </c>
      <c r="D47" s="17" t="s">
        <v>63</v>
      </c>
    </row>
    <row r="48" spans="1:4" x14ac:dyDescent="0.25">
      <c r="D48" s="5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31"/>
  <sheetViews>
    <sheetView workbookViewId="0">
      <selection activeCell="A16" sqref="A16"/>
    </sheetView>
  </sheetViews>
  <sheetFormatPr defaultRowHeight="15" x14ac:dyDescent="0.25"/>
  <cols>
    <col min="1" max="1" width="62.7109375" bestFit="1" customWidth="1"/>
    <col min="3" max="3" width="13.42578125" bestFit="1" customWidth="1"/>
    <col min="4" max="4" width="25.7109375" bestFit="1" customWidth="1"/>
  </cols>
  <sheetData>
    <row r="2" spans="1:4" x14ac:dyDescent="0.25">
      <c r="A2" s="18" t="s">
        <v>1</v>
      </c>
      <c r="D2" s="7" t="s">
        <v>64</v>
      </c>
    </row>
    <row r="3" spans="1:4" x14ac:dyDescent="0.25">
      <c r="A3" s="18" t="s">
        <v>9</v>
      </c>
    </row>
    <row r="4" spans="1:4" x14ac:dyDescent="0.25">
      <c r="A4" s="18" t="s">
        <v>65</v>
      </c>
    </row>
    <row r="5" spans="1:4" x14ac:dyDescent="0.25">
      <c r="A5" s="18" t="s">
        <v>11</v>
      </c>
    </row>
    <row r="6" spans="1:4" x14ac:dyDescent="0.25">
      <c r="B6" s="9" t="s">
        <v>66</v>
      </c>
    </row>
    <row r="7" spans="1:4" x14ac:dyDescent="0.25">
      <c r="A7" s="8" t="s">
        <v>12</v>
      </c>
      <c r="B7" s="9" t="s">
        <v>67</v>
      </c>
      <c r="C7" s="9" t="s">
        <v>68</v>
      </c>
      <c r="D7" s="9" t="s">
        <v>69</v>
      </c>
    </row>
    <row r="8" spans="1:4" x14ac:dyDescent="0.25">
      <c r="A8" s="7" t="s">
        <v>70</v>
      </c>
      <c r="B8" s="10">
        <v>2</v>
      </c>
      <c r="C8" s="7" t="s">
        <v>71</v>
      </c>
      <c r="D8" s="7" t="s">
        <v>71</v>
      </c>
    </row>
    <row r="9" spans="1:4" x14ac:dyDescent="0.25">
      <c r="A9" s="7" t="s">
        <v>72</v>
      </c>
      <c r="B9" s="19">
        <v>-28</v>
      </c>
      <c r="C9" s="20">
        <v>5.1999999999999998E-2</v>
      </c>
      <c r="D9" s="21">
        <v>0</v>
      </c>
    </row>
    <row r="10" spans="1:4" x14ac:dyDescent="0.25">
      <c r="A10" s="7" t="s">
        <v>17</v>
      </c>
      <c r="B10" s="10">
        <v>24</v>
      </c>
      <c r="C10" s="20">
        <v>6.0999999999999999E-2</v>
      </c>
      <c r="D10" s="20">
        <v>0</v>
      </c>
    </row>
    <row r="11" spans="1:4" x14ac:dyDescent="0.25">
      <c r="A11" s="7" t="s">
        <v>18</v>
      </c>
      <c r="B11" s="10">
        <v>11</v>
      </c>
      <c r="C11" s="20">
        <v>5.1999999999999998E-2</v>
      </c>
      <c r="D11" s="20">
        <v>0</v>
      </c>
    </row>
    <row r="12" spans="1:4" x14ac:dyDescent="0.25">
      <c r="A12" s="7" t="s">
        <v>48</v>
      </c>
      <c r="B12" s="10">
        <v>140</v>
      </c>
      <c r="C12" s="20">
        <v>0.11</v>
      </c>
      <c r="D12" s="20">
        <v>4.0000000000000001E-3</v>
      </c>
    </row>
    <row r="13" spans="1:4" x14ac:dyDescent="0.25">
      <c r="A13" s="7" t="s">
        <v>73</v>
      </c>
      <c r="B13" s="14">
        <v>1720</v>
      </c>
      <c r="C13" s="20">
        <v>0.11</v>
      </c>
      <c r="D13" s="20">
        <v>5.2999999999999999E-2</v>
      </c>
    </row>
    <row r="14" spans="1:4" x14ac:dyDescent="0.25">
      <c r="A14" s="7" t="s">
        <v>74</v>
      </c>
      <c r="B14" s="10">
        <v>100</v>
      </c>
      <c r="C14" s="20">
        <v>0.11</v>
      </c>
      <c r="D14" s="20">
        <v>3.0000000000000001E-3</v>
      </c>
    </row>
    <row r="15" spans="1:4" x14ac:dyDescent="0.25">
      <c r="A15" s="7" t="s">
        <v>75</v>
      </c>
      <c r="B15" s="10">
        <v>85</v>
      </c>
      <c r="C15" s="20">
        <v>0.11</v>
      </c>
      <c r="D15" s="20">
        <v>3.0000000000000001E-3</v>
      </c>
    </row>
    <row r="16" spans="1:4" x14ac:dyDescent="0.25">
      <c r="A16" s="7" t="s">
        <v>76</v>
      </c>
      <c r="B16" s="10">
        <v>295</v>
      </c>
      <c r="C16" s="20">
        <v>0.11</v>
      </c>
      <c r="D16" s="20">
        <v>8.9999999999999993E-3</v>
      </c>
    </row>
    <row r="17" spans="1:5" x14ac:dyDescent="0.25">
      <c r="A17" s="7" t="s">
        <v>77</v>
      </c>
      <c r="B17" s="10">
        <v>37</v>
      </c>
      <c r="C17" s="20">
        <v>0.11</v>
      </c>
      <c r="D17" s="20">
        <v>1E-3</v>
      </c>
    </row>
    <row r="18" spans="1:5" x14ac:dyDescent="0.25">
      <c r="A18" s="7" t="s">
        <v>78</v>
      </c>
      <c r="B18" s="14">
        <v>1206</v>
      </c>
      <c r="C18" s="20">
        <v>0.12</v>
      </c>
      <c r="D18" s="20">
        <v>0.04</v>
      </c>
    </row>
    <row r="19" spans="1:5" x14ac:dyDescent="0.25">
      <c r="A19" s="6" t="s">
        <v>79</v>
      </c>
      <c r="B19" s="12">
        <v>3591</v>
      </c>
      <c r="D19" s="6" t="s">
        <v>80</v>
      </c>
    </row>
    <row r="20" spans="1:5" x14ac:dyDescent="0.25">
      <c r="D20" s="6" t="s">
        <v>81</v>
      </c>
    </row>
    <row r="21" spans="1:5" x14ac:dyDescent="0.25">
      <c r="A21" s="7" t="s">
        <v>82</v>
      </c>
      <c r="B21" s="14">
        <v>3550</v>
      </c>
      <c r="D21" s="6" t="s">
        <v>83</v>
      </c>
    </row>
    <row r="22" spans="1:5" x14ac:dyDescent="0.25">
      <c r="A22" s="7" t="s">
        <v>84</v>
      </c>
      <c r="B22" s="10">
        <v>14</v>
      </c>
    </row>
    <row r="23" spans="1:5" x14ac:dyDescent="0.25">
      <c r="A23" s="6" t="s">
        <v>85</v>
      </c>
      <c r="B23" s="12">
        <v>3564</v>
      </c>
    </row>
    <row r="24" spans="1:5" x14ac:dyDescent="0.25">
      <c r="A24" s="7" t="s">
        <v>86</v>
      </c>
      <c r="B24" s="10">
        <v>30</v>
      </c>
      <c r="D24" s="7" t="s">
        <v>87</v>
      </c>
    </row>
    <row r="25" spans="1:5" x14ac:dyDescent="0.25">
      <c r="A25" s="6" t="s">
        <v>88</v>
      </c>
      <c r="B25" s="12">
        <v>3594</v>
      </c>
    </row>
    <row r="26" spans="1:5" x14ac:dyDescent="0.25">
      <c r="A26" s="7" t="s">
        <v>89</v>
      </c>
      <c r="B26" s="7" t="s">
        <v>90</v>
      </c>
      <c r="D26" s="7" t="s">
        <v>91</v>
      </c>
    </row>
    <row r="27" spans="1:5" x14ac:dyDescent="0.25">
      <c r="A27" s="7" t="s">
        <v>92</v>
      </c>
      <c r="B27" s="7" t="s">
        <v>90</v>
      </c>
    </row>
    <row r="28" spans="1:5" x14ac:dyDescent="0.25">
      <c r="A28" s="6" t="s">
        <v>79</v>
      </c>
      <c r="B28" s="12">
        <v>3594</v>
      </c>
    </row>
    <row r="29" spans="1:5" x14ac:dyDescent="0.25">
      <c r="A29" s="16" t="s">
        <v>61</v>
      </c>
    </row>
    <row r="30" spans="1:5" ht="18.75" x14ac:dyDescent="0.25">
      <c r="A30" s="9" t="s">
        <v>62</v>
      </c>
      <c r="E30" s="22" t="s">
        <v>63</v>
      </c>
    </row>
    <row r="31" spans="1:5" x14ac:dyDescent="0.25">
      <c r="C31" s="5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L30"/>
  <sheetViews>
    <sheetView workbookViewId="0">
      <selection activeCell="B6" sqref="B6"/>
    </sheetView>
  </sheetViews>
  <sheetFormatPr defaultRowHeight="15" x14ac:dyDescent="0.25"/>
  <cols>
    <col min="1" max="1" width="62.7109375" bestFit="1" customWidth="1"/>
  </cols>
  <sheetData>
    <row r="2" spans="1:12" x14ac:dyDescent="0.25">
      <c r="A2" s="6" t="s">
        <v>1</v>
      </c>
      <c r="L2" s="7" t="s">
        <v>93</v>
      </c>
    </row>
    <row r="3" spans="1:12" x14ac:dyDescent="0.25">
      <c r="A3" s="6" t="s">
        <v>9</v>
      </c>
    </row>
    <row r="4" spans="1:12" x14ac:dyDescent="0.25">
      <c r="A4" s="6" t="s">
        <v>94</v>
      </c>
    </row>
    <row r="5" spans="1:12" x14ac:dyDescent="0.25">
      <c r="A5" s="6" t="s">
        <v>11</v>
      </c>
    </row>
    <row r="6" spans="1:12" x14ac:dyDescent="0.25">
      <c r="D6" s="9" t="s">
        <v>95</v>
      </c>
      <c r="G6" s="9" t="s">
        <v>96</v>
      </c>
    </row>
    <row r="7" spans="1:12" x14ac:dyDescent="0.25">
      <c r="A7" s="8" t="s">
        <v>12</v>
      </c>
      <c r="C7" s="9" t="s">
        <v>97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</row>
    <row r="8" spans="1:12" x14ac:dyDescent="0.25">
      <c r="A8" s="6" t="s">
        <v>105</v>
      </c>
      <c r="C8" s="10">
        <v>972</v>
      </c>
      <c r="D8" s="10">
        <v>237</v>
      </c>
      <c r="E8" s="14">
        <v>1000</v>
      </c>
      <c r="F8" s="14">
        <v>1037</v>
      </c>
      <c r="G8" s="14">
        <v>1079</v>
      </c>
      <c r="H8" s="14">
        <v>1119</v>
      </c>
      <c r="I8" s="14">
        <v>1166</v>
      </c>
      <c r="J8" s="14">
        <v>1217</v>
      </c>
      <c r="K8" s="14">
        <v>1271</v>
      </c>
    </row>
    <row r="9" spans="1:12" x14ac:dyDescent="0.25">
      <c r="A9" s="6" t="s">
        <v>106</v>
      </c>
      <c r="C9" s="13">
        <v>305</v>
      </c>
      <c r="D9" s="13">
        <v>78</v>
      </c>
      <c r="E9" s="13">
        <v>313</v>
      </c>
      <c r="F9" s="13">
        <v>347</v>
      </c>
      <c r="G9" s="13">
        <v>373</v>
      </c>
      <c r="H9" s="13">
        <v>391</v>
      </c>
      <c r="I9" s="13">
        <v>419</v>
      </c>
      <c r="J9" s="13">
        <v>448</v>
      </c>
      <c r="K9" s="13">
        <v>479</v>
      </c>
    </row>
    <row r="10" spans="1:12" x14ac:dyDescent="0.25">
      <c r="A10" s="7" t="s">
        <v>107</v>
      </c>
      <c r="C10" s="19">
        <v>-35</v>
      </c>
      <c r="D10" s="19">
        <v>-8</v>
      </c>
      <c r="E10" s="19">
        <v>-34</v>
      </c>
      <c r="F10" s="19">
        <v>-36</v>
      </c>
      <c r="G10" s="19">
        <v>-54</v>
      </c>
      <c r="H10" s="19">
        <v>-62</v>
      </c>
      <c r="I10" s="19">
        <v>-62</v>
      </c>
      <c r="J10" s="19">
        <v>-62</v>
      </c>
      <c r="K10" s="19">
        <v>-62</v>
      </c>
    </row>
    <row r="11" spans="1:12" x14ac:dyDescent="0.25">
      <c r="A11" s="6" t="s">
        <v>108</v>
      </c>
      <c r="C11" s="10">
        <v>271</v>
      </c>
      <c r="D11" s="10">
        <v>70</v>
      </c>
      <c r="E11" s="10">
        <v>279</v>
      </c>
      <c r="F11" s="10">
        <v>311</v>
      </c>
      <c r="G11" s="10">
        <v>319</v>
      </c>
      <c r="H11" s="10">
        <v>329</v>
      </c>
      <c r="I11" s="10">
        <v>357</v>
      </c>
      <c r="J11" s="10">
        <v>386</v>
      </c>
      <c r="K11" s="10">
        <v>417</v>
      </c>
    </row>
    <row r="12" spans="1:12" x14ac:dyDescent="0.25">
      <c r="A12" s="7" t="s">
        <v>109</v>
      </c>
      <c r="B12" s="20">
        <v>0.218</v>
      </c>
      <c r="C12" s="19">
        <v>-59</v>
      </c>
      <c r="D12" s="19">
        <v>-15</v>
      </c>
      <c r="E12" s="19">
        <v>-61</v>
      </c>
      <c r="F12" s="19">
        <v>-68</v>
      </c>
      <c r="G12" s="19">
        <v>-70</v>
      </c>
      <c r="H12" s="19">
        <v>-72</v>
      </c>
      <c r="I12" s="19">
        <v>-78</v>
      </c>
      <c r="J12" s="19">
        <v>-84</v>
      </c>
      <c r="K12" s="19">
        <v>-91</v>
      </c>
    </row>
    <row r="13" spans="1:12" x14ac:dyDescent="0.25">
      <c r="A13" s="6" t="s">
        <v>110</v>
      </c>
      <c r="D13" s="10">
        <v>55</v>
      </c>
      <c r="E13" s="10">
        <v>218</v>
      </c>
      <c r="F13" s="10">
        <v>243</v>
      </c>
      <c r="G13" s="10">
        <v>249</v>
      </c>
      <c r="H13" s="10">
        <v>257</v>
      </c>
      <c r="I13" s="10">
        <v>279</v>
      </c>
      <c r="J13" s="10">
        <v>302</v>
      </c>
      <c r="K13" s="10">
        <v>326</v>
      </c>
    </row>
    <row r="14" spans="1:12" x14ac:dyDescent="0.25">
      <c r="A14" s="7" t="s">
        <v>111</v>
      </c>
      <c r="D14" s="10">
        <v>8</v>
      </c>
      <c r="E14" s="10">
        <v>34</v>
      </c>
      <c r="F14" s="10">
        <v>36</v>
      </c>
      <c r="G14" s="10">
        <v>54</v>
      </c>
      <c r="H14" s="10">
        <v>62</v>
      </c>
      <c r="I14" s="10">
        <v>62</v>
      </c>
      <c r="J14" s="10">
        <v>62</v>
      </c>
      <c r="K14" s="10">
        <v>62</v>
      </c>
    </row>
    <row r="15" spans="1:12" x14ac:dyDescent="0.25">
      <c r="A15" s="7" t="s">
        <v>112</v>
      </c>
      <c r="D15" s="10">
        <v>4</v>
      </c>
      <c r="E15" s="10">
        <v>14</v>
      </c>
      <c r="F15" s="10">
        <v>16</v>
      </c>
      <c r="G15" s="10">
        <v>13</v>
      </c>
      <c r="H15" s="10">
        <v>13</v>
      </c>
      <c r="I15" s="10">
        <v>9</v>
      </c>
      <c r="J15" s="10">
        <v>10</v>
      </c>
      <c r="K15" s="10">
        <v>10</v>
      </c>
    </row>
    <row r="16" spans="1:12" x14ac:dyDescent="0.25">
      <c r="A16" s="7" t="s">
        <v>113</v>
      </c>
      <c r="D16" s="19">
        <v>-15</v>
      </c>
      <c r="E16" s="19">
        <v>-62</v>
      </c>
      <c r="F16" s="19">
        <v>-62</v>
      </c>
      <c r="G16" s="19">
        <v>-62</v>
      </c>
      <c r="H16" s="19">
        <v>-61</v>
      </c>
      <c r="I16" s="19">
        <v>-62</v>
      </c>
      <c r="J16" s="19">
        <v>-62</v>
      </c>
      <c r="K16" s="19">
        <v>-63</v>
      </c>
    </row>
    <row r="17" spans="1:12" x14ac:dyDescent="0.25">
      <c r="A17" s="6" t="s">
        <v>114</v>
      </c>
      <c r="D17" s="10">
        <v>52</v>
      </c>
      <c r="E17" s="10">
        <v>204</v>
      </c>
      <c r="F17" s="10">
        <v>233</v>
      </c>
      <c r="G17" s="10">
        <v>255</v>
      </c>
      <c r="H17" s="10">
        <v>271</v>
      </c>
      <c r="I17" s="10">
        <v>288</v>
      </c>
      <c r="J17" s="10">
        <v>311</v>
      </c>
      <c r="K17" s="10">
        <v>335</v>
      </c>
    </row>
    <row r="18" spans="1:12" x14ac:dyDescent="0.25">
      <c r="A18" s="7" t="s">
        <v>115</v>
      </c>
      <c r="B18" s="20">
        <v>0.114</v>
      </c>
      <c r="D18" s="23">
        <v>0.9869</v>
      </c>
      <c r="E18" s="24">
        <v>0.92300000000000004</v>
      </c>
      <c r="F18" s="23">
        <v>0.82869999999999999</v>
      </c>
      <c r="G18" s="24">
        <v>0.74399999999999999</v>
      </c>
      <c r="H18" s="24">
        <v>0.66800000000000004</v>
      </c>
      <c r="I18" s="23">
        <v>0.59970000000000001</v>
      </c>
      <c r="J18" s="23">
        <v>0.53849999999999998</v>
      </c>
      <c r="K18" s="23">
        <v>0.4834</v>
      </c>
    </row>
    <row r="19" spans="1:12" x14ac:dyDescent="0.25">
      <c r="A19" s="6" t="s">
        <v>116</v>
      </c>
      <c r="D19" s="13">
        <v>51</v>
      </c>
      <c r="E19" s="13">
        <v>189</v>
      </c>
      <c r="F19" s="13">
        <v>193</v>
      </c>
      <c r="G19" s="13">
        <v>190</v>
      </c>
      <c r="H19" s="13">
        <v>181</v>
      </c>
      <c r="I19" s="13">
        <v>173</v>
      </c>
      <c r="J19" s="13">
        <v>168</v>
      </c>
      <c r="K19" s="13">
        <v>162</v>
      </c>
    </row>
    <row r="20" spans="1:12" x14ac:dyDescent="0.25">
      <c r="A20" s="7" t="s">
        <v>117</v>
      </c>
      <c r="D20" s="14">
        <v>1306</v>
      </c>
      <c r="F20" s="8" t="s">
        <v>118</v>
      </c>
    </row>
    <row r="21" spans="1:12" x14ac:dyDescent="0.25">
      <c r="A21" s="7" t="s">
        <v>119</v>
      </c>
      <c r="D21" s="14">
        <v>1989</v>
      </c>
      <c r="F21" s="7" t="s">
        <v>120</v>
      </c>
      <c r="I21" s="10">
        <v>335</v>
      </c>
    </row>
    <row r="22" spans="1:12" x14ac:dyDescent="0.25">
      <c r="A22" s="7" t="s">
        <v>121</v>
      </c>
      <c r="B22" s="7" t="s">
        <v>122</v>
      </c>
      <c r="D22" s="10">
        <v>269</v>
      </c>
      <c r="F22" s="7" t="s">
        <v>123</v>
      </c>
      <c r="I22" s="20">
        <v>0.03</v>
      </c>
    </row>
    <row r="23" spans="1:12" x14ac:dyDescent="0.25">
      <c r="A23" s="7" t="s">
        <v>124</v>
      </c>
      <c r="D23" s="10">
        <v>30</v>
      </c>
      <c r="F23" s="7" t="s">
        <v>119</v>
      </c>
      <c r="I23" s="14">
        <v>1989</v>
      </c>
    </row>
    <row r="24" spans="1:12" x14ac:dyDescent="0.25">
      <c r="A24" s="6" t="s">
        <v>125</v>
      </c>
      <c r="D24" s="12">
        <v>3594</v>
      </c>
    </row>
    <row r="25" spans="1:12" x14ac:dyDescent="0.25">
      <c r="A25" s="25" t="s">
        <v>126</v>
      </c>
      <c r="D25" s="14">
        <v>3594</v>
      </c>
    </row>
    <row r="26" spans="1:12" x14ac:dyDescent="0.25">
      <c r="A26" s="8" t="s">
        <v>127</v>
      </c>
    </row>
    <row r="27" spans="1:12" x14ac:dyDescent="0.25">
      <c r="A27" s="7" t="s">
        <v>128</v>
      </c>
    </row>
    <row r="28" spans="1:12" x14ac:dyDescent="0.25">
      <c r="A28" s="16" t="s">
        <v>61</v>
      </c>
    </row>
    <row r="29" spans="1:12" ht="18" x14ac:dyDescent="0.25">
      <c r="A29" s="9" t="s">
        <v>62</v>
      </c>
      <c r="L29" s="26" t="s">
        <v>63</v>
      </c>
    </row>
    <row r="30" spans="1:12" x14ac:dyDescent="0.25">
      <c r="E30" s="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41"/>
  <sheetViews>
    <sheetView workbookViewId="0">
      <selection activeCell="A27" sqref="A27"/>
    </sheetView>
  </sheetViews>
  <sheetFormatPr defaultRowHeight="15" x14ac:dyDescent="0.25"/>
  <cols>
    <col min="1" max="1" width="75" bestFit="1" customWidth="1"/>
  </cols>
  <sheetData>
    <row r="2" spans="1:14" x14ac:dyDescent="0.25">
      <c r="A2" s="6" t="s">
        <v>1</v>
      </c>
    </row>
    <row r="3" spans="1:14" x14ac:dyDescent="0.25">
      <c r="N3" s="7" t="s">
        <v>129</v>
      </c>
    </row>
    <row r="4" spans="1:14" x14ac:dyDescent="0.25">
      <c r="A4" s="6" t="s">
        <v>9</v>
      </c>
    </row>
    <row r="5" spans="1:14" x14ac:dyDescent="0.25">
      <c r="A5" s="6" t="s">
        <v>130</v>
      </c>
    </row>
    <row r="6" spans="1:14" x14ac:dyDescent="0.25">
      <c r="A6" s="6" t="s">
        <v>11</v>
      </c>
    </row>
    <row r="7" spans="1:14" x14ac:dyDescent="0.25">
      <c r="I7" s="9" t="s">
        <v>131</v>
      </c>
      <c r="J7" s="9" t="s">
        <v>132</v>
      </c>
      <c r="L7" s="9" t="s">
        <v>133</v>
      </c>
    </row>
    <row r="8" spans="1:14" x14ac:dyDescent="0.25">
      <c r="A8" s="8" t="s">
        <v>12</v>
      </c>
      <c r="B8" s="8" t="s">
        <v>134</v>
      </c>
      <c r="C8" s="8" t="s">
        <v>135</v>
      </c>
      <c r="F8" s="9" t="s">
        <v>136</v>
      </c>
      <c r="G8" s="9" t="s">
        <v>137</v>
      </c>
      <c r="I8" s="9" t="s">
        <v>138</v>
      </c>
      <c r="J8" s="9" t="s">
        <v>139</v>
      </c>
      <c r="L8" s="9" t="s">
        <v>140</v>
      </c>
      <c r="M8" s="9" t="s">
        <v>141</v>
      </c>
    </row>
    <row r="9" spans="1:14" x14ac:dyDescent="0.25">
      <c r="A9" s="7" t="s">
        <v>142</v>
      </c>
      <c r="B9" s="7" t="s">
        <v>143</v>
      </c>
      <c r="D9" s="7" t="s">
        <v>144</v>
      </c>
      <c r="F9" s="23">
        <v>0.89</v>
      </c>
      <c r="G9" s="14">
        <v>4818</v>
      </c>
      <c r="I9" s="14">
        <v>30394</v>
      </c>
      <c r="J9" s="20">
        <v>0.159</v>
      </c>
      <c r="L9" s="20">
        <v>0.23300000000000001</v>
      </c>
      <c r="M9" s="23">
        <v>0.79</v>
      </c>
    </row>
    <row r="10" spans="1:14" x14ac:dyDescent="0.25">
      <c r="A10" s="7" t="s">
        <v>145</v>
      </c>
      <c r="B10" s="7" t="s">
        <v>146</v>
      </c>
      <c r="D10" s="7" t="s">
        <v>147</v>
      </c>
      <c r="F10" s="23">
        <v>0.66</v>
      </c>
      <c r="G10" s="14">
        <v>9085</v>
      </c>
      <c r="I10" s="14">
        <v>31139</v>
      </c>
      <c r="J10" s="20">
        <v>0.29199999999999998</v>
      </c>
      <c r="L10" s="20">
        <v>0.4</v>
      </c>
      <c r="M10" s="23">
        <v>0.56000000000000005</v>
      </c>
    </row>
    <row r="11" spans="1:14" x14ac:dyDescent="0.25">
      <c r="A11" s="7" t="s">
        <v>148</v>
      </c>
      <c r="B11" s="7" t="s">
        <v>149</v>
      </c>
      <c r="D11" s="7" t="s">
        <v>147</v>
      </c>
      <c r="F11" s="23">
        <v>1.17</v>
      </c>
      <c r="G11" s="14">
        <v>3779</v>
      </c>
      <c r="I11" s="14">
        <v>33958</v>
      </c>
      <c r="J11" s="20">
        <v>0.111</v>
      </c>
      <c r="L11" s="20">
        <v>0.29899999999999999</v>
      </c>
      <c r="M11" s="23">
        <v>1.08</v>
      </c>
    </row>
    <row r="12" spans="1:14" x14ac:dyDescent="0.25">
      <c r="A12" s="7" t="s">
        <v>150</v>
      </c>
      <c r="B12" s="7" t="s">
        <v>151</v>
      </c>
      <c r="D12" s="7" t="s">
        <v>147</v>
      </c>
      <c r="F12" s="23">
        <v>0.91</v>
      </c>
      <c r="G12" s="14">
        <v>8026</v>
      </c>
      <c r="I12" s="14">
        <v>19365</v>
      </c>
      <c r="J12" s="20">
        <v>0.41399999999999998</v>
      </c>
      <c r="L12" s="20">
        <v>0.38700000000000001</v>
      </c>
      <c r="M12" s="23">
        <v>0.73</v>
      </c>
    </row>
    <row r="13" spans="1:14" x14ac:dyDescent="0.25">
      <c r="A13" s="7" t="s">
        <v>152</v>
      </c>
      <c r="B13" s="7" t="s">
        <v>153</v>
      </c>
      <c r="D13" s="7" t="s">
        <v>147</v>
      </c>
      <c r="F13" s="23">
        <v>0.82</v>
      </c>
      <c r="G13" s="14">
        <v>2275</v>
      </c>
      <c r="I13" s="14">
        <v>13725</v>
      </c>
      <c r="J13" s="20">
        <v>0.16600000000000001</v>
      </c>
      <c r="L13" s="20">
        <v>0.32100000000000001</v>
      </c>
      <c r="M13" s="23">
        <v>0.73</v>
      </c>
    </row>
    <row r="14" spans="1:14" x14ac:dyDescent="0.25">
      <c r="A14" s="7" t="s">
        <v>154</v>
      </c>
      <c r="B14" s="7" t="s">
        <v>155</v>
      </c>
      <c r="D14" s="7" t="s">
        <v>156</v>
      </c>
      <c r="F14" s="23">
        <v>0.88</v>
      </c>
      <c r="G14" s="14">
        <v>2632</v>
      </c>
      <c r="I14" s="14">
        <v>11117</v>
      </c>
      <c r="J14" s="20">
        <v>0.23699999999999999</v>
      </c>
      <c r="L14" s="20">
        <v>0.224</v>
      </c>
      <c r="M14" s="23">
        <v>0.74</v>
      </c>
    </row>
    <row r="15" spans="1:14" x14ac:dyDescent="0.25">
      <c r="A15" s="7" t="s">
        <v>157</v>
      </c>
      <c r="B15" s="7" t="s">
        <v>158</v>
      </c>
      <c r="D15" s="7" t="s">
        <v>147</v>
      </c>
      <c r="F15" s="23">
        <v>0.81</v>
      </c>
      <c r="G15" s="10">
        <v>846</v>
      </c>
      <c r="I15" s="14">
        <v>7325</v>
      </c>
      <c r="J15" s="20">
        <v>0.11600000000000001</v>
      </c>
      <c r="L15" s="20">
        <v>0.35599999999999998</v>
      </c>
      <c r="M15" s="23">
        <v>0.75</v>
      </c>
    </row>
    <row r="16" spans="1:14" x14ac:dyDescent="0.25">
      <c r="A16" s="7" t="s">
        <v>159</v>
      </c>
      <c r="B16" s="7" t="s">
        <v>160</v>
      </c>
      <c r="D16" s="7" t="s">
        <v>144</v>
      </c>
      <c r="F16" s="23">
        <v>0.89</v>
      </c>
      <c r="G16" s="14">
        <v>1107</v>
      </c>
      <c r="I16" s="14">
        <v>4683</v>
      </c>
      <c r="J16" s="20">
        <v>0.23599999999999999</v>
      </c>
      <c r="L16" s="20">
        <v>0.17699999999999999</v>
      </c>
      <c r="M16" s="23">
        <v>0.75</v>
      </c>
    </row>
    <row r="17" spans="1:13" x14ac:dyDescent="0.25">
      <c r="A17" s="7" t="s">
        <v>161</v>
      </c>
      <c r="B17" s="7" t="s">
        <v>162</v>
      </c>
      <c r="D17" s="7" t="s">
        <v>147</v>
      </c>
      <c r="F17" s="27">
        <v>0.9</v>
      </c>
      <c r="G17" s="10">
        <v>300</v>
      </c>
      <c r="I17" s="14">
        <v>6378</v>
      </c>
      <c r="J17" s="20">
        <v>4.7E-2</v>
      </c>
      <c r="L17" s="20">
        <v>0.26100000000000001</v>
      </c>
      <c r="M17" s="23">
        <v>0.87</v>
      </c>
    </row>
    <row r="18" spans="1:13" x14ac:dyDescent="0.25">
      <c r="A18" s="7" t="s">
        <v>163</v>
      </c>
      <c r="B18" s="7" t="s">
        <v>164</v>
      </c>
      <c r="D18" s="7" t="s">
        <v>147</v>
      </c>
      <c r="F18" s="23">
        <v>1.02</v>
      </c>
      <c r="G18" s="10">
        <v>655</v>
      </c>
      <c r="I18" s="14">
        <v>3019</v>
      </c>
      <c r="J18" s="20">
        <v>0.217</v>
      </c>
      <c r="L18" s="20">
        <v>0.16700000000000001</v>
      </c>
      <c r="M18" s="23">
        <v>0.87</v>
      </c>
    </row>
    <row r="19" spans="1:13" x14ac:dyDescent="0.25">
      <c r="A19" s="6" t="s">
        <v>165</v>
      </c>
      <c r="F19" s="23">
        <v>0.89</v>
      </c>
      <c r="J19" s="28">
        <v>0.191</v>
      </c>
      <c r="L19" s="28">
        <v>0.28000000000000003</v>
      </c>
      <c r="M19" s="29">
        <v>0.75</v>
      </c>
    </row>
    <row r="20" spans="1:13" x14ac:dyDescent="0.25">
      <c r="A20" s="6" t="s">
        <v>166</v>
      </c>
      <c r="F20" s="23">
        <v>0.89</v>
      </c>
      <c r="J20" s="28">
        <v>0.19900000000000001</v>
      </c>
      <c r="L20" s="28">
        <v>0.28199999999999997</v>
      </c>
      <c r="M20" s="29">
        <v>0.79</v>
      </c>
    </row>
    <row r="21" spans="1:13" x14ac:dyDescent="0.25">
      <c r="A21" s="7" t="s">
        <v>167</v>
      </c>
      <c r="I21" s="7" t="s">
        <v>168</v>
      </c>
    </row>
    <row r="22" spans="1:13" x14ac:dyDescent="0.25">
      <c r="A22" s="7" t="s">
        <v>169</v>
      </c>
      <c r="E22" s="7" t="s">
        <v>170</v>
      </c>
      <c r="I22" s="7" t="s">
        <v>171</v>
      </c>
      <c r="M22" s="20">
        <v>4.2999999999999997E-2</v>
      </c>
    </row>
    <row r="23" spans="1:13" x14ac:dyDescent="0.25">
      <c r="A23" s="7" t="s">
        <v>172</v>
      </c>
      <c r="E23" s="7" t="s">
        <v>173</v>
      </c>
      <c r="I23" s="7" t="s">
        <v>174</v>
      </c>
      <c r="M23" s="20">
        <v>0.218</v>
      </c>
    </row>
    <row r="24" spans="1:13" x14ac:dyDescent="0.25">
      <c r="A24" s="7" t="s">
        <v>174</v>
      </c>
      <c r="E24" s="20">
        <v>0.218</v>
      </c>
      <c r="I24" s="7" t="s">
        <v>175</v>
      </c>
      <c r="M24" s="20">
        <v>3.4000000000000002E-2</v>
      </c>
    </row>
    <row r="25" spans="1:13" x14ac:dyDescent="0.25">
      <c r="A25" s="7" t="s">
        <v>176</v>
      </c>
      <c r="E25" s="7" t="s">
        <v>177</v>
      </c>
      <c r="I25" s="7" t="s">
        <v>130</v>
      </c>
    </row>
    <row r="26" spans="1:13" x14ac:dyDescent="0.25">
      <c r="A26" s="7" t="s">
        <v>178</v>
      </c>
      <c r="E26" s="23">
        <v>0.86</v>
      </c>
      <c r="H26" s="7" t="s">
        <v>179</v>
      </c>
      <c r="L26" s="20">
        <v>0.161</v>
      </c>
      <c r="M26" s="20">
        <v>3.4000000000000002E-2</v>
      </c>
    </row>
    <row r="27" spans="1:13" x14ac:dyDescent="0.25">
      <c r="A27" s="7" t="s">
        <v>180</v>
      </c>
      <c r="E27" s="7" t="s">
        <v>181</v>
      </c>
      <c r="I27" s="7" t="s">
        <v>182</v>
      </c>
      <c r="L27" s="20">
        <v>0.83899999999999997</v>
      </c>
      <c r="M27" s="20">
        <v>0.126</v>
      </c>
    </row>
    <row r="28" spans="1:13" x14ac:dyDescent="0.25">
      <c r="A28" s="7" t="s">
        <v>183</v>
      </c>
      <c r="E28" s="7" t="s">
        <v>184</v>
      </c>
      <c r="I28" s="7" t="s">
        <v>185</v>
      </c>
      <c r="M28" s="20">
        <v>0.111</v>
      </c>
    </row>
    <row r="29" spans="1:13" x14ac:dyDescent="0.25">
      <c r="A29" s="7" t="s">
        <v>186</v>
      </c>
      <c r="E29" s="7" t="s">
        <v>187</v>
      </c>
    </row>
    <row r="30" spans="1:13" x14ac:dyDescent="0.25">
      <c r="A30" s="6" t="s">
        <v>188</v>
      </c>
      <c r="E30" s="28">
        <v>0.126</v>
      </c>
      <c r="I30" s="6" t="s">
        <v>189</v>
      </c>
      <c r="M30" s="20">
        <v>0.11</v>
      </c>
    </row>
    <row r="31" spans="1:13" x14ac:dyDescent="0.25">
      <c r="A31" s="8" t="s">
        <v>190</v>
      </c>
    </row>
    <row r="32" spans="1:13" x14ac:dyDescent="0.25">
      <c r="A32" s="7" t="s">
        <v>191</v>
      </c>
    </row>
    <row r="33" spans="1:14" x14ac:dyDescent="0.25">
      <c r="A33" s="7" t="s">
        <v>192</v>
      </c>
    </row>
    <row r="34" spans="1:14" x14ac:dyDescent="0.25">
      <c r="A34" s="7" t="s">
        <v>193</v>
      </c>
    </row>
    <row r="35" spans="1:14" x14ac:dyDescent="0.25">
      <c r="A35" s="7" t="s">
        <v>194</v>
      </c>
    </row>
    <row r="36" spans="1:14" x14ac:dyDescent="0.25">
      <c r="A36" s="7" t="s">
        <v>195</v>
      </c>
    </row>
    <row r="37" spans="1:14" x14ac:dyDescent="0.25">
      <c r="A37" s="7" t="s">
        <v>196</v>
      </c>
    </row>
    <row r="38" spans="1:14" x14ac:dyDescent="0.25">
      <c r="A38" s="7" t="s">
        <v>197</v>
      </c>
    </row>
    <row r="39" spans="1:14" x14ac:dyDescent="0.25">
      <c r="A39" s="16" t="s">
        <v>61</v>
      </c>
    </row>
    <row r="40" spans="1:14" ht="15.75" x14ac:dyDescent="0.25">
      <c r="A40" s="9" t="s">
        <v>62</v>
      </c>
      <c r="N40" s="30" t="s">
        <v>63</v>
      </c>
    </row>
    <row r="41" spans="1:14" x14ac:dyDescent="0.25">
      <c r="F41" s="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71"/>
  <sheetViews>
    <sheetView workbookViewId="0">
      <selection activeCell="D12" sqref="D12"/>
    </sheetView>
  </sheetViews>
  <sheetFormatPr defaultRowHeight="15" x14ac:dyDescent="0.25"/>
  <cols>
    <col min="1" max="1" width="62.7109375" bestFit="1" customWidth="1"/>
  </cols>
  <sheetData>
    <row r="1" spans="1:14" x14ac:dyDescent="0.25">
      <c r="K1" s="56" t="s">
        <v>824</v>
      </c>
      <c r="L1">
        <f>8-9</f>
        <v>-1</v>
      </c>
    </row>
    <row r="2" spans="1:14" x14ac:dyDescent="0.25">
      <c r="A2" s="6" t="s">
        <v>1</v>
      </c>
      <c r="N2" s="7" t="s">
        <v>198</v>
      </c>
    </row>
    <row r="3" spans="1:14" x14ac:dyDescent="0.25">
      <c r="A3" s="6" t="s">
        <v>9</v>
      </c>
    </row>
    <row r="4" spans="1:14" x14ac:dyDescent="0.25">
      <c r="A4" s="6" t="s">
        <v>199</v>
      </c>
    </row>
    <row r="5" spans="1:14" x14ac:dyDescent="0.25">
      <c r="A5" s="6" t="s">
        <v>11</v>
      </c>
    </row>
    <row r="6" spans="1:14" x14ac:dyDescent="0.25">
      <c r="D6" s="9" t="s">
        <v>95</v>
      </c>
      <c r="I6" s="9" t="s">
        <v>96</v>
      </c>
    </row>
    <row r="7" spans="1:14" x14ac:dyDescent="0.25">
      <c r="A7" s="8" t="s">
        <v>12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  <c r="N7" s="9" t="s">
        <v>202</v>
      </c>
    </row>
    <row r="8" spans="1:14" x14ac:dyDescent="0.25">
      <c r="A8" s="7" t="s">
        <v>203</v>
      </c>
      <c r="D8" s="10">
        <v>74</v>
      </c>
      <c r="E8" s="10">
        <v>312</v>
      </c>
      <c r="F8" s="10">
        <v>323</v>
      </c>
      <c r="G8" s="10">
        <v>333</v>
      </c>
      <c r="H8" s="10">
        <v>346</v>
      </c>
      <c r="I8" s="10">
        <v>359</v>
      </c>
      <c r="J8" s="10">
        <v>371</v>
      </c>
      <c r="K8" s="10">
        <v>384</v>
      </c>
      <c r="L8" s="10">
        <v>395</v>
      </c>
      <c r="M8" s="10">
        <v>407</v>
      </c>
      <c r="N8" s="10">
        <v>420</v>
      </c>
    </row>
    <row r="9" spans="1:14" x14ac:dyDescent="0.25">
      <c r="A9" s="7" t="s">
        <v>204</v>
      </c>
      <c r="D9" s="19">
        <v>-54</v>
      </c>
      <c r="E9" s="19">
        <v>-34</v>
      </c>
      <c r="F9" s="19">
        <v>-1</v>
      </c>
    </row>
    <row r="10" spans="1:14" x14ac:dyDescent="0.25">
      <c r="A10" s="7" t="s">
        <v>205</v>
      </c>
      <c r="D10" s="10">
        <v>20</v>
      </c>
      <c r="E10" s="10">
        <v>278</v>
      </c>
      <c r="F10" s="10">
        <v>322</v>
      </c>
      <c r="G10" s="10">
        <v>333</v>
      </c>
      <c r="H10" s="10">
        <v>346</v>
      </c>
      <c r="I10" s="10">
        <v>359</v>
      </c>
      <c r="J10" s="10">
        <v>371</v>
      </c>
      <c r="K10" s="10">
        <v>384</v>
      </c>
      <c r="L10" s="10">
        <v>395</v>
      </c>
      <c r="M10" s="10">
        <v>407</v>
      </c>
      <c r="N10" s="10">
        <v>420</v>
      </c>
    </row>
    <row r="11" spans="1:14" x14ac:dyDescent="0.25">
      <c r="A11" s="7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</row>
    <row r="12" spans="1:14" x14ac:dyDescent="0.25">
      <c r="A12" s="7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</row>
    <row r="13" spans="1:14" x14ac:dyDescent="0.25">
      <c r="A13" s="7" t="s">
        <v>206</v>
      </c>
      <c r="C13" s="7" t="s">
        <v>207</v>
      </c>
      <c r="D13" s="20">
        <v>1</v>
      </c>
      <c r="E13" s="20">
        <v>1</v>
      </c>
      <c r="F13" s="20">
        <v>0.999</v>
      </c>
      <c r="G13" s="20">
        <v>0.996</v>
      </c>
      <c r="H13" s="20">
        <v>0.99199999999999999</v>
      </c>
      <c r="I13" s="20">
        <v>0.98499999999999999</v>
      </c>
      <c r="J13" s="20">
        <v>0.97499999999999998</v>
      </c>
      <c r="K13" s="20">
        <v>0.96199999999999997</v>
      </c>
      <c r="L13" s="20">
        <v>0.94599999999999995</v>
      </c>
      <c r="M13" s="20">
        <v>0.92800000000000005</v>
      </c>
      <c r="N13" s="20">
        <v>0.90600000000000003</v>
      </c>
    </row>
    <row r="14" spans="1:14" x14ac:dyDescent="0.25">
      <c r="A14" s="7" t="s">
        <v>208</v>
      </c>
      <c r="D14" s="10">
        <v>20</v>
      </c>
      <c r="E14" s="10">
        <v>278</v>
      </c>
      <c r="F14" s="10">
        <v>322</v>
      </c>
      <c r="G14" s="10">
        <v>332</v>
      </c>
      <c r="H14" s="10">
        <v>343</v>
      </c>
      <c r="I14" s="10">
        <v>353</v>
      </c>
      <c r="J14" s="10">
        <v>362</v>
      </c>
      <c r="K14" s="10">
        <v>369</v>
      </c>
      <c r="L14" s="10">
        <v>374</v>
      </c>
      <c r="M14" s="10">
        <v>378</v>
      </c>
      <c r="N14" s="10">
        <v>380</v>
      </c>
    </row>
    <row r="15" spans="1:14" x14ac:dyDescent="0.25">
      <c r="A15" s="7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</row>
    <row r="16" spans="1:14" x14ac:dyDescent="0.25">
      <c r="A16" s="7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</row>
    <row r="17" spans="1:14" x14ac:dyDescent="0.25">
      <c r="A17" s="6" t="s">
        <v>205</v>
      </c>
      <c r="D17" s="13">
        <v>20</v>
      </c>
      <c r="E17" s="13">
        <v>278</v>
      </c>
      <c r="F17" s="13">
        <v>322</v>
      </c>
      <c r="G17" s="13">
        <v>332</v>
      </c>
      <c r="H17" s="13">
        <v>343</v>
      </c>
      <c r="I17" s="13">
        <v>353</v>
      </c>
      <c r="J17" s="13">
        <v>362</v>
      </c>
      <c r="K17" s="13">
        <v>369</v>
      </c>
      <c r="L17" s="13">
        <v>374</v>
      </c>
      <c r="M17" s="13">
        <v>378</v>
      </c>
      <c r="N17" s="13">
        <v>380</v>
      </c>
    </row>
    <row r="18" spans="1:14" x14ac:dyDescent="0.25">
      <c r="A18" s="6" t="s">
        <v>106</v>
      </c>
      <c r="D18" s="13">
        <v>8</v>
      </c>
      <c r="E18" s="13">
        <v>110</v>
      </c>
      <c r="F18" s="13">
        <v>136</v>
      </c>
      <c r="G18" s="13">
        <v>145</v>
      </c>
      <c r="H18" s="13">
        <v>150</v>
      </c>
      <c r="I18" s="13">
        <v>159</v>
      </c>
      <c r="J18" s="13">
        <v>167</v>
      </c>
      <c r="K18" s="13">
        <v>174</v>
      </c>
      <c r="L18" s="13">
        <v>176</v>
      </c>
      <c r="M18" s="13">
        <v>178</v>
      </c>
      <c r="N18" s="13">
        <v>179</v>
      </c>
    </row>
    <row r="19" spans="1:14" x14ac:dyDescent="0.25">
      <c r="A19" s="7" t="s">
        <v>107</v>
      </c>
      <c r="D19" s="19">
        <v>-1</v>
      </c>
      <c r="E19" s="19">
        <v>-9</v>
      </c>
      <c r="F19" s="19">
        <v>-11</v>
      </c>
      <c r="G19" s="19">
        <v>-17</v>
      </c>
      <c r="H19" s="19">
        <v>-19</v>
      </c>
      <c r="I19" s="19">
        <v>-19</v>
      </c>
      <c r="J19" s="19">
        <v>-18</v>
      </c>
      <c r="K19" s="19">
        <v>-18</v>
      </c>
      <c r="L19" s="19">
        <v>-18</v>
      </c>
      <c r="M19" s="19">
        <v>-18</v>
      </c>
      <c r="N19" s="19">
        <v>-19</v>
      </c>
    </row>
    <row r="20" spans="1:14" x14ac:dyDescent="0.25">
      <c r="A20" s="6" t="s">
        <v>209</v>
      </c>
      <c r="D20" s="13">
        <v>7</v>
      </c>
      <c r="E20" s="13">
        <v>100</v>
      </c>
      <c r="F20" s="13">
        <v>125</v>
      </c>
      <c r="G20" s="13">
        <v>128</v>
      </c>
      <c r="H20" s="13">
        <v>131</v>
      </c>
      <c r="I20" s="13">
        <v>140</v>
      </c>
      <c r="J20" s="13">
        <v>148</v>
      </c>
      <c r="K20" s="13">
        <v>156</v>
      </c>
      <c r="L20" s="13">
        <v>158</v>
      </c>
      <c r="M20" s="13">
        <v>160</v>
      </c>
      <c r="N20" s="13">
        <v>160</v>
      </c>
    </row>
    <row r="21" spans="1:14" x14ac:dyDescent="0.25">
      <c r="A21" s="6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</row>
    <row r="22" spans="1:14" x14ac:dyDescent="0.25">
      <c r="A22" s="6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</row>
    <row r="23" spans="1:14" x14ac:dyDescent="0.25">
      <c r="A23" s="7" t="s">
        <v>210</v>
      </c>
      <c r="C23" s="20">
        <v>1.4999999999999999E-2</v>
      </c>
      <c r="D23" s="19">
        <v>0</v>
      </c>
      <c r="E23" s="19">
        <v>-4</v>
      </c>
      <c r="F23" s="19">
        <v>-5</v>
      </c>
      <c r="G23" s="19">
        <v>-5</v>
      </c>
      <c r="H23" s="19">
        <v>-5</v>
      </c>
      <c r="I23" s="19">
        <v>-5</v>
      </c>
      <c r="J23" s="19">
        <v>-5</v>
      </c>
      <c r="K23" s="19">
        <v>-6</v>
      </c>
      <c r="L23" s="19">
        <v>-6</v>
      </c>
      <c r="M23" s="19">
        <v>-6</v>
      </c>
      <c r="N23" s="19">
        <v>-6</v>
      </c>
    </row>
    <row r="24" spans="1:14" x14ac:dyDescent="0.25">
      <c r="A24" s="7"/>
      <c r="C24" s="20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</row>
    <row r="25" spans="1:14" x14ac:dyDescent="0.25">
      <c r="A25" s="7"/>
      <c r="C25" s="20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</row>
    <row r="26" spans="1:14" x14ac:dyDescent="0.25">
      <c r="A26" s="6" t="s">
        <v>211</v>
      </c>
      <c r="D26" s="13">
        <v>7</v>
      </c>
      <c r="E26" s="13">
        <v>96</v>
      </c>
      <c r="F26" s="13">
        <v>120</v>
      </c>
      <c r="G26" s="13">
        <v>124</v>
      </c>
      <c r="H26" s="13">
        <v>126</v>
      </c>
      <c r="I26" s="13">
        <v>135</v>
      </c>
      <c r="J26" s="13">
        <v>143</v>
      </c>
      <c r="K26" s="13">
        <v>150</v>
      </c>
      <c r="L26" s="13">
        <v>152</v>
      </c>
      <c r="M26" s="13">
        <v>154</v>
      </c>
      <c r="N26" s="13">
        <v>155</v>
      </c>
    </row>
    <row r="27" spans="1:14" x14ac:dyDescent="0.25">
      <c r="A27" s="6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</row>
    <row r="28" spans="1:14" x14ac:dyDescent="0.25">
      <c r="A28" s="6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</row>
    <row r="29" spans="1:14" x14ac:dyDescent="0.25">
      <c r="A29" s="7" t="s">
        <v>212</v>
      </c>
      <c r="C29" s="20">
        <v>0.218</v>
      </c>
      <c r="D29" s="31">
        <v>-2</v>
      </c>
      <c r="E29" s="19">
        <v>-21</v>
      </c>
      <c r="F29" s="19">
        <v>-26</v>
      </c>
      <c r="G29" s="19">
        <v>-27</v>
      </c>
      <c r="H29" s="19">
        <v>-27</v>
      </c>
      <c r="I29" s="19">
        <v>-29</v>
      </c>
      <c r="J29" s="19">
        <v>-31</v>
      </c>
      <c r="K29" s="19">
        <v>-33</v>
      </c>
      <c r="L29" s="19">
        <v>-33</v>
      </c>
      <c r="M29" s="19">
        <v>-34</v>
      </c>
      <c r="N29" s="19">
        <v>-34</v>
      </c>
    </row>
    <row r="30" spans="1:14" x14ac:dyDescent="0.25">
      <c r="A30" s="7"/>
      <c r="C30" s="20"/>
      <c r="D30" s="31"/>
      <c r="E30" s="19"/>
      <c r="F30" s="19"/>
      <c r="G30" s="19"/>
      <c r="H30" s="19"/>
      <c r="I30" s="19"/>
      <c r="J30" s="19"/>
      <c r="K30" s="19"/>
      <c r="L30" s="19"/>
      <c r="M30" s="19"/>
      <c r="N30" s="19"/>
    </row>
    <row r="31" spans="1:14" x14ac:dyDescent="0.25">
      <c r="A31" s="7"/>
      <c r="C31" s="20"/>
      <c r="D31" s="31"/>
      <c r="E31" s="19"/>
      <c r="F31" s="19"/>
      <c r="G31" s="19"/>
      <c r="H31" s="19"/>
      <c r="I31" s="19"/>
      <c r="J31" s="19"/>
      <c r="K31" s="19"/>
      <c r="L31" s="19"/>
      <c r="M31" s="19"/>
      <c r="N31" s="19"/>
    </row>
    <row r="32" spans="1:14" x14ac:dyDescent="0.25">
      <c r="A32" s="6" t="s">
        <v>213</v>
      </c>
      <c r="D32" s="13">
        <v>6</v>
      </c>
      <c r="E32" s="13">
        <v>75</v>
      </c>
      <c r="F32" s="13">
        <v>94</v>
      </c>
      <c r="G32" s="13">
        <v>97</v>
      </c>
      <c r="H32" s="13">
        <v>98</v>
      </c>
      <c r="I32" s="13">
        <v>105</v>
      </c>
      <c r="J32" s="13">
        <v>112</v>
      </c>
      <c r="K32" s="13">
        <v>118</v>
      </c>
      <c r="L32" s="13">
        <v>119</v>
      </c>
      <c r="M32" s="13">
        <v>120</v>
      </c>
      <c r="N32" s="13">
        <v>121</v>
      </c>
    </row>
    <row r="33" spans="1:14" x14ac:dyDescent="0.25">
      <c r="A33" s="6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</row>
    <row r="34" spans="1:14" x14ac:dyDescent="0.25">
      <c r="A34" s="6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</row>
    <row r="35" spans="1:14" x14ac:dyDescent="0.25">
      <c r="A35" s="7" t="s">
        <v>214</v>
      </c>
      <c r="D35" s="19">
        <v>-1</v>
      </c>
      <c r="E35" s="19">
        <v>-12</v>
      </c>
      <c r="F35" s="19">
        <v>-14</v>
      </c>
      <c r="G35" s="19">
        <v>-15</v>
      </c>
      <c r="H35" s="19">
        <v>-15</v>
      </c>
      <c r="I35" s="19">
        <v>-16</v>
      </c>
      <c r="J35" s="19">
        <v>-16</v>
      </c>
      <c r="K35" s="19">
        <v>-17</v>
      </c>
      <c r="L35" s="19">
        <v>-17</v>
      </c>
      <c r="M35" s="19">
        <v>-17</v>
      </c>
      <c r="N35" s="19">
        <v>-17</v>
      </c>
    </row>
    <row r="36" spans="1:14" x14ac:dyDescent="0.25">
      <c r="A36" s="6" t="s">
        <v>215</v>
      </c>
      <c r="D36" s="13">
        <v>5</v>
      </c>
      <c r="E36" s="13">
        <v>63</v>
      </c>
      <c r="F36" s="13">
        <v>79</v>
      </c>
      <c r="G36" s="13">
        <v>82</v>
      </c>
      <c r="H36" s="13">
        <v>83</v>
      </c>
      <c r="I36" s="13">
        <v>90</v>
      </c>
      <c r="J36" s="13">
        <v>96</v>
      </c>
      <c r="K36" s="13">
        <v>101</v>
      </c>
      <c r="L36" s="13">
        <v>102</v>
      </c>
      <c r="M36" s="13">
        <v>103</v>
      </c>
      <c r="N36" s="13">
        <v>104</v>
      </c>
    </row>
    <row r="37" spans="1:14" x14ac:dyDescent="0.25">
      <c r="A37" s="6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4" x14ac:dyDescent="0.25">
      <c r="A38" s="6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39" spans="1:14" x14ac:dyDescent="0.25">
      <c r="A39" s="7" t="s">
        <v>115</v>
      </c>
      <c r="C39" s="20">
        <v>0.11</v>
      </c>
      <c r="D39" s="23">
        <v>0.98740000000000006</v>
      </c>
      <c r="E39" s="23">
        <v>0.92530000000000001</v>
      </c>
      <c r="F39" s="23">
        <v>0.83360000000000001</v>
      </c>
      <c r="G39" s="24">
        <v>0.751</v>
      </c>
      <c r="H39" s="23">
        <v>0.67659999999999998</v>
      </c>
      <c r="I39" s="23">
        <v>0.60950000000000004</v>
      </c>
      <c r="J39" s="23">
        <v>0.54910000000000003</v>
      </c>
      <c r="K39" s="23">
        <v>0.49469999999999997</v>
      </c>
      <c r="L39" s="23">
        <v>0.44569999999999999</v>
      </c>
      <c r="M39" s="23">
        <v>0.40150000000000002</v>
      </c>
      <c r="N39" s="23">
        <v>0.36170000000000002</v>
      </c>
    </row>
    <row r="40" spans="1:14" x14ac:dyDescent="0.25">
      <c r="A40" s="6" t="s">
        <v>116</v>
      </c>
      <c r="D40" s="13">
        <v>5</v>
      </c>
      <c r="E40" s="13">
        <v>58</v>
      </c>
      <c r="F40" s="13">
        <v>66</v>
      </c>
      <c r="G40" s="13">
        <v>61</v>
      </c>
      <c r="H40" s="13">
        <v>56</v>
      </c>
      <c r="I40" s="13">
        <v>55</v>
      </c>
      <c r="J40" s="13">
        <v>52</v>
      </c>
      <c r="K40" s="13">
        <v>50</v>
      </c>
      <c r="L40" s="13">
        <v>46</v>
      </c>
      <c r="M40" s="13">
        <v>41</v>
      </c>
      <c r="N40" s="13">
        <v>38</v>
      </c>
    </row>
    <row r="41" spans="1:14" x14ac:dyDescent="0.25">
      <c r="A41" s="6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</row>
    <row r="42" spans="1:14" x14ac:dyDescent="0.25">
      <c r="A42" s="6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</row>
    <row r="43" spans="1:14" x14ac:dyDescent="0.25">
      <c r="A43" s="7" t="s">
        <v>216</v>
      </c>
      <c r="D43" s="10">
        <v>787</v>
      </c>
    </row>
    <row r="44" spans="1:14" x14ac:dyDescent="0.25">
      <c r="I44" s="7" t="s">
        <v>217</v>
      </c>
    </row>
    <row r="45" spans="1:14" x14ac:dyDescent="0.25">
      <c r="A45" s="6" t="s">
        <v>218</v>
      </c>
      <c r="D45" s="13">
        <v>787</v>
      </c>
      <c r="G45" s="10">
        <v>850</v>
      </c>
      <c r="H45" s="15">
        <v>0.02</v>
      </c>
      <c r="I45" s="15">
        <v>0.03</v>
      </c>
      <c r="J45" s="15">
        <v>0.04</v>
      </c>
      <c r="K45" s="15">
        <v>0.05</v>
      </c>
    </row>
    <row r="46" spans="1:14" x14ac:dyDescent="0.25">
      <c r="A46" s="7" t="s">
        <v>121</v>
      </c>
      <c r="C46" s="7" t="s">
        <v>122</v>
      </c>
      <c r="D46" s="10">
        <v>66</v>
      </c>
      <c r="G46" s="27">
        <v>30</v>
      </c>
      <c r="H46" s="10">
        <v>830</v>
      </c>
      <c r="I46" s="10">
        <v>857</v>
      </c>
      <c r="J46" s="10">
        <v>886</v>
      </c>
      <c r="K46" s="10">
        <v>918</v>
      </c>
    </row>
    <row r="47" spans="1:14" x14ac:dyDescent="0.25">
      <c r="A47" s="6" t="s">
        <v>219</v>
      </c>
      <c r="D47" s="13">
        <v>850</v>
      </c>
      <c r="G47" s="27">
        <v>35</v>
      </c>
      <c r="H47" s="10">
        <v>830</v>
      </c>
      <c r="I47" s="10">
        <v>857</v>
      </c>
      <c r="J47" s="10">
        <v>886</v>
      </c>
      <c r="K47" s="10">
        <v>918</v>
      </c>
    </row>
    <row r="48" spans="1:14" x14ac:dyDescent="0.25">
      <c r="F48" s="7" t="s">
        <v>220</v>
      </c>
      <c r="G48" s="27">
        <v>40</v>
      </c>
      <c r="H48" s="10">
        <v>830</v>
      </c>
      <c r="I48" s="10">
        <v>857</v>
      </c>
      <c r="J48" s="10">
        <v>886</v>
      </c>
      <c r="K48" s="10">
        <v>918</v>
      </c>
    </row>
    <row r="49" spans="1:14" x14ac:dyDescent="0.25">
      <c r="G49" s="27">
        <v>45</v>
      </c>
      <c r="H49" s="10">
        <v>830</v>
      </c>
      <c r="I49" s="10">
        <v>857</v>
      </c>
      <c r="J49" s="10">
        <v>886</v>
      </c>
      <c r="K49" s="10">
        <v>918</v>
      </c>
    </row>
    <row r="50" spans="1:14" x14ac:dyDescent="0.25">
      <c r="G50" s="27">
        <v>50</v>
      </c>
      <c r="H50" s="10">
        <v>830</v>
      </c>
      <c r="I50" s="10">
        <v>857</v>
      </c>
      <c r="J50" s="10">
        <v>886</v>
      </c>
      <c r="K50" s="10">
        <v>918</v>
      </c>
    </row>
    <row r="51" spans="1:14" x14ac:dyDescent="0.25">
      <c r="A51" s="9" t="s">
        <v>221</v>
      </c>
    </row>
    <row r="52" spans="1:14" x14ac:dyDescent="0.25">
      <c r="A52" s="7" t="s">
        <v>222</v>
      </c>
      <c r="D52" s="7" t="s">
        <v>223</v>
      </c>
      <c r="E52" s="20">
        <v>2.4E-2</v>
      </c>
      <c r="F52" s="20">
        <v>3.5999999999999997E-2</v>
      </c>
      <c r="G52" s="20">
        <v>3.1E-2</v>
      </c>
      <c r="H52" s="20">
        <v>3.5999999999999997E-2</v>
      </c>
      <c r="I52" s="20">
        <v>3.7999999999999999E-2</v>
      </c>
      <c r="J52" s="20">
        <v>3.5999999999999997E-2</v>
      </c>
      <c r="K52" s="20">
        <v>3.4000000000000002E-2</v>
      </c>
      <c r="L52" s="20">
        <v>0.03</v>
      </c>
      <c r="M52" s="20">
        <v>0.03</v>
      </c>
      <c r="N52" s="20">
        <v>0.03</v>
      </c>
    </row>
    <row r="53" spans="1:14" x14ac:dyDescent="0.25">
      <c r="A53" s="7"/>
      <c r="D53" s="7"/>
      <c r="E53" s="20"/>
      <c r="F53" s="20"/>
      <c r="G53" s="20"/>
      <c r="H53" s="20"/>
      <c r="I53" s="20"/>
      <c r="J53" s="20"/>
      <c r="K53" s="20"/>
      <c r="L53" s="20"/>
      <c r="M53" s="20"/>
      <c r="N53" s="20"/>
    </row>
    <row r="54" spans="1:14" x14ac:dyDescent="0.25">
      <c r="A54" s="7"/>
      <c r="D54" s="7"/>
      <c r="E54" s="20"/>
      <c r="F54" s="20"/>
      <c r="G54" s="20"/>
      <c r="H54" s="20"/>
      <c r="I54" s="20"/>
      <c r="J54" s="20"/>
      <c r="K54" s="20"/>
      <c r="L54" s="20"/>
      <c r="M54" s="20"/>
      <c r="N54" s="20"/>
    </row>
    <row r="55" spans="1:14" x14ac:dyDescent="0.25">
      <c r="A55" s="7" t="s">
        <v>224</v>
      </c>
      <c r="D55" s="20">
        <v>0.39800000000000002</v>
      </c>
      <c r="E55" s="20">
        <v>0.39500000000000002</v>
      </c>
      <c r="F55" s="20">
        <v>0.42299999999999999</v>
      </c>
      <c r="G55" s="20">
        <v>0.437</v>
      </c>
      <c r="H55" s="20">
        <v>0.438</v>
      </c>
      <c r="I55" s="20">
        <v>0.45</v>
      </c>
      <c r="J55" s="20">
        <v>0.46100000000000002</v>
      </c>
      <c r="K55" s="20">
        <v>0.47099999999999997</v>
      </c>
      <c r="L55" s="20">
        <v>0.47099999999999997</v>
      </c>
      <c r="M55" s="20">
        <v>0.47099999999999997</v>
      </c>
      <c r="N55" s="20">
        <v>0.47099999999999997</v>
      </c>
    </row>
    <row r="56" spans="1:14" x14ac:dyDescent="0.25">
      <c r="A56" s="7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</row>
    <row r="57" spans="1:14" x14ac:dyDescent="0.25">
      <c r="A57" s="7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</row>
    <row r="58" spans="1:14" x14ac:dyDescent="0.25">
      <c r="A58" s="7" t="s">
        <v>107</v>
      </c>
      <c r="D58" s="20">
        <v>3.5999999999999997E-2</v>
      </c>
      <c r="E58" s="20">
        <v>3.4000000000000002E-2</v>
      </c>
      <c r="F58" s="20">
        <v>3.5000000000000003E-2</v>
      </c>
      <c r="G58" s="20">
        <v>0.05</v>
      </c>
      <c r="H58" s="20">
        <v>5.5E-2</v>
      </c>
      <c r="I58" s="20">
        <v>5.2999999999999999E-2</v>
      </c>
      <c r="J58" s="20">
        <v>5.0999999999999997E-2</v>
      </c>
      <c r="K58" s="20">
        <v>4.9000000000000002E-2</v>
      </c>
      <c r="L58" s="20">
        <v>4.9000000000000002E-2</v>
      </c>
      <c r="M58" s="20">
        <v>4.9000000000000002E-2</v>
      </c>
      <c r="N58" s="20">
        <v>4.9000000000000002E-2</v>
      </c>
    </row>
    <row r="59" spans="1:14" x14ac:dyDescent="0.25">
      <c r="A59" s="7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</row>
    <row r="60" spans="1:14" x14ac:dyDescent="0.25">
      <c r="A60" s="7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</row>
    <row r="61" spans="1:14" x14ac:dyDescent="0.25">
      <c r="A61" s="7" t="s">
        <v>225</v>
      </c>
      <c r="D61" s="20">
        <v>0.36199999999999999</v>
      </c>
      <c r="E61" s="20">
        <v>0.36099999999999999</v>
      </c>
      <c r="F61" s="20">
        <v>0.38800000000000001</v>
      </c>
      <c r="G61" s="20">
        <v>0.38700000000000001</v>
      </c>
      <c r="H61" s="20">
        <v>0.38300000000000001</v>
      </c>
      <c r="I61" s="20">
        <v>0.39700000000000002</v>
      </c>
      <c r="J61" s="20">
        <v>0.41</v>
      </c>
      <c r="K61" s="20">
        <v>0.42199999999999999</v>
      </c>
      <c r="L61" s="20">
        <v>0.42199999999999999</v>
      </c>
      <c r="M61" s="20">
        <v>0.42199999999999999</v>
      </c>
      <c r="N61" s="20">
        <v>0.42199999999999999</v>
      </c>
    </row>
    <row r="62" spans="1:14" x14ac:dyDescent="0.25">
      <c r="A62" s="7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</row>
    <row r="63" spans="1:14" x14ac:dyDescent="0.25">
      <c r="A63" s="7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</row>
    <row r="64" spans="1:14" x14ac:dyDescent="0.25">
      <c r="A64" s="7" t="s">
        <v>226</v>
      </c>
      <c r="D64" s="20">
        <v>4.4999999999999998E-2</v>
      </c>
      <c r="E64" s="20">
        <v>4.4999999999999998E-2</v>
      </c>
      <c r="F64" s="20">
        <v>4.4999999999999998E-2</v>
      </c>
      <c r="G64" s="20">
        <v>4.4999999999999998E-2</v>
      </c>
      <c r="H64" s="20">
        <v>4.4999999999999998E-2</v>
      </c>
      <c r="I64" s="20">
        <v>4.4999999999999998E-2</v>
      </c>
      <c r="J64" s="20">
        <v>4.4999999999999998E-2</v>
      </c>
      <c r="K64" s="20">
        <v>4.4999999999999998E-2</v>
      </c>
      <c r="L64" s="20">
        <v>4.4999999999999998E-2</v>
      </c>
      <c r="M64" s="20">
        <v>4.4999999999999998E-2</v>
      </c>
      <c r="N64" s="20">
        <v>4.4999999999999998E-2</v>
      </c>
    </row>
    <row r="65" spans="1:14" x14ac:dyDescent="0.25">
      <c r="A65" s="7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</row>
    <row r="66" spans="1:14" x14ac:dyDescent="0.25">
      <c r="A66" s="7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</row>
    <row r="67" spans="1:14" x14ac:dyDescent="0.25">
      <c r="A67" s="16" t="s">
        <v>127</v>
      </c>
    </row>
    <row r="68" spans="1:14" x14ac:dyDescent="0.25">
      <c r="A68" s="7" t="s">
        <v>227</v>
      </c>
    </row>
    <row r="69" spans="1:14" x14ac:dyDescent="0.25">
      <c r="A69" s="16" t="s">
        <v>61</v>
      </c>
    </row>
    <row r="70" spans="1:14" x14ac:dyDescent="0.25">
      <c r="A70" s="9" t="s">
        <v>62</v>
      </c>
      <c r="N70" s="32" t="s">
        <v>63</v>
      </c>
    </row>
    <row r="71" spans="1:14" x14ac:dyDescent="0.25">
      <c r="F71" s="5" t="s"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M35"/>
  <sheetViews>
    <sheetView topLeftCell="A10" workbookViewId="0">
      <selection activeCell="E15" sqref="E15"/>
    </sheetView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228</v>
      </c>
    </row>
    <row r="3" spans="1:13" x14ac:dyDescent="0.25">
      <c r="A3" s="6" t="s">
        <v>9</v>
      </c>
    </row>
    <row r="4" spans="1:13" x14ac:dyDescent="0.25">
      <c r="A4" s="6" t="s">
        <v>199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432</v>
      </c>
      <c r="D8" s="10">
        <v>445</v>
      </c>
      <c r="E8" s="10">
        <v>458</v>
      </c>
      <c r="F8" s="10">
        <v>472</v>
      </c>
      <c r="G8" s="10">
        <v>486</v>
      </c>
      <c r="H8" s="10">
        <v>501</v>
      </c>
      <c r="I8" s="10">
        <v>516</v>
      </c>
      <c r="J8" s="10">
        <v>531</v>
      </c>
      <c r="K8" s="10">
        <v>547</v>
      </c>
      <c r="L8" s="10">
        <v>564</v>
      </c>
      <c r="M8" s="10">
        <v>581</v>
      </c>
    </row>
    <row r="9" spans="1:13" x14ac:dyDescent="0.25">
      <c r="A9" s="7" t="s">
        <v>204</v>
      </c>
    </row>
    <row r="10" spans="1:13" x14ac:dyDescent="0.25">
      <c r="A10" s="7" t="s">
        <v>205</v>
      </c>
      <c r="C10" s="10">
        <v>432</v>
      </c>
      <c r="D10" s="10">
        <v>445</v>
      </c>
      <c r="E10" s="10">
        <v>458</v>
      </c>
      <c r="F10" s="10">
        <v>472</v>
      </c>
      <c r="G10" s="10">
        <v>486</v>
      </c>
      <c r="H10" s="10">
        <v>501</v>
      </c>
      <c r="I10" s="10">
        <v>516</v>
      </c>
      <c r="J10" s="10">
        <v>531</v>
      </c>
      <c r="K10" s="10">
        <v>547</v>
      </c>
      <c r="L10" s="10">
        <v>564</v>
      </c>
      <c r="M10" s="10">
        <v>581</v>
      </c>
    </row>
    <row r="11" spans="1:13" x14ac:dyDescent="0.25">
      <c r="A11" s="7" t="s">
        <v>206</v>
      </c>
      <c r="B11" s="7" t="s">
        <v>207</v>
      </c>
      <c r="C11" s="20">
        <v>0.88100000000000001</v>
      </c>
      <c r="D11" s="20">
        <v>0.85299999999999998</v>
      </c>
      <c r="E11" s="20">
        <v>0.82199999999999995</v>
      </c>
      <c r="F11" s="20">
        <v>0.78800000000000003</v>
      </c>
      <c r="G11" s="20">
        <v>0.753</v>
      </c>
      <c r="H11" s="20">
        <v>0.71499999999999997</v>
      </c>
      <c r="I11" s="20">
        <v>0.67600000000000005</v>
      </c>
      <c r="J11" s="20">
        <v>0.63500000000000001</v>
      </c>
      <c r="K11" s="20">
        <v>0.59299999999999997</v>
      </c>
      <c r="L11" s="20">
        <v>0.55200000000000005</v>
      </c>
      <c r="M11" s="20">
        <v>0.51</v>
      </c>
    </row>
    <row r="12" spans="1:13" x14ac:dyDescent="0.25">
      <c r="A12" s="7" t="s">
        <v>208</v>
      </c>
      <c r="C12" s="10">
        <v>381</v>
      </c>
      <c r="D12" s="10">
        <v>380</v>
      </c>
      <c r="E12" s="10">
        <v>377</v>
      </c>
      <c r="F12" s="10">
        <v>372</v>
      </c>
      <c r="G12" s="10">
        <v>366</v>
      </c>
      <c r="H12" s="10">
        <v>358</v>
      </c>
      <c r="I12" s="10">
        <v>349</v>
      </c>
      <c r="J12" s="10">
        <v>337</v>
      </c>
      <c r="K12" s="10">
        <v>325</v>
      </c>
      <c r="L12" s="10">
        <v>311</v>
      </c>
      <c r="M12" s="10">
        <v>296</v>
      </c>
    </row>
    <row r="13" spans="1:13" x14ac:dyDescent="0.25">
      <c r="A13" s="6" t="s">
        <v>205</v>
      </c>
      <c r="C13" s="13">
        <v>381</v>
      </c>
      <c r="D13" s="13">
        <v>380</v>
      </c>
      <c r="E13" s="13">
        <v>377</v>
      </c>
      <c r="F13" s="13">
        <v>372</v>
      </c>
      <c r="G13" s="13">
        <v>366</v>
      </c>
      <c r="H13" s="13">
        <v>358</v>
      </c>
      <c r="I13" s="13">
        <v>349</v>
      </c>
      <c r="J13" s="13">
        <v>337</v>
      </c>
      <c r="K13" s="13">
        <v>325</v>
      </c>
      <c r="L13" s="13">
        <v>311</v>
      </c>
      <c r="M13" s="13">
        <v>296</v>
      </c>
    </row>
    <row r="14" spans="1:13" x14ac:dyDescent="0.25">
      <c r="A14" s="6" t="s">
        <v>106</v>
      </c>
      <c r="C14" s="13">
        <v>179</v>
      </c>
      <c r="D14" s="13">
        <v>179</v>
      </c>
      <c r="E14" s="13">
        <v>177</v>
      </c>
      <c r="F14" s="13">
        <v>175</v>
      </c>
      <c r="G14" s="13">
        <v>172</v>
      </c>
      <c r="H14" s="13">
        <v>169</v>
      </c>
      <c r="I14" s="13">
        <v>164</v>
      </c>
      <c r="J14" s="13">
        <v>159</v>
      </c>
      <c r="K14" s="13">
        <v>153</v>
      </c>
      <c r="L14" s="13">
        <v>146</v>
      </c>
      <c r="M14" s="13">
        <v>139</v>
      </c>
    </row>
    <row r="15" spans="1:13" x14ac:dyDescent="0.25">
      <c r="A15" s="7" t="s">
        <v>107</v>
      </c>
      <c r="C15" s="19">
        <v>-19</v>
      </c>
      <c r="D15" s="19">
        <v>-19</v>
      </c>
      <c r="E15" s="19">
        <v>-18</v>
      </c>
      <c r="F15" s="19">
        <v>-18</v>
      </c>
      <c r="G15" s="19">
        <v>-18</v>
      </c>
      <c r="H15" s="19">
        <v>-17</v>
      </c>
      <c r="I15" s="19">
        <v>-17</v>
      </c>
      <c r="J15" s="19">
        <v>-16</v>
      </c>
      <c r="K15" s="19">
        <v>-16</v>
      </c>
      <c r="L15" s="19">
        <v>-15</v>
      </c>
      <c r="M15" s="19">
        <v>-14</v>
      </c>
    </row>
    <row r="16" spans="1:13" x14ac:dyDescent="0.25">
      <c r="A16" s="6" t="s">
        <v>209</v>
      </c>
      <c r="C16" s="13">
        <v>161</v>
      </c>
      <c r="D16" s="13">
        <v>160</v>
      </c>
      <c r="E16" s="13">
        <v>159</v>
      </c>
      <c r="F16" s="13">
        <v>157</v>
      </c>
      <c r="G16" s="13">
        <v>155</v>
      </c>
      <c r="H16" s="13">
        <v>151</v>
      </c>
      <c r="I16" s="13">
        <v>147</v>
      </c>
      <c r="J16" s="13">
        <v>143</v>
      </c>
      <c r="K16" s="13">
        <v>137</v>
      </c>
      <c r="L16" s="13">
        <v>131</v>
      </c>
      <c r="M16" s="13">
        <v>125</v>
      </c>
    </row>
    <row r="17" spans="1:13" x14ac:dyDescent="0.25">
      <c r="A17" s="7" t="s">
        <v>210</v>
      </c>
      <c r="B17" s="20">
        <v>1.4999999999999999E-2</v>
      </c>
      <c r="C17" s="19">
        <v>-6</v>
      </c>
      <c r="D17" s="19">
        <v>-6</v>
      </c>
      <c r="E17" s="19">
        <v>-6</v>
      </c>
      <c r="F17" s="19">
        <v>-6</v>
      </c>
      <c r="G17" s="19">
        <v>-5</v>
      </c>
      <c r="H17" s="19">
        <v>-5</v>
      </c>
      <c r="I17" s="19">
        <v>-5</v>
      </c>
      <c r="J17" s="19">
        <v>-5</v>
      </c>
      <c r="K17" s="19">
        <v>-5</v>
      </c>
      <c r="L17" s="19">
        <v>-5</v>
      </c>
      <c r="M17" s="19">
        <v>-4</v>
      </c>
    </row>
    <row r="18" spans="1:13" x14ac:dyDescent="0.25">
      <c r="A18" s="6" t="s">
        <v>211</v>
      </c>
      <c r="C18" s="13">
        <v>155</v>
      </c>
      <c r="D18" s="13">
        <v>155</v>
      </c>
      <c r="E18" s="13">
        <v>153</v>
      </c>
      <c r="F18" s="13">
        <v>152</v>
      </c>
      <c r="G18" s="13">
        <v>149</v>
      </c>
      <c r="H18" s="13">
        <v>146</v>
      </c>
      <c r="I18" s="13">
        <v>142</v>
      </c>
      <c r="J18" s="13">
        <v>137</v>
      </c>
      <c r="K18" s="13">
        <v>132</v>
      </c>
      <c r="L18" s="13">
        <v>127</v>
      </c>
      <c r="M18" s="13">
        <v>121</v>
      </c>
    </row>
    <row r="19" spans="1:13" x14ac:dyDescent="0.25">
      <c r="A19" s="7" t="s">
        <v>212</v>
      </c>
      <c r="B19" s="20">
        <v>0.218</v>
      </c>
      <c r="C19" s="19">
        <v>-34</v>
      </c>
      <c r="D19" s="19">
        <v>-34</v>
      </c>
      <c r="E19" s="19">
        <v>-33</v>
      </c>
      <c r="F19" s="19">
        <v>-33</v>
      </c>
      <c r="G19" s="19">
        <v>-33</v>
      </c>
      <c r="H19" s="19">
        <v>-32</v>
      </c>
      <c r="I19" s="19">
        <v>-31</v>
      </c>
      <c r="J19" s="19">
        <v>-30</v>
      </c>
      <c r="K19" s="19">
        <v>-29</v>
      </c>
      <c r="L19" s="19">
        <v>-28</v>
      </c>
      <c r="M19" s="19">
        <v>-26</v>
      </c>
    </row>
    <row r="20" spans="1:13" x14ac:dyDescent="0.25">
      <c r="A20" s="6" t="s">
        <v>213</v>
      </c>
      <c r="C20" s="13">
        <v>121</v>
      </c>
      <c r="D20" s="13">
        <v>121</v>
      </c>
      <c r="E20" s="13">
        <v>120</v>
      </c>
      <c r="F20" s="13">
        <v>119</v>
      </c>
      <c r="G20" s="13">
        <v>117</v>
      </c>
      <c r="H20" s="13">
        <v>114</v>
      </c>
      <c r="I20" s="13">
        <v>111</v>
      </c>
      <c r="J20" s="13">
        <v>107</v>
      </c>
      <c r="K20" s="13">
        <v>103</v>
      </c>
      <c r="L20" s="13">
        <v>99</v>
      </c>
      <c r="M20" s="13">
        <v>94</v>
      </c>
    </row>
    <row r="21" spans="1:13" x14ac:dyDescent="0.25">
      <c r="A21" s="7" t="s">
        <v>214</v>
      </c>
      <c r="C21" s="19">
        <v>-17</v>
      </c>
      <c r="D21" s="19">
        <v>-17</v>
      </c>
      <c r="E21" s="19">
        <v>-17</v>
      </c>
      <c r="F21" s="19">
        <v>-17</v>
      </c>
      <c r="G21" s="19">
        <v>-16</v>
      </c>
      <c r="H21" s="19">
        <v>-16</v>
      </c>
      <c r="I21" s="19">
        <v>-16</v>
      </c>
      <c r="J21" s="19">
        <v>-15</v>
      </c>
      <c r="K21" s="19">
        <v>-15</v>
      </c>
      <c r="L21" s="19">
        <v>-14</v>
      </c>
      <c r="M21" s="19">
        <v>-13</v>
      </c>
    </row>
    <row r="22" spans="1:13" x14ac:dyDescent="0.25">
      <c r="A22" s="6" t="s">
        <v>215</v>
      </c>
      <c r="C22" s="13">
        <v>104</v>
      </c>
      <c r="D22" s="13">
        <v>104</v>
      </c>
      <c r="E22" s="13">
        <v>103</v>
      </c>
      <c r="F22" s="13">
        <v>102</v>
      </c>
      <c r="G22" s="13">
        <v>100</v>
      </c>
      <c r="H22" s="13">
        <v>98</v>
      </c>
      <c r="I22" s="13">
        <v>95</v>
      </c>
      <c r="J22" s="13">
        <v>92</v>
      </c>
      <c r="K22" s="13">
        <v>89</v>
      </c>
      <c r="L22" s="13">
        <v>85</v>
      </c>
      <c r="M22" s="13">
        <v>81</v>
      </c>
    </row>
    <row r="23" spans="1:13" x14ac:dyDescent="0.25">
      <c r="A23" s="7" t="s">
        <v>115</v>
      </c>
      <c r="B23" s="20">
        <v>0.11</v>
      </c>
      <c r="C23" s="23">
        <v>0.32590000000000002</v>
      </c>
      <c r="D23" s="23">
        <v>0.29360000000000003</v>
      </c>
      <c r="E23" s="23">
        <v>0.26450000000000001</v>
      </c>
      <c r="F23" s="23">
        <v>0.23830000000000001</v>
      </c>
      <c r="G23" s="23">
        <v>0.2147</v>
      </c>
      <c r="H23" s="23">
        <v>0.19339999999999999</v>
      </c>
      <c r="I23" s="23">
        <v>0.17419999999999999</v>
      </c>
      <c r="J23" s="24">
        <v>0.157</v>
      </c>
      <c r="K23" s="23">
        <v>0.1414</v>
      </c>
      <c r="L23" s="23">
        <v>0.12740000000000001</v>
      </c>
      <c r="M23" s="23">
        <v>0.1148</v>
      </c>
    </row>
    <row r="24" spans="1:13" x14ac:dyDescent="0.25">
      <c r="A24" s="6" t="s">
        <v>116</v>
      </c>
      <c r="C24" s="13">
        <v>34</v>
      </c>
      <c r="D24" s="13">
        <v>30</v>
      </c>
      <c r="E24" s="13">
        <v>27</v>
      </c>
      <c r="F24" s="13">
        <v>24</v>
      </c>
      <c r="G24" s="13">
        <v>21</v>
      </c>
      <c r="H24" s="13">
        <v>19</v>
      </c>
      <c r="I24" s="13">
        <v>17</v>
      </c>
      <c r="J24" s="13">
        <v>14</v>
      </c>
      <c r="K24" s="13">
        <v>13</v>
      </c>
      <c r="L24" s="13">
        <v>11</v>
      </c>
      <c r="M24" s="13">
        <v>9</v>
      </c>
    </row>
    <row r="25" spans="1:13" x14ac:dyDescent="0.25">
      <c r="A25" s="9" t="s">
        <v>221</v>
      </c>
    </row>
    <row r="26" spans="1:13" x14ac:dyDescent="0.25">
      <c r="A26" s="7" t="s">
        <v>222</v>
      </c>
      <c r="C26" s="20">
        <v>0.03</v>
      </c>
      <c r="D26" s="20">
        <v>0.03</v>
      </c>
      <c r="E26" s="20">
        <v>0.03</v>
      </c>
      <c r="F26" s="20">
        <v>0.03</v>
      </c>
      <c r="G26" s="20">
        <v>0.03</v>
      </c>
      <c r="H26" s="20">
        <v>0.03</v>
      </c>
      <c r="I26" s="20">
        <v>0.03</v>
      </c>
      <c r="J26" s="20">
        <v>0.03</v>
      </c>
      <c r="K26" s="20">
        <v>0.03</v>
      </c>
      <c r="L26" s="20">
        <v>0.03</v>
      </c>
      <c r="M26" s="20">
        <v>0.03</v>
      </c>
    </row>
    <row r="27" spans="1:13" x14ac:dyDescent="0.25">
      <c r="A27" s="7" t="s">
        <v>224</v>
      </c>
      <c r="C27" s="20">
        <v>0.47099999999999997</v>
      </c>
      <c r="D27" s="20">
        <v>0.47099999999999997</v>
      </c>
      <c r="E27" s="20">
        <v>0.47099999999999997</v>
      </c>
      <c r="F27" s="20">
        <v>0.47099999999999997</v>
      </c>
      <c r="G27" s="20">
        <v>0.47099999999999997</v>
      </c>
      <c r="H27" s="20">
        <v>0.47099999999999997</v>
      </c>
      <c r="I27" s="20">
        <v>0.47099999999999997</v>
      </c>
      <c r="J27" s="20">
        <v>0.47099999999999997</v>
      </c>
      <c r="K27" s="20">
        <v>0.47099999999999997</v>
      </c>
      <c r="L27" s="20">
        <v>0.47099999999999997</v>
      </c>
      <c r="M27" s="20">
        <v>0.47099999999999997</v>
      </c>
    </row>
    <row r="28" spans="1:13" x14ac:dyDescent="0.25">
      <c r="A28" s="7" t="s">
        <v>107</v>
      </c>
      <c r="C28" s="20">
        <v>4.9000000000000002E-2</v>
      </c>
      <c r="D28" s="20">
        <v>4.9000000000000002E-2</v>
      </c>
      <c r="E28" s="20">
        <v>4.9000000000000002E-2</v>
      </c>
      <c r="F28" s="20">
        <v>4.9000000000000002E-2</v>
      </c>
      <c r="G28" s="20">
        <v>4.9000000000000002E-2</v>
      </c>
      <c r="H28" s="20">
        <v>4.9000000000000002E-2</v>
      </c>
      <c r="I28" s="20">
        <v>4.9000000000000002E-2</v>
      </c>
      <c r="J28" s="20">
        <v>4.9000000000000002E-2</v>
      </c>
      <c r="K28" s="20">
        <v>4.9000000000000002E-2</v>
      </c>
      <c r="L28" s="20">
        <v>4.9000000000000002E-2</v>
      </c>
      <c r="M28" s="20">
        <v>4.9000000000000002E-2</v>
      </c>
    </row>
    <row r="29" spans="1:13" x14ac:dyDescent="0.25">
      <c r="A29" s="7" t="s">
        <v>225</v>
      </c>
      <c r="C29" s="20">
        <v>0.42199999999999999</v>
      </c>
      <c r="D29" s="20">
        <v>0.42199999999999999</v>
      </c>
      <c r="E29" s="20">
        <v>0.42199999999999999</v>
      </c>
      <c r="F29" s="20">
        <v>0.42199999999999999</v>
      </c>
      <c r="G29" s="20">
        <v>0.42199999999999999</v>
      </c>
      <c r="H29" s="20">
        <v>0.42199999999999999</v>
      </c>
      <c r="I29" s="20">
        <v>0.42199999999999999</v>
      </c>
      <c r="J29" s="20">
        <v>0.42199999999999999</v>
      </c>
      <c r="K29" s="20">
        <v>0.42199999999999999</v>
      </c>
      <c r="L29" s="20">
        <v>0.42199999999999999</v>
      </c>
      <c r="M29" s="20">
        <v>0.42199999999999999</v>
      </c>
    </row>
    <row r="30" spans="1:13" x14ac:dyDescent="0.25">
      <c r="A30" s="7" t="s">
        <v>240</v>
      </c>
      <c r="C30" s="20">
        <v>4.4999999999999998E-2</v>
      </c>
      <c r="D30" s="20">
        <v>4.4999999999999998E-2</v>
      </c>
      <c r="E30" s="20">
        <v>4.4999999999999998E-2</v>
      </c>
      <c r="F30" s="20">
        <v>4.4999999999999998E-2</v>
      </c>
      <c r="G30" s="20">
        <v>4.4999999999999998E-2</v>
      </c>
      <c r="H30" s="20">
        <v>4.4999999999999998E-2</v>
      </c>
      <c r="I30" s="20">
        <v>4.4999999999999998E-2</v>
      </c>
      <c r="J30" s="20">
        <v>4.4999999999999998E-2</v>
      </c>
      <c r="K30" s="20">
        <v>4.4999999999999998E-2</v>
      </c>
      <c r="L30" s="20">
        <v>4.4999999999999998E-2</v>
      </c>
      <c r="M30" s="20">
        <v>4.4999999999999998E-2</v>
      </c>
    </row>
    <row r="31" spans="1:13" x14ac:dyDescent="0.25">
      <c r="A31" s="16" t="s">
        <v>127</v>
      </c>
    </row>
    <row r="32" spans="1:13" x14ac:dyDescent="0.25">
      <c r="A32" s="7" t="s">
        <v>227</v>
      </c>
    </row>
    <row r="33" spans="1:13" x14ac:dyDescent="0.25">
      <c r="A33" s="16" t="s">
        <v>61</v>
      </c>
    </row>
    <row r="34" spans="1:13" x14ac:dyDescent="0.25">
      <c r="A34" s="9" t="s">
        <v>62</v>
      </c>
      <c r="M34" s="32" t="s">
        <v>63</v>
      </c>
    </row>
    <row r="35" spans="1:13" x14ac:dyDescent="0.25">
      <c r="G35" s="5" t="s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M35"/>
  <sheetViews>
    <sheetView workbookViewId="0">
      <selection activeCell="A16" sqref="A16"/>
    </sheetView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241</v>
      </c>
    </row>
    <row r="3" spans="1:13" x14ac:dyDescent="0.25">
      <c r="A3" s="6" t="s">
        <v>9</v>
      </c>
    </row>
    <row r="4" spans="1:13" x14ac:dyDescent="0.25">
      <c r="A4" s="6" t="s">
        <v>199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598</v>
      </c>
      <c r="D8" s="10">
        <v>616</v>
      </c>
      <c r="E8" s="10">
        <v>635</v>
      </c>
      <c r="F8" s="10">
        <v>654</v>
      </c>
      <c r="G8" s="10">
        <v>673</v>
      </c>
      <c r="H8" s="10">
        <v>693</v>
      </c>
      <c r="I8" s="10">
        <v>714</v>
      </c>
      <c r="J8" s="10">
        <v>736</v>
      </c>
      <c r="K8" s="10">
        <v>758</v>
      </c>
    </row>
    <row r="9" spans="1:13" x14ac:dyDescent="0.25">
      <c r="A9" s="7" t="s">
        <v>204</v>
      </c>
    </row>
    <row r="10" spans="1:13" x14ac:dyDescent="0.25">
      <c r="A10" s="7" t="s">
        <v>205</v>
      </c>
      <c r="C10" s="10">
        <v>598</v>
      </c>
      <c r="D10" s="10">
        <v>616</v>
      </c>
      <c r="E10" s="10">
        <v>635</v>
      </c>
      <c r="F10" s="10">
        <v>654</v>
      </c>
      <c r="G10" s="10">
        <v>673</v>
      </c>
      <c r="H10" s="10">
        <v>693</v>
      </c>
      <c r="I10" s="10">
        <v>714</v>
      </c>
      <c r="J10" s="10">
        <v>736</v>
      </c>
      <c r="K10" s="10">
        <v>758</v>
      </c>
    </row>
    <row r="11" spans="1:13" x14ac:dyDescent="0.25">
      <c r="A11" s="7" t="s">
        <v>206</v>
      </c>
      <c r="B11" s="7" t="s">
        <v>207</v>
      </c>
      <c r="C11" s="20">
        <v>0.46800000000000003</v>
      </c>
      <c r="D11" s="20">
        <v>0.42699999999999999</v>
      </c>
      <c r="E11" s="20">
        <v>0.38700000000000001</v>
      </c>
      <c r="F11" s="20">
        <v>0.34899999999999998</v>
      </c>
      <c r="G11" s="20">
        <v>0.313</v>
      </c>
      <c r="H11" s="20">
        <v>0.27800000000000002</v>
      </c>
      <c r="I11" s="20">
        <v>0.246</v>
      </c>
      <c r="J11" s="20">
        <v>0.215</v>
      </c>
      <c r="K11" s="20">
        <v>0.188</v>
      </c>
    </row>
    <row r="12" spans="1:13" x14ac:dyDescent="0.25">
      <c r="A12" s="7" t="s">
        <v>208</v>
      </c>
      <c r="C12" s="10">
        <v>280</v>
      </c>
      <c r="D12" s="10">
        <v>263</v>
      </c>
      <c r="E12" s="10">
        <v>246</v>
      </c>
      <c r="F12" s="10">
        <v>228</v>
      </c>
      <c r="G12" s="10">
        <v>210</v>
      </c>
      <c r="H12" s="10">
        <v>193</v>
      </c>
      <c r="I12" s="10">
        <v>175</v>
      </c>
      <c r="J12" s="10">
        <v>158</v>
      </c>
      <c r="K12" s="10">
        <v>142</v>
      </c>
    </row>
    <row r="13" spans="1:13" x14ac:dyDescent="0.25">
      <c r="A13" s="7" t="s">
        <v>205</v>
      </c>
      <c r="C13" s="13">
        <v>280</v>
      </c>
      <c r="D13" s="13">
        <v>263</v>
      </c>
      <c r="E13" s="13">
        <v>246</v>
      </c>
      <c r="F13" s="13">
        <v>228</v>
      </c>
      <c r="G13" s="13">
        <v>210</v>
      </c>
      <c r="H13" s="13">
        <v>193</v>
      </c>
      <c r="I13" s="13">
        <v>175</v>
      </c>
      <c r="J13" s="13">
        <v>158</v>
      </c>
      <c r="K13" s="13">
        <v>142</v>
      </c>
    </row>
    <row r="14" spans="1:13" x14ac:dyDescent="0.25">
      <c r="A14" s="6" t="s">
        <v>106</v>
      </c>
      <c r="C14" s="13">
        <v>132</v>
      </c>
      <c r="D14" s="13">
        <v>124</v>
      </c>
      <c r="E14" s="13">
        <v>116</v>
      </c>
      <c r="F14" s="13">
        <v>108</v>
      </c>
      <c r="G14" s="13">
        <v>99</v>
      </c>
      <c r="H14" s="13">
        <v>91</v>
      </c>
      <c r="I14" s="13">
        <v>83</v>
      </c>
      <c r="J14" s="13">
        <v>75</v>
      </c>
      <c r="K14" s="13">
        <v>67</v>
      </c>
    </row>
    <row r="15" spans="1:13" x14ac:dyDescent="0.25">
      <c r="A15" s="7" t="s">
        <v>107</v>
      </c>
      <c r="C15" s="19">
        <v>-14</v>
      </c>
      <c r="D15" s="19">
        <v>-13</v>
      </c>
      <c r="E15" s="19">
        <v>-12</v>
      </c>
      <c r="F15" s="19">
        <v>-11</v>
      </c>
      <c r="G15" s="19">
        <v>-10</v>
      </c>
      <c r="H15" s="19">
        <v>-9</v>
      </c>
      <c r="I15" s="19">
        <v>-9</v>
      </c>
      <c r="J15" s="19">
        <v>-8</v>
      </c>
      <c r="K15" s="19">
        <v>-7</v>
      </c>
    </row>
    <row r="16" spans="1:13" x14ac:dyDescent="0.25">
      <c r="A16" s="6" t="s">
        <v>209</v>
      </c>
      <c r="C16" s="13">
        <v>118</v>
      </c>
      <c r="D16" s="13">
        <v>111</v>
      </c>
      <c r="E16" s="13">
        <v>104</v>
      </c>
      <c r="F16" s="13">
        <v>96</v>
      </c>
      <c r="G16" s="13">
        <v>89</v>
      </c>
      <c r="H16" s="13">
        <v>81</v>
      </c>
      <c r="I16" s="13">
        <v>74</v>
      </c>
      <c r="J16" s="13">
        <v>67</v>
      </c>
      <c r="K16" s="13">
        <v>60</v>
      </c>
    </row>
    <row r="17" spans="1:11" x14ac:dyDescent="0.25">
      <c r="A17" s="7" t="s">
        <v>210</v>
      </c>
      <c r="B17" s="20">
        <v>1.4999999999999999E-2</v>
      </c>
      <c r="C17" s="19">
        <v>-4</v>
      </c>
      <c r="D17" s="19">
        <v>-4</v>
      </c>
      <c r="E17" s="19">
        <v>-4</v>
      </c>
      <c r="F17" s="19">
        <v>-3</v>
      </c>
      <c r="G17" s="19">
        <v>-3</v>
      </c>
      <c r="H17" s="19">
        <v>-3</v>
      </c>
      <c r="I17" s="19">
        <v>-3</v>
      </c>
      <c r="J17" s="19">
        <v>-2</v>
      </c>
      <c r="K17" s="19">
        <v>-2</v>
      </c>
    </row>
    <row r="18" spans="1:11" x14ac:dyDescent="0.25">
      <c r="A18" s="6" t="s">
        <v>211</v>
      </c>
      <c r="C18" s="13">
        <v>114</v>
      </c>
      <c r="D18" s="13">
        <v>107</v>
      </c>
      <c r="E18" s="13">
        <v>100</v>
      </c>
      <c r="F18" s="13">
        <v>93</v>
      </c>
      <c r="G18" s="13">
        <v>86</v>
      </c>
      <c r="H18" s="13">
        <v>79</v>
      </c>
      <c r="I18" s="13">
        <v>71</v>
      </c>
      <c r="J18" s="13">
        <v>65</v>
      </c>
      <c r="K18" s="13">
        <v>58</v>
      </c>
    </row>
    <row r="19" spans="1:11" x14ac:dyDescent="0.25">
      <c r="A19" s="7" t="s">
        <v>212</v>
      </c>
      <c r="B19" s="20">
        <v>0.218</v>
      </c>
      <c r="C19" s="19">
        <v>-25</v>
      </c>
      <c r="D19" s="19">
        <v>-23</v>
      </c>
      <c r="E19" s="19">
        <v>-22</v>
      </c>
      <c r="F19" s="19">
        <v>-20</v>
      </c>
      <c r="G19" s="19">
        <v>-19</v>
      </c>
      <c r="H19" s="19">
        <v>-17</v>
      </c>
      <c r="I19" s="19">
        <v>-16</v>
      </c>
      <c r="J19" s="19">
        <v>-14</v>
      </c>
      <c r="K19" s="19">
        <v>-13</v>
      </c>
    </row>
    <row r="20" spans="1:11" x14ac:dyDescent="0.25">
      <c r="A20" s="6" t="s">
        <v>213</v>
      </c>
      <c r="C20" s="13">
        <v>89</v>
      </c>
      <c r="D20" s="13">
        <v>84</v>
      </c>
      <c r="E20" s="13">
        <v>78</v>
      </c>
      <c r="F20" s="13">
        <v>73</v>
      </c>
      <c r="G20" s="13">
        <v>67</v>
      </c>
      <c r="H20" s="13">
        <v>61</v>
      </c>
      <c r="I20" s="13">
        <v>56</v>
      </c>
      <c r="J20" s="13">
        <v>50</v>
      </c>
      <c r="K20" s="13">
        <v>45</v>
      </c>
    </row>
    <row r="21" spans="1:11" x14ac:dyDescent="0.25">
      <c r="A21" s="7" t="s">
        <v>214</v>
      </c>
      <c r="C21" s="19">
        <v>-13</v>
      </c>
      <c r="D21" s="19">
        <v>-12</v>
      </c>
      <c r="E21" s="19">
        <v>-11</v>
      </c>
      <c r="F21" s="19">
        <v>-10</v>
      </c>
      <c r="G21" s="19">
        <v>-9</v>
      </c>
      <c r="H21" s="19">
        <v>-9</v>
      </c>
      <c r="I21" s="19">
        <v>-8</v>
      </c>
      <c r="J21" s="19">
        <v>-7</v>
      </c>
      <c r="K21" s="19">
        <v>-6</v>
      </c>
    </row>
    <row r="22" spans="1:11" x14ac:dyDescent="0.25">
      <c r="A22" s="6" t="s">
        <v>215</v>
      </c>
      <c r="C22" s="13">
        <v>77</v>
      </c>
      <c r="D22" s="13">
        <v>72</v>
      </c>
      <c r="E22" s="13">
        <v>67</v>
      </c>
      <c r="F22" s="13">
        <v>62</v>
      </c>
      <c r="G22" s="13">
        <v>58</v>
      </c>
      <c r="H22" s="13">
        <v>53</v>
      </c>
      <c r="I22" s="13">
        <v>48</v>
      </c>
      <c r="J22" s="13">
        <v>43</v>
      </c>
      <c r="K22" s="13">
        <v>39</v>
      </c>
    </row>
    <row r="23" spans="1:11" x14ac:dyDescent="0.25">
      <c r="A23" s="7" t="s">
        <v>115</v>
      </c>
      <c r="B23" s="20">
        <v>0.11</v>
      </c>
      <c r="C23" s="23">
        <v>0.10340000000000001</v>
      </c>
      <c r="D23" s="23">
        <v>9.3100000000000002E-2</v>
      </c>
      <c r="E23" s="23">
        <v>8.3900000000000002E-2</v>
      </c>
      <c r="F23" s="23">
        <v>7.5600000000000001E-2</v>
      </c>
      <c r="G23" s="23">
        <v>6.8099999999999994E-2</v>
      </c>
      <c r="H23" s="23">
        <v>6.1400000000000003E-2</v>
      </c>
      <c r="I23" s="23">
        <v>5.5300000000000002E-2</v>
      </c>
      <c r="J23" s="23">
        <v>4.9799999999999997E-2</v>
      </c>
      <c r="K23" s="23">
        <v>4.4900000000000002E-2</v>
      </c>
    </row>
    <row r="24" spans="1:11" x14ac:dyDescent="0.25">
      <c r="A24" s="6" t="s">
        <v>116</v>
      </c>
      <c r="C24" s="13">
        <v>8</v>
      </c>
      <c r="D24" s="13">
        <v>7</v>
      </c>
      <c r="E24" s="13">
        <v>6</v>
      </c>
      <c r="F24" s="13">
        <v>5</v>
      </c>
      <c r="G24" s="13">
        <v>4</v>
      </c>
      <c r="H24" s="13">
        <v>3</v>
      </c>
      <c r="I24" s="13">
        <v>3</v>
      </c>
      <c r="J24" s="13">
        <v>2</v>
      </c>
      <c r="K24" s="13">
        <v>2</v>
      </c>
    </row>
    <row r="25" spans="1:11" x14ac:dyDescent="0.25">
      <c r="A25" s="9" t="s">
        <v>221</v>
      </c>
    </row>
    <row r="26" spans="1:11" x14ac:dyDescent="0.25">
      <c r="A26" s="7" t="s">
        <v>222</v>
      </c>
      <c r="C26" s="20">
        <v>0.03</v>
      </c>
      <c r="D26" s="20">
        <v>0.03</v>
      </c>
      <c r="E26" s="20">
        <v>0.03</v>
      </c>
      <c r="F26" s="20">
        <v>0.03</v>
      </c>
      <c r="G26" s="20">
        <v>0.03</v>
      </c>
      <c r="H26" s="20">
        <v>0.03</v>
      </c>
      <c r="I26" s="20">
        <v>0.03</v>
      </c>
      <c r="J26" s="20">
        <v>0.03</v>
      </c>
      <c r="K26" s="20">
        <v>0.03</v>
      </c>
    </row>
    <row r="27" spans="1:11" x14ac:dyDescent="0.25">
      <c r="A27" s="7" t="s">
        <v>224</v>
      </c>
      <c r="C27" s="20">
        <v>0.47099999999999997</v>
      </c>
      <c r="D27" s="20">
        <v>0.47099999999999997</v>
      </c>
      <c r="E27" s="20">
        <v>0.47099999999999997</v>
      </c>
      <c r="F27" s="20">
        <v>0.47099999999999997</v>
      </c>
      <c r="G27" s="20">
        <v>0.47099999999999997</v>
      </c>
      <c r="H27" s="20">
        <v>0.47099999999999997</v>
      </c>
      <c r="I27" s="20">
        <v>0.47099999999999997</v>
      </c>
      <c r="J27" s="20">
        <v>0.47099999999999997</v>
      </c>
      <c r="K27" s="20">
        <v>0.47099999999999997</v>
      </c>
    </row>
    <row r="28" spans="1:11" x14ac:dyDescent="0.25">
      <c r="A28" s="7" t="s">
        <v>107</v>
      </c>
      <c r="C28" s="20">
        <v>4.9000000000000002E-2</v>
      </c>
      <c r="D28" s="20">
        <v>4.9000000000000002E-2</v>
      </c>
      <c r="E28" s="20">
        <v>4.9000000000000002E-2</v>
      </c>
      <c r="F28" s="20">
        <v>4.9000000000000002E-2</v>
      </c>
      <c r="G28" s="20">
        <v>4.9000000000000002E-2</v>
      </c>
      <c r="H28" s="20">
        <v>4.9000000000000002E-2</v>
      </c>
      <c r="I28" s="20">
        <v>4.9000000000000002E-2</v>
      </c>
      <c r="J28" s="20">
        <v>4.9000000000000002E-2</v>
      </c>
      <c r="K28" s="20">
        <v>4.9000000000000002E-2</v>
      </c>
    </row>
    <row r="29" spans="1:11" x14ac:dyDescent="0.25">
      <c r="A29" s="7" t="s">
        <v>225</v>
      </c>
      <c r="C29" s="20">
        <v>0.42199999999999999</v>
      </c>
      <c r="D29" s="20">
        <v>0.42199999999999999</v>
      </c>
      <c r="E29" s="20">
        <v>0.42199999999999999</v>
      </c>
      <c r="F29" s="20">
        <v>0.42199999999999999</v>
      </c>
      <c r="G29" s="20">
        <v>0.42199999999999999</v>
      </c>
      <c r="H29" s="20">
        <v>0.42199999999999999</v>
      </c>
      <c r="I29" s="20">
        <v>0.42199999999999999</v>
      </c>
      <c r="J29" s="20">
        <v>0.42199999999999999</v>
      </c>
      <c r="K29" s="20">
        <v>0.42199999999999999</v>
      </c>
    </row>
    <row r="30" spans="1:11" x14ac:dyDescent="0.25">
      <c r="A30" s="7" t="s">
        <v>240</v>
      </c>
      <c r="C30" s="20">
        <v>4.4999999999999998E-2</v>
      </c>
      <c r="D30" s="20">
        <v>4.4999999999999998E-2</v>
      </c>
      <c r="E30" s="20">
        <v>4.4999999999999998E-2</v>
      </c>
      <c r="F30" s="20">
        <v>4.4999999999999998E-2</v>
      </c>
      <c r="G30" s="20">
        <v>4.4999999999999998E-2</v>
      </c>
      <c r="H30" s="20">
        <v>4.4999999999999998E-2</v>
      </c>
      <c r="I30" s="20">
        <v>4.4999999999999998E-2</v>
      </c>
      <c r="J30" s="20">
        <v>4.4999999999999998E-2</v>
      </c>
      <c r="K30" s="20">
        <v>4.4999999999999998E-2</v>
      </c>
    </row>
    <row r="31" spans="1:11" x14ac:dyDescent="0.25">
      <c r="A31" s="16" t="s">
        <v>127</v>
      </c>
    </row>
    <row r="32" spans="1:11" x14ac:dyDescent="0.25">
      <c r="A32" s="7" t="s">
        <v>227</v>
      </c>
    </row>
    <row r="33" spans="1:13" x14ac:dyDescent="0.25">
      <c r="A33" s="16" t="s">
        <v>61</v>
      </c>
    </row>
    <row r="34" spans="1:13" x14ac:dyDescent="0.25">
      <c r="A34" s="9" t="s">
        <v>62</v>
      </c>
      <c r="M34" s="32" t="s">
        <v>63</v>
      </c>
    </row>
    <row r="35" spans="1:13" x14ac:dyDescent="0.25">
      <c r="G35" s="5" t="s"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M71"/>
  <sheetViews>
    <sheetView topLeftCell="A52" workbookViewId="0">
      <selection activeCell="E46" sqref="E46"/>
    </sheetView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251</v>
      </c>
    </row>
    <row r="3" spans="1:13" x14ac:dyDescent="0.25">
      <c r="A3" s="6" t="s">
        <v>9</v>
      </c>
    </row>
    <row r="4" spans="1:13" x14ac:dyDescent="0.25">
      <c r="A4" s="6" t="s">
        <v>252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22</v>
      </c>
      <c r="D8" s="10">
        <v>92</v>
      </c>
      <c r="E8" s="10">
        <v>98</v>
      </c>
      <c r="F8" s="10">
        <v>103</v>
      </c>
      <c r="G8" s="10">
        <v>106</v>
      </c>
      <c r="H8" s="10">
        <v>110</v>
      </c>
      <c r="I8" s="10">
        <v>116</v>
      </c>
      <c r="J8" s="10">
        <v>123</v>
      </c>
      <c r="K8" s="10">
        <v>126</v>
      </c>
      <c r="L8" s="10">
        <v>130</v>
      </c>
      <c r="M8" s="10">
        <v>134</v>
      </c>
    </row>
    <row r="9" spans="1:13" x14ac:dyDescent="0.25">
      <c r="A9" s="7" t="s">
        <v>204</v>
      </c>
      <c r="C9" s="19">
        <v>-16</v>
      </c>
      <c r="D9" s="19">
        <v>-10</v>
      </c>
      <c r="E9" s="19">
        <v>0</v>
      </c>
    </row>
    <row r="10" spans="1:13" x14ac:dyDescent="0.25">
      <c r="A10" s="7" t="s">
        <v>253</v>
      </c>
      <c r="C10" s="10">
        <v>6</v>
      </c>
      <c r="D10" s="10">
        <v>82</v>
      </c>
      <c r="E10" s="10">
        <v>98</v>
      </c>
      <c r="F10" s="10">
        <v>103</v>
      </c>
      <c r="G10" s="10">
        <v>106</v>
      </c>
      <c r="H10" s="10">
        <v>110</v>
      </c>
      <c r="I10" s="10">
        <v>116</v>
      </c>
      <c r="J10" s="10">
        <v>123</v>
      </c>
      <c r="K10" s="10">
        <v>126</v>
      </c>
      <c r="L10" s="10">
        <v>130</v>
      </c>
      <c r="M10" s="10">
        <v>134</v>
      </c>
    </row>
    <row r="11" spans="1:13" x14ac:dyDescent="0.25">
      <c r="A11" s="7"/>
      <c r="C11" s="10">
        <f>SUM(C8:C9)</f>
        <v>6</v>
      </c>
      <c r="D11" s="10">
        <f>SUM(D8:D9)</f>
        <v>82</v>
      </c>
      <c r="E11" s="10">
        <f>SUM(E8:E9)</f>
        <v>98</v>
      </c>
      <c r="F11" s="10">
        <f>SUM(F8:F9)</f>
        <v>103</v>
      </c>
      <c r="G11" s="10">
        <f>SUM(G8:G9)</f>
        <v>106</v>
      </c>
      <c r="H11" s="10">
        <f>SUM(H8:H9)</f>
        <v>110</v>
      </c>
      <c r="I11" s="10">
        <f>SUM(I8:I9)</f>
        <v>116</v>
      </c>
      <c r="J11" s="10">
        <f>SUM(J8:J9)</f>
        <v>123</v>
      </c>
      <c r="K11" s="10">
        <f>SUM(K8:K9)</f>
        <v>126</v>
      </c>
      <c r="L11" s="10">
        <f>SUM(L8:L9)</f>
        <v>130</v>
      </c>
      <c r="M11" s="10">
        <f>SUM(M8:M9)</f>
        <v>134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</row>
    <row r="13" spans="1:13" x14ac:dyDescent="0.25">
      <c r="A13" s="7" t="s">
        <v>206</v>
      </c>
      <c r="B13" s="7" t="s">
        <v>254</v>
      </c>
      <c r="C13" s="20">
        <v>1</v>
      </c>
      <c r="D13" s="20">
        <v>0.999</v>
      </c>
      <c r="E13" s="20">
        <v>0.996</v>
      </c>
      <c r="F13" s="20">
        <v>0.98799999999999999</v>
      </c>
      <c r="G13" s="20">
        <v>0.97299999999999998</v>
      </c>
      <c r="H13" s="20">
        <v>0.95099999999999996</v>
      </c>
      <c r="I13" s="20">
        <v>0.92100000000000004</v>
      </c>
      <c r="J13" s="20">
        <v>0.88300000000000001</v>
      </c>
      <c r="K13" s="20">
        <v>0.83699999999999997</v>
      </c>
      <c r="L13" s="20">
        <v>0.78500000000000003</v>
      </c>
      <c r="M13" s="20">
        <v>0.72599999999999998</v>
      </c>
    </row>
    <row r="14" spans="1:13" x14ac:dyDescent="0.25">
      <c r="A14" s="7" t="s">
        <v>208</v>
      </c>
      <c r="C14" s="10">
        <v>6</v>
      </c>
      <c r="D14" s="10">
        <v>82</v>
      </c>
      <c r="E14" s="10">
        <v>98</v>
      </c>
      <c r="F14" s="10">
        <v>101</v>
      </c>
      <c r="G14" s="10">
        <v>103</v>
      </c>
      <c r="H14" s="10">
        <v>105</v>
      </c>
      <c r="I14" s="10">
        <v>107</v>
      </c>
      <c r="J14" s="10">
        <v>108</v>
      </c>
      <c r="K14" s="10">
        <v>106</v>
      </c>
      <c r="L14" s="10">
        <v>102</v>
      </c>
      <c r="M14" s="10">
        <v>97</v>
      </c>
    </row>
    <row r="15" spans="1:13" x14ac:dyDescent="0.25">
      <c r="A15" s="7"/>
      <c r="C15" s="10">
        <f>C10*C13</f>
        <v>6</v>
      </c>
      <c r="D15" s="10">
        <f>D10*D13</f>
        <v>81.918000000000006</v>
      </c>
      <c r="E15" s="10">
        <f>E10*E13</f>
        <v>97.608000000000004</v>
      </c>
      <c r="F15" s="10">
        <f>F10*F13</f>
        <v>101.764</v>
      </c>
      <c r="G15" s="10">
        <f>G10*G13</f>
        <v>103.13799999999999</v>
      </c>
      <c r="H15" s="10">
        <f>H10*H13</f>
        <v>104.61</v>
      </c>
      <c r="I15" s="10">
        <f>I10*I13</f>
        <v>106.836</v>
      </c>
      <c r="J15" s="10">
        <f>J10*J13</f>
        <v>108.60899999999999</v>
      </c>
      <c r="K15" s="10">
        <f>K10*K13</f>
        <v>105.46199999999999</v>
      </c>
      <c r="L15" s="10">
        <f>L10*L13</f>
        <v>102.05</v>
      </c>
      <c r="M15" s="10">
        <f>M10*M13</f>
        <v>97.283999999999992</v>
      </c>
    </row>
    <row r="16" spans="1:13" x14ac:dyDescent="0.25">
      <c r="A16" s="7"/>
      <c r="C16" s="10">
        <f>C15-C14</f>
        <v>0</v>
      </c>
      <c r="D16" s="10">
        <f>D15-D14</f>
        <v>-8.1999999999993634E-2</v>
      </c>
      <c r="E16" s="10">
        <f>E15-E14</f>
        <v>-0.39199999999999591</v>
      </c>
      <c r="F16" s="10">
        <f>F15-F14</f>
        <v>0.76399999999999579</v>
      </c>
      <c r="G16" s="10">
        <f>G15-G14</f>
        <v>0.13799999999999102</v>
      </c>
      <c r="H16" s="10">
        <f>H15-H14</f>
        <v>-0.39000000000000057</v>
      </c>
      <c r="I16" s="10">
        <f>I15-I14</f>
        <v>-0.16400000000000148</v>
      </c>
      <c r="J16" s="10">
        <f>J15-J14</f>
        <v>0.60899999999999466</v>
      </c>
      <c r="K16" s="10">
        <f>K15-K14</f>
        <v>-0.53800000000001091</v>
      </c>
      <c r="L16" s="10">
        <f>L15-L14</f>
        <v>4.9999999999997158E-2</v>
      </c>
      <c r="M16" s="10">
        <f>M15-M14</f>
        <v>0.28399999999999181</v>
      </c>
    </row>
    <row r="17" spans="1:13" x14ac:dyDescent="0.25">
      <c r="A17" s="6" t="s">
        <v>205</v>
      </c>
      <c r="C17" s="13">
        <v>6</v>
      </c>
      <c r="D17" s="13">
        <v>82</v>
      </c>
      <c r="E17" s="13">
        <v>98</v>
      </c>
      <c r="F17" s="13">
        <v>101</v>
      </c>
      <c r="G17" s="13">
        <v>103</v>
      </c>
      <c r="H17" s="13">
        <v>105</v>
      </c>
      <c r="I17" s="13">
        <v>107</v>
      </c>
      <c r="J17" s="13">
        <v>108</v>
      </c>
      <c r="K17" s="13">
        <v>106</v>
      </c>
      <c r="L17" s="13">
        <v>102</v>
      </c>
      <c r="M17" s="13">
        <v>97</v>
      </c>
    </row>
    <row r="18" spans="1:13" x14ac:dyDescent="0.25">
      <c r="A18" s="6" t="s">
        <v>106</v>
      </c>
      <c r="C18" s="13">
        <v>2</v>
      </c>
      <c r="D18" s="13">
        <v>25</v>
      </c>
      <c r="E18" s="13">
        <v>32</v>
      </c>
      <c r="F18" s="13">
        <v>35</v>
      </c>
      <c r="G18" s="13">
        <v>35</v>
      </c>
      <c r="H18" s="13">
        <v>38</v>
      </c>
      <c r="I18" s="13">
        <v>40</v>
      </c>
      <c r="J18" s="13">
        <v>41</v>
      </c>
      <c r="K18" s="13">
        <v>41</v>
      </c>
      <c r="L18" s="13">
        <v>39</v>
      </c>
      <c r="M18" s="13">
        <v>37</v>
      </c>
    </row>
    <row r="19" spans="1:13" x14ac:dyDescent="0.25">
      <c r="A19" s="7" t="s">
        <v>107</v>
      </c>
      <c r="C19" s="19">
        <v>0</v>
      </c>
      <c r="D19" s="19">
        <v>-3</v>
      </c>
      <c r="E19" s="19">
        <v>-3</v>
      </c>
      <c r="F19" s="19">
        <v>-5</v>
      </c>
      <c r="G19" s="19">
        <v>-6</v>
      </c>
      <c r="H19" s="19">
        <v>-6</v>
      </c>
      <c r="I19" s="19">
        <v>-5</v>
      </c>
      <c r="J19" s="19">
        <v>-5</v>
      </c>
      <c r="K19" s="19">
        <v>-5</v>
      </c>
      <c r="L19" s="19">
        <v>-5</v>
      </c>
      <c r="M19" s="19">
        <v>-5</v>
      </c>
    </row>
    <row r="20" spans="1:13" x14ac:dyDescent="0.25">
      <c r="A20" s="6" t="s">
        <v>211</v>
      </c>
      <c r="C20" s="13">
        <v>2</v>
      </c>
      <c r="D20" s="13">
        <v>22</v>
      </c>
      <c r="E20" s="13">
        <v>29</v>
      </c>
      <c r="F20" s="13">
        <v>30</v>
      </c>
      <c r="G20" s="13">
        <v>30</v>
      </c>
      <c r="H20" s="13">
        <v>32</v>
      </c>
      <c r="I20" s="13">
        <v>34</v>
      </c>
      <c r="J20" s="13">
        <v>36</v>
      </c>
      <c r="K20" s="13">
        <v>35</v>
      </c>
      <c r="L20" s="13">
        <v>34</v>
      </c>
      <c r="M20" s="13">
        <v>33</v>
      </c>
    </row>
    <row r="21" spans="1:13" x14ac:dyDescent="0.25">
      <c r="A21" s="6"/>
      <c r="C21" s="13">
        <f>SUM(C18,C19)</f>
        <v>2</v>
      </c>
      <c r="D21" s="13">
        <f>SUM(D18,D19)</f>
        <v>22</v>
      </c>
      <c r="E21" s="13">
        <f>SUM(E18,E19)</f>
        <v>29</v>
      </c>
      <c r="F21" s="13">
        <f>SUM(F18,F19)</f>
        <v>30</v>
      </c>
      <c r="G21" s="13">
        <f>SUM(G18,G19)</f>
        <v>29</v>
      </c>
      <c r="H21" s="13">
        <f>SUM(H18,H19)</f>
        <v>32</v>
      </c>
      <c r="I21" s="13">
        <f>SUM(I18,I19)</f>
        <v>35</v>
      </c>
      <c r="J21" s="13">
        <f>SUM(J18,J19)</f>
        <v>36</v>
      </c>
      <c r="K21" s="13">
        <f>SUM(K18,K19)</f>
        <v>36</v>
      </c>
      <c r="L21" s="13">
        <f>SUM(L18,L19)</f>
        <v>34</v>
      </c>
      <c r="M21" s="13">
        <f>SUM(M18,M19)</f>
        <v>32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0</v>
      </c>
      <c r="F22" s="13">
        <f>F21-F20</f>
        <v>0</v>
      </c>
      <c r="G22" s="13">
        <f>G21-G20</f>
        <v>-1</v>
      </c>
      <c r="H22" s="13">
        <f>H21-H20</f>
        <v>0</v>
      </c>
      <c r="I22" s="13">
        <f>I21-I20</f>
        <v>1</v>
      </c>
      <c r="J22" s="13">
        <f>J21-J20</f>
        <v>0</v>
      </c>
      <c r="K22" s="13">
        <f>K21-K20</f>
        <v>1</v>
      </c>
      <c r="L22" s="13">
        <f>L21-L20</f>
        <v>0</v>
      </c>
      <c r="M22" s="13">
        <f>M21-M20</f>
        <v>-1</v>
      </c>
    </row>
    <row r="23" spans="1:13" x14ac:dyDescent="0.25">
      <c r="A23" s="7" t="s">
        <v>210</v>
      </c>
      <c r="B23" s="20">
        <v>1.4999999999999999E-2</v>
      </c>
      <c r="C23" s="19">
        <v>0</v>
      </c>
      <c r="D23" s="19">
        <v>-1</v>
      </c>
      <c r="E23" s="19">
        <v>-1</v>
      </c>
      <c r="F23" s="19">
        <v>-2</v>
      </c>
      <c r="G23" s="19">
        <v>-2</v>
      </c>
      <c r="H23" s="19">
        <v>-2</v>
      </c>
      <c r="I23" s="19">
        <v>-2</v>
      </c>
      <c r="J23" s="19">
        <v>-2</v>
      </c>
      <c r="K23" s="19">
        <v>-2</v>
      </c>
      <c r="L23" s="19">
        <v>-2</v>
      </c>
      <c r="M23" s="19">
        <v>-1</v>
      </c>
    </row>
    <row r="24" spans="1:13" x14ac:dyDescent="0.25">
      <c r="A24" s="7"/>
      <c r="B24" s="20"/>
      <c r="C24" s="19">
        <f>C10*B23</f>
        <v>0.09</v>
      </c>
      <c r="D24" s="19">
        <f>D10*B23</f>
        <v>1.23</v>
      </c>
      <c r="E24" s="19">
        <f>E10*B23</f>
        <v>1.47</v>
      </c>
      <c r="F24" s="19">
        <f>F10*B23</f>
        <v>1.5449999999999999</v>
      </c>
      <c r="G24" s="19">
        <f>G10*B23</f>
        <v>1.5899999999999999</v>
      </c>
      <c r="H24" s="19">
        <f>H10*B23</f>
        <v>1.65</v>
      </c>
      <c r="I24" s="19">
        <f>I10*B23</f>
        <v>1.74</v>
      </c>
      <c r="J24" s="19">
        <f>J10*B23</f>
        <v>1.845</v>
      </c>
      <c r="K24" s="19">
        <f>K10*B23</f>
        <v>1.89</v>
      </c>
      <c r="L24" s="19">
        <f>L10*B23</f>
        <v>1.95</v>
      </c>
      <c r="M24" s="19">
        <f>M10*B23</f>
        <v>2.0099999999999998</v>
      </c>
    </row>
    <row r="25" spans="1:13" x14ac:dyDescent="0.25">
      <c r="A25" s="7"/>
      <c r="B25" s="20"/>
      <c r="C25" s="19">
        <f>C24-C23</f>
        <v>0.09</v>
      </c>
      <c r="D25" s="19">
        <f>D24-D23</f>
        <v>2.23</v>
      </c>
      <c r="E25" s="19">
        <f>E24-E23</f>
        <v>2.4699999999999998</v>
      </c>
      <c r="F25" s="19">
        <f>F24-F23</f>
        <v>3.5449999999999999</v>
      </c>
      <c r="G25" s="19">
        <f>G24-G23</f>
        <v>3.59</v>
      </c>
      <c r="H25" s="19">
        <f>H24-H23</f>
        <v>3.65</v>
      </c>
      <c r="I25" s="19">
        <f>I24-I23</f>
        <v>3.74</v>
      </c>
      <c r="J25" s="19">
        <f>J24-J23</f>
        <v>3.8449999999999998</v>
      </c>
      <c r="K25" s="19">
        <f>K24-K23</f>
        <v>3.8899999999999997</v>
      </c>
      <c r="L25" s="19">
        <f>L24-L23</f>
        <v>3.95</v>
      </c>
      <c r="M25" s="19">
        <f>M24-M23</f>
        <v>3.01</v>
      </c>
    </row>
    <row r="26" spans="1:13" x14ac:dyDescent="0.25">
      <c r="A26" s="6" t="s">
        <v>108</v>
      </c>
      <c r="C26" s="13">
        <v>2</v>
      </c>
      <c r="D26" s="13">
        <v>21</v>
      </c>
      <c r="E26" s="13">
        <v>27</v>
      </c>
      <c r="F26" s="13">
        <v>28</v>
      </c>
      <c r="G26" s="13">
        <v>28</v>
      </c>
      <c r="H26" s="13">
        <v>31</v>
      </c>
      <c r="I26" s="13">
        <v>33</v>
      </c>
      <c r="J26" s="13">
        <v>35</v>
      </c>
      <c r="K26" s="13">
        <v>34</v>
      </c>
      <c r="L26" s="13">
        <v>33</v>
      </c>
      <c r="M26" s="13">
        <v>31</v>
      </c>
    </row>
    <row r="27" spans="1:13" x14ac:dyDescent="0.25">
      <c r="A27" s="6"/>
      <c r="C27" s="13">
        <f>SUM(C20,C23)</f>
        <v>2</v>
      </c>
      <c r="D27" s="13">
        <f>SUM(D20,D23)</f>
        <v>21</v>
      </c>
      <c r="E27" s="13">
        <f>SUM(E20,E23)</f>
        <v>28</v>
      </c>
      <c r="F27" s="13">
        <f>SUM(F20,F23)</f>
        <v>28</v>
      </c>
      <c r="G27" s="13">
        <f>SUM(G20,G23)</f>
        <v>28</v>
      </c>
      <c r="H27" s="13">
        <f>SUM(H20,H23)</f>
        <v>30</v>
      </c>
      <c r="I27" s="13">
        <f>SUM(I20,I23)</f>
        <v>32</v>
      </c>
      <c r="J27" s="13">
        <f>SUM(J20,J23)</f>
        <v>34</v>
      </c>
      <c r="K27" s="13">
        <f>SUM(K20,K23)</f>
        <v>33</v>
      </c>
      <c r="L27" s="13">
        <f>SUM(L20,L23)</f>
        <v>32</v>
      </c>
      <c r="M27" s="13">
        <f>SUM(M20,M23)</f>
        <v>32</v>
      </c>
    </row>
    <row r="28" spans="1:13" x14ac:dyDescent="0.25">
      <c r="A28" s="6"/>
      <c r="C28" s="13">
        <f>C27-C26</f>
        <v>0</v>
      </c>
      <c r="D28" s="13">
        <f>D27-D26</f>
        <v>0</v>
      </c>
      <c r="E28" s="13">
        <f>E27-E26</f>
        <v>1</v>
      </c>
      <c r="F28" s="13">
        <f>F27-F26</f>
        <v>0</v>
      </c>
      <c r="G28" s="13">
        <f>G27-G26</f>
        <v>0</v>
      </c>
      <c r="H28" s="13">
        <f>H27-H26</f>
        <v>-1</v>
      </c>
      <c r="I28" s="13">
        <f>I27-I26</f>
        <v>-1</v>
      </c>
      <c r="J28" s="13">
        <f>J27-J26</f>
        <v>-1</v>
      </c>
      <c r="K28" s="13">
        <f>K27-K26</f>
        <v>-1</v>
      </c>
      <c r="L28" s="13">
        <f>L27-L26</f>
        <v>-1</v>
      </c>
      <c r="M28" s="13">
        <f>M27-M26</f>
        <v>1</v>
      </c>
    </row>
    <row r="29" spans="1:13" x14ac:dyDescent="0.25">
      <c r="A29" s="7" t="s">
        <v>212</v>
      </c>
      <c r="B29" s="20">
        <v>0.218</v>
      </c>
      <c r="C29" s="31">
        <v>0</v>
      </c>
      <c r="D29" s="19">
        <v>-5</v>
      </c>
      <c r="E29" s="19">
        <v>-6</v>
      </c>
      <c r="F29" s="19">
        <v>-6</v>
      </c>
      <c r="G29" s="19">
        <v>-6</v>
      </c>
      <c r="H29" s="19">
        <v>-7</v>
      </c>
      <c r="I29" s="19">
        <v>-7</v>
      </c>
      <c r="J29" s="19">
        <v>-8</v>
      </c>
      <c r="K29" s="19">
        <v>-7</v>
      </c>
      <c r="L29" s="19">
        <v>-7</v>
      </c>
      <c r="M29" s="19">
        <v>-7</v>
      </c>
    </row>
    <row r="30" spans="1:13" x14ac:dyDescent="0.25">
      <c r="A30" s="7"/>
      <c r="B30" s="20"/>
      <c r="C30" s="31">
        <f>C26*B29</f>
        <v>0.436</v>
      </c>
      <c r="D30" s="19">
        <f>D26*B29</f>
        <v>4.5780000000000003</v>
      </c>
      <c r="E30" s="19">
        <f>E26*B29</f>
        <v>5.8860000000000001</v>
      </c>
      <c r="F30" s="19">
        <f>F26*B29</f>
        <v>6.1040000000000001</v>
      </c>
      <c r="G30" s="19">
        <f>G26*B29</f>
        <v>6.1040000000000001</v>
      </c>
      <c r="H30" s="19">
        <f>H26*B29</f>
        <v>6.758</v>
      </c>
      <c r="I30" s="19">
        <f>I26*B29</f>
        <v>7.194</v>
      </c>
      <c r="J30" s="19">
        <f>J26*B29</f>
        <v>7.63</v>
      </c>
      <c r="K30" s="19">
        <f>K26*B29</f>
        <v>7.4119999999999999</v>
      </c>
      <c r="L30" s="19">
        <f>L26*B29</f>
        <v>7.194</v>
      </c>
      <c r="M30" s="19">
        <f>M26*B29</f>
        <v>6.758</v>
      </c>
    </row>
    <row r="31" spans="1:13" x14ac:dyDescent="0.25">
      <c r="A31" s="7"/>
      <c r="B31" s="20"/>
      <c r="C31" s="31">
        <f>C30-C29</f>
        <v>0.436</v>
      </c>
      <c r="D31" s="19">
        <f>D30-D29</f>
        <v>9.5779999999999994</v>
      </c>
      <c r="E31" s="19">
        <f>E30-E29</f>
        <v>11.885999999999999</v>
      </c>
      <c r="F31" s="19">
        <f>F30-F29</f>
        <v>12.103999999999999</v>
      </c>
      <c r="G31" s="19">
        <f>G30-G29</f>
        <v>12.103999999999999</v>
      </c>
      <c r="H31" s="19">
        <f>H30-H29</f>
        <v>13.757999999999999</v>
      </c>
      <c r="I31" s="19">
        <f>I30-I29</f>
        <v>14.193999999999999</v>
      </c>
      <c r="J31" s="19">
        <f>J30-J29</f>
        <v>15.629999999999999</v>
      </c>
      <c r="K31" s="19">
        <f>K30-K29</f>
        <v>14.411999999999999</v>
      </c>
      <c r="L31" s="19">
        <f>L30-L29</f>
        <v>14.193999999999999</v>
      </c>
      <c r="M31" s="19">
        <f>M30-M29</f>
        <v>13.757999999999999</v>
      </c>
    </row>
    <row r="32" spans="1:13" x14ac:dyDescent="0.25">
      <c r="A32" s="6" t="s">
        <v>213</v>
      </c>
      <c r="C32" s="13">
        <v>1</v>
      </c>
      <c r="D32" s="13">
        <v>16</v>
      </c>
      <c r="E32" s="13">
        <v>21</v>
      </c>
      <c r="F32" s="13">
        <v>22</v>
      </c>
      <c r="G32" s="13">
        <v>22</v>
      </c>
      <c r="H32" s="13">
        <v>24</v>
      </c>
      <c r="I32" s="13">
        <v>26</v>
      </c>
      <c r="J32" s="13">
        <v>27</v>
      </c>
      <c r="K32" s="13">
        <v>26</v>
      </c>
      <c r="L32" s="13">
        <v>25</v>
      </c>
      <c r="M32" s="13">
        <v>24</v>
      </c>
    </row>
    <row r="33" spans="1:13" x14ac:dyDescent="0.25">
      <c r="A33" s="6"/>
      <c r="C33" s="13">
        <f>SUM(C26,C29)</f>
        <v>2</v>
      </c>
      <c r="D33" s="13">
        <f>SUM(D26,D29)</f>
        <v>16</v>
      </c>
      <c r="E33" s="13">
        <f>SUM(E26,E29)</f>
        <v>21</v>
      </c>
      <c r="F33" s="13">
        <f>SUM(F26,F29)</f>
        <v>22</v>
      </c>
      <c r="G33" s="13">
        <f>SUM(G26,G29)</f>
        <v>22</v>
      </c>
      <c r="H33" s="13">
        <f>SUM(H26,H29)</f>
        <v>24</v>
      </c>
      <c r="I33" s="13">
        <f>SUM(I26,I29)</f>
        <v>26</v>
      </c>
      <c r="J33" s="13">
        <f>SUM(J26,J29)</f>
        <v>27</v>
      </c>
      <c r="K33" s="13">
        <f>SUM(K26,K29)</f>
        <v>27</v>
      </c>
      <c r="L33" s="13">
        <f>SUM(L26,L29)</f>
        <v>26</v>
      </c>
      <c r="M33" s="13">
        <f>SUM(M26,M29)</f>
        <v>24</v>
      </c>
    </row>
    <row r="34" spans="1:13" x14ac:dyDescent="0.25">
      <c r="A34" s="6"/>
      <c r="C34" s="13">
        <f>C33-C32</f>
        <v>1</v>
      </c>
      <c r="D34" s="13">
        <f>D33-D32</f>
        <v>0</v>
      </c>
      <c r="E34" s="13">
        <f>E33-E32</f>
        <v>0</v>
      </c>
      <c r="F34" s="13">
        <f>F33-F32</f>
        <v>0</v>
      </c>
      <c r="G34" s="13">
        <f>G33-G32</f>
        <v>0</v>
      </c>
      <c r="H34" s="13">
        <f>H33-H32</f>
        <v>0</v>
      </c>
      <c r="I34" s="13">
        <f>I33-I32</f>
        <v>0</v>
      </c>
      <c r="J34" s="13">
        <f>J33-J32</f>
        <v>0</v>
      </c>
      <c r="K34" s="13">
        <f>K33-K32</f>
        <v>1</v>
      </c>
      <c r="L34" s="13">
        <f>L33-L32</f>
        <v>1</v>
      </c>
      <c r="M34" s="13">
        <f>M33-M32</f>
        <v>0</v>
      </c>
    </row>
    <row r="35" spans="1:13" x14ac:dyDescent="0.25">
      <c r="A35" s="7" t="s">
        <v>214</v>
      </c>
      <c r="C35" s="19">
        <v>0</v>
      </c>
      <c r="D35" s="19">
        <v>-3</v>
      </c>
      <c r="E35" s="19">
        <v>-4</v>
      </c>
      <c r="F35" s="19">
        <v>-4</v>
      </c>
      <c r="G35" s="19">
        <v>-4</v>
      </c>
      <c r="H35" s="19">
        <v>-4</v>
      </c>
      <c r="I35" s="19">
        <v>-4</v>
      </c>
      <c r="J35" s="19">
        <v>-4</v>
      </c>
      <c r="K35" s="19">
        <v>-4</v>
      </c>
      <c r="L35" s="19">
        <v>-4</v>
      </c>
      <c r="M35" s="19">
        <v>-4</v>
      </c>
    </row>
    <row r="36" spans="1:13" x14ac:dyDescent="0.25">
      <c r="A36" s="6" t="s">
        <v>215</v>
      </c>
      <c r="C36" s="13">
        <v>1</v>
      </c>
      <c r="D36" s="13">
        <v>13</v>
      </c>
      <c r="E36" s="13">
        <v>17</v>
      </c>
      <c r="F36" s="13">
        <v>18</v>
      </c>
      <c r="G36" s="13">
        <v>18</v>
      </c>
      <c r="H36" s="13">
        <v>20</v>
      </c>
      <c r="I36" s="13">
        <v>21</v>
      </c>
      <c r="J36" s="13">
        <v>23</v>
      </c>
      <c r="K36" s="13">
        <v>22</v>
      </c>
      <c r="L36" s="13">
        <v>21</v>
      </c>
      <c r="M36" s="13">
        <v>20</v>
      </c>
    </row>
    <row r="37" spans="1:13" x14ac:dyDescent="0.25">
      <c r="A37" s="6"/>
      <c r="C37" s="13">
        <f>SUM(C32,C35)</f>
        <v>1</v>
      </c>
      <c r="D37" s="13">
        <f>SUM(D32,D35)</f>
        <v>13</v>
      </c>
      <c r="E37" s="13">
        <f>SUM(E32,E35)</f>
        <v>17</v>
      </c>
      <c r="F37" s="13">
        <f>SUM(F32,F35)</f>
        <v>18</v>
      </c>
      <c r="G37" s="13">
        <f>SUM(G32,G35)</f>
        <v>18</v>
      </c>
      <c r="H37" s="13">
        <f>SUM(H32,H35)</f>
        <v>20</v>
      </c>
      <c r="I37" s="13">
        <f>SUM(I32,I35)</f>
        <v>22</v>
      </c>
      <c r="J37" s="13">
        <f>SUM(J32,J35)</f>
        <v>23</v>
      </c>
      <c r="K37" s="13">
        <f>SUM(K32,K35)</f>
        <v>22</v>
      </c>
      <c r="L37" s="13">
        <f>SUM(L32,L35)</f>
        <v>21</v>
      </c>
      <c r="M37" s="13">
        <f>SUM(M32,M35)</f>
        <v>20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1</v>
      </c>
      <c r="J38" s="13">
        <f>J37-J36</f>
        <v>0</v>
      </c>
      <c r="K38" s="13">
        <f>K37-K36</f>
        <v>0</v>
      </c>
      <c r="L38" s="13">
        <f>L37-L36</f>
        <v>0</v>
      </c>
      <c r="M38" s="13">
        <f>M37-M36</f>
        <v>0</v>
      </c>
    </row>
    <row r="39" spans="1:13" x14ac:dyDescent="0.25">
      <c r="A39" s="7" t="s">
        <v>115</v>
      </c>
      <c r="B39" s="20">
        <v>0.11</v>
      </c>
      <c r="C39" s="23">
        <v>0.98740000000000006</v>
      </c>
      <c r="D39" s="23">
        <v>0.92530000000000001</v>
      </c>
      <c r="E39" s="23">
        <v>0.83360000000000001</v>
      </c>
      <c r="F39" s="24">
        <v>0.751</v>
      </c>
      <c r="G39" s="23">
        <v>0.67659999999999998</v>
      </c>
      <c r="H39" s="23">
        <v>0.60950000000000004</v>
      </c>
      <c r="I39" s="23">
        <v>0.54910000000000003</v>
      </c>
      <c r="J39" s="23">
        <v>0.49469999999999997</v>
      </c>
      <c r="K39" s="23">
        <v>0.44569999999999999</v>
      </c>
      <c r="L39" s="23">
        <v>0.40150000000000002</v>
      </c>
      <c r="M39" s="23">
        <v>0.36170000000000002</v>
      </c>
    </row>
    <row r="40" spans="1:13" x14ac:dyDescent="0.25">
      <c r="A40" s="6" t="s">
        <v>116</v>
      </c>
      <c r="C40" s="13">
        <v>1</v>
      </c>
      <c r="D40" s="13">
        <v>12</v>
      </c>
      <c r="E40" s="13">
        <v>15</v>
      </c>
      <c r="F40" s="13">
        <v>13</v>
      </c>
      <c r="G40" s="13">
        <v>12</v>
      </c>
      <c r="H40" s="13">
        <v>12</v>
      </c>
      <c r="I40" s="13">
        <v>12</v>
      </c>
      <c r="J40" s="13">
        <v>11</v>
      </c>
      <c r="K40" s="13">
        <v>10</v>
      </c>
      <c r="L40" s="13">
        <v>9</v>
      </c>
      <c r="M40" s="13">
        <v>7</v>
      </c>
    </row>
    <row r="41" spans="1:13" x14ac:dyDescent="0.25">
      <c r="A41" s="6"/>
      <c r="C41" s="13">
        <f>C36*C39</f>
        <v>0.98740000000000006</v>
      </c>
      <c r="D41" s="13">
        <f>D36*D39</f>
        <v>12.0289</v>
      </c>
      <c r="E41" s="13">
        <f>E36*E39</f>
        <v>14.171200000000001</v>
      </c>
      <c r="F41" s="13">
        <f>F36*F39</f>
        <v>13.518000000000001</v>
      </c>
      <c r="G41" s="13">
        <f>G36*G39</f>
        <v>12.178799999999999</v>
      </c>
      <c r="H41" s="13">
        <f>H36*H39</f>
        <v>12.190000000000001</v>
      </c>
      <c r="I41" s="13">
        <f>I36*I39</f>
        <v>11.5311</v>
      </c>
      <c r="J41" s="13">
        <f>J36*J39</f>
        <v>11.3781</v>
      </c>
      <c r="K41" s="13">
        <f>K36*K39</f>
        <v>9.8053999999999988</v>
      </c>
      <c r="L41" s="13">
        <f>L36*L39</f>
        <v>8.4314999999999998</v>
      </c>
      <c r="M41" s="13">
        <f>M36*M39</f>
        <v>7.234</v>
      </c>
    </row>
    <row r="42" spans="1:13" x14ac:dyDescent="0.25">
      <c r="A42" s="6"/>
      <c r="C42" s="13">
        <f>C41-C40</f>
        <v>-1.2599999999999945E-2</v>
      </c>
      <c r="D42" s="13">
        <f>D41-D40</f>
        <v>2.8900000000000148E-2</v>
      </c>
      <c r="E42" s="13">
        <f>E41-E40</f>
        <v>-0.82879999999999932</v>
      </c>
      <c r="F42" s="13">
        <f>F41-F40</f>
        <v>0.51800000000000068</v>
      </c>
      <c r="G42" s="13">
        <f>G41-G40</f>
        <v>0.17879999999999896</v>
      </c>
      <c r="H42" s="13">
        <f>H41-H40</f>
        <v>0.19000000000000128</v>
      </c>
      <c r="I42" s="13">
        <f>I41-I40</f>
        <v>-0.46889999999999965</v>
      </c>
      <c r="J42" s="13">
        <f>J41-J40</f>
        <v>0.37809999999999988</v>
      </c>
      <c r="K42" s="13">
        <f>K41-K40</f>
        <v>-0.19460000000000122</v>
      </c>
      <c r="L42" s="13">
        <f>L41-L40</f>
        <v>-0.56850000000000023</v>
      </c>
      <c r="M42" s="13">
        <f>M41-M40</f>
        <v>0.23399999999999999</v>
      </c>
    </row>
    <row r="43" spans="1:13" x14ac:dyDescent="0.25">
      <c r="A43" s="7" t="s">
        <v>216</v>
      </c>
      <c r="C43" s="10">
        <v>144</v>
      </c>
    </row>
    <row r="44" spans="1:13" x14ac:dyDescent="0.25">
      <c r="H44" s="7" t="s">
        <v>217</v>
      </c>
    </row>
    <row r="45" spans="1:13" x14ac:dyDescent="0.25">
      <c r="A45" s="6" t="s">
        <v>218</v>
      </c>
      <c r="C45" s="13">
        <v>144</v>
      </c>
      <c r="F45" s="10">
        <v>160</v>
      </c>
      <c r="G45" s="15">
        <v>0.02</v>
      </c>
      <c r="H45" s="15">
        <v>0.03</v>
      </c>
      <c r="I45" s="15">
        <v>0.04</v>
      </c>
      <c r="J45" s="15">
        <v>0.05</v>
      </c>
    </row>
    <row r="46" spans="1:13" x14ac:dyDescent="0.25">
      <c r="A46" s="7" t="s">
        <v>121</v>
      </c>
      <c r="B46" s="7" t="s">
        <v>122</v>
      </c>
      <c r="C46" s="10">
        <v>12</v>
      </c>
      <c r="F46" s="27">
        <v>20</v>
      </c>
      <c r="G46" s="10">
        <v>150</v>
      </c>
      <c r="H46" s="10">
        <v>160</v>
      </c>
      <c r="I46" s="10">
        <v>160</v>
      </c>
      <c r="J46" s="10">
        <v>160</v>
      </c>
    </row>
    <row r="47" spans="1:13" x14ac:dyDescent="0.25">
      <c r="A47" s="6" t="s">
        <v>219</v>
      </c>
      <c r="C47" s="13">
        <v>160</v>
      </c>
      <c r="F47" s="27">
        <v>25</v>
      </c>
      <c r="G47" s="10">
        <v>150</v>
      </c>
      <c r="H47" s="10">
        <v>160</v>
      </c>
      <c r="I47" s="10">
        <v>160</v>
      </c>
      <c r="J47" s="10">
        <v>160</v>
      </c>
    </row>
    <row r="48" spans="1:13" x14ac:dyDescent="0.25">
      <c r="E48" s="7" t="s">
        <v>220</v>
      </c>
      <c r="F48" s="27">
        <v>30</v>
      </c>
      <c r="G48" s="10">
        <v>150</v>
      </c>
      <c r="H48" s="10">
        <v>160</v>
      </c>
      <c r="I48" s="10">
        <v>160</v>
      </c>
      <c r="J48" s="10">
        <v>160</v>
      </c>
    </row>
    <row r="49" spans="1:13" x14ac:dyDescent="0.25">
      <c r="F49" s="27">
        <v>35</v>
      </c>
      <c r="G49" s="10">
        <v>150</v>
      </c>
      <c r="H49" s="10">
        <v>160</v>
      </c>
      <c r="I49" s="10">
        <v>160</v>
      </c>
      <c r="J49" s="10">
        <v>160</v>
      </c>
    </row>
    <row r="50" spans="1:13" x14ac:dyDescent="0.25">
      <c r="F50" s="27">
        <v>40</v>
      </c>
      <c r="G50" s="10">
        <v>150</v>
      </c>
      <c r="H50" s="10">
        <v>160</v>
      </c>
      <c r="I50" s="10">
        <v>160</v>
      </c>
      <c r="J50" s="10">
        <v>160</v>
      </c>
    </row>
    <row r="51" spans="1:13" x14ac:dyDescent="0.25">
      <c r="A51" s="9" t="s">
        <v>221</v>
      </c>
    </row>
    <row r="52" spans="1:13" x14ac:dyDescent="0.25">
      <c r="A52" s="7" t="s">
        <v>222</v>
      </c>
      <c r="C52" s="7" t="s">
        <v>223</v>
      </c>
      <c r="D52" s="20">
        <v>4.2999999999999997E-2</v>
      </c>
      <c r="E52" s="20">
        <v>6.6000000000000003E-2</v>
      </c>
      <c r="F52" s="20">
        <v>4.5999999999999999E-2</v>
      </c>
      <c r="G52" s="20">
        <v>2.8000000000000001E-2</v>
      </c>
      <c r="H52" s="20">
        <v>4.7E-2</v>
      </c>
      <c r="I52" s="20">
        <v>5.1999999999999998E-2</v>
      </c>
      <c r="J52" s="20">
        <v>5.6000000000000001E-2</v>
      </c>
      <c r="K52" s="20">
        <v>0.03</v>
      </c>
      <c r="L52" s="20">
        <v>0.03</v>
      </c>
      <c r="M52" s="20">
        <v>0.03</v>
      </c>
    </row>
    <row r="53" spans="1:13" x14ac:dyDescent="0.25">
      <c r="A53" s="7"/>
      <c r="C53" s="7"/>
      <c r="D53" s="20"/>
      <c r="E53" s="20"/>
      <c r="F53" s="20"/>
      <c r="G53" s="20"/>
      <c r="H53" s="20"/>
      <c r="I53" s="20"/>
      <c r="J53" s="20"/>
      <c r="K53" s="20"/>
      <c r="L53" s="20"/>
      <c r="M53" s="20"/>
    </row>
    <row r="54" spans="1:13" x14ac:dyDescent="0.25">
      <c r="A54" s="7"/>
      <c r="C54" s="7"/>
      <c r="D54" s="20"/>
      <c r="E54" s="20"/>
      <c r="F54" s="20"/>
      <c r="G54" s="20"/>
      <c r="H54" s="20"/>
      <c r="I54" s="20"/>
      <c r="J54" s="20"/>
      <c r="K54" s="20"/>
      <c r="L54" s="20"/>
      <c r="M54" s="20"/>
    </row>
    <row r="55" spans="1:13" x14ac:dyDescent="0.25">
      <c r="A55" s="7" t="s">
        <v>224</v>
      </c>
      <c r="C55" s="20">
        <v>0.30399999999999999</v>
      </c>
      <c r="D55" s="20">
        <v>0.30299999999999999</v>
      </c>
      <c r="E55" s="20">
        <v>0.32900000000000001</v>
      </c>
      <c r="F55" s="20">
        <v>0.34100000000000003</v>
      </c>
      <c r="G55" s="20">
        <v>0.34499999999999997</v>
      </c>
      <c r="H55" s="20">
        <v>0.35799999999999998</v>
      </c>
      <c r="I55" s="20">
        <v>0.37</v>
      </c>
      <c r="J55" s="20">
        <v>0.38300000000000001</v>
      </c>
      <c r="K55" s="20">
        <v>0.38300000000000001</v>
      </c>
      <c r="L55" s="20">
        <v>0.38300000000000001</v>
      </c>
      <c r="M55" s="20">
        <v>0.38300000000000001</v>
      </c>
    </row>
    <row r="56" spans="1:13" x14ac:dyDescent="0.25">
      <c r="A56" s="7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 t="s">
        <v>107</v>
      </c>
      <c r="C58" s="20">
        <v>3.5999999999999997E-2</v>
      </c>
      <c r="D58" s="20">
        <v>3.4000000000000002E-2</v>
      </c>
      <c r="E58" s="20">
        <v>3.5000000000000003E-2</v>
      </c>
      <c r="F58" s="20">
        <v>0.05</v>
      </c>
      <c r="G58" s="20">
        <v>5.5E-2</v>
      </c>
      <c r="H58" s="20">
        <v>5.2999999999999999E-2</v>
      </c>
      <c r="I58" s="20">
        <v>5.0999999999999997E-2</v>
      </c>
      <c r="J58" s="20">
        <v>4.9000000000000002E-2</v>
      </c>
      <c r="K58" s="20">
        <v>4.9000000000000002E-2</v>
      </c>
      <c r="L58" s="20">
        <v>4.9000000000000002E-2</v>
      </c>
      <c r="M58" s="20">
        <v>4.9000000000000002E-2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</row>
    <row r="61" spans="1:13" x14ac:dyDescent="0.25">
      <c r="A61" s="7" t="s">
        <v>225</v>
      </c>
      <c r="C61" s="20">
        <v>0.26900000000000002</v>
      </c>
      <c r="D61" s="20">
        <v>0.27</v>
      </c>
      <c r="E61" s="20">
        <v>0.29499999999999998</v>
      </c>
      <c r="F61" s="20">
        <v>0.29099999999999998</v>
      </c>
      <c r="G61" s="20">
        <v>0.28999999999999998</v>
      </c>
      <c r="H61" s="20">
        <v>0.30499999999999999</v>
      </c>
      <c r="I61" s="20">
        <v>0.32</v>
      </c>
      <c r="J61" s="20">
        <v>0.33400000000000002</v>
      </c>
      <c r="K61" s="20">
        <v>0.33400000000000002</v>
      </c>
      <c r="L61" s="20">
        <v>0.33400000000000002</v>
      </c>
      <c r="M61" s="20">
        <v>0.33400000000000002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240</v>
      </c>
      <c r="C64" s="20">
        <v>0.04</v>
      </c>
      <c r="D64" s="20">
        <v>0.04</v>
      </c>
      <c r="E64" s="20">
        <v>0.04</v>
      </c>
      <c r="F64" s="20">
        <v>0.04</v>
      </c>
      <c r="G64" s="20">
        <v>0.04</v>
      </c>
      <c r="H64" s="20">
        <v>0.04</v>
      </c>
      <c r="I64" s="20">
        <v>0.04</v>
      </c>
      <c r="J64" s="20">
        <v>0.04</v>
      </c>
      <c r="K64" s="20">
        <v>0.04</v>
      </c>
      <c r="L64" s="20">
        <v>0.04</v>
      </c>
      <c r="M64" s="20">
        <v>0.04</v>
      </c>
    </row>
    <row r="65" spans="1:13" x14ac:dyDescent="0.25">
      <c r="A65" s="7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16" t="s">
        <v>127</v>
      </c>
    </row>
    <row r="68" spans="1:13" x14ac:dyDescent="0.25">
      <c r="A68" s="7" t="s">
        <v>227</v>
      </c>
    </row>
    <row r="69" spans="1:13" x14ac:dyDescent="0.25">
      <c r="A69" s="16" t="s">
        <v>61</v>
      </c>
      <c r="C69">
        <f>C58*C67</f>
        <v>0</v>
      </c>
    </row>
    <row r="70" spans="1:13" x14ac:dyDescent="0.25">
      <c r="A70" s="9" t="s">
        <v>62</v>
      </c>
      <c r="C70">
        <f>C69-C68</f>
        <v>0</v>
      </c>
      <c r="M70" s="17" t="s">
        <v>63</v>
      </c>
    </row>
    <row r="71" spans="1:13" x14ac:dyDescent="0.25">
      <c r="F71" s="5" t="s">
        <v>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M57"/>
  <sheetViews>
    <sheetView topLeftCell="B16" workbookViewId="0">
      <selection activeCell="C23" sqref="C23"/>
    </sheetView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255</v>
      </c>
    </row>
    <row r="3" spans="1:13" x14ac:dyDescent="0.25">
      <c r="A3" s="6" t="s">
        <v>9</v>
      </c>
    </row>
    <row r="4" spans="1:13" x14ac:dyDescent="0.25">
      <c r="A4" s="6" t="s">
        <v>252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138</v>
      </c>
      <c r="D8" s="10">
        <v>142</v>
      </c>
      <c r="E8" s="10">
        <v>147</v>
      </c>
      <c r="F8" s="10">
        <v>151</v>
      </c>
      <c r="G8" s="10">
        <v>155</v>
      </c>
      <c r="H8" s="10">
        <v>160</v>
      </c>
      <c r="I8" s="10">
        <v>165</v>
      </c>
      <c r="J8" s="10">
        <v>170</v>
      </c>
      <c r="K8" s="10">
        <v>175</v>
      </c>
      <c r="L8" s="10">
        <v>180</v>
      </c>
      <c r="M8" s="10">
        <v>186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138</v>
      </c>
      <c r="D10" s="10">
        <v>142</v>
      </c>
      <c r="E10" s="10">
        <v>147</v>
      </c>
      <c r="F10" s="10">
        <v>151</v>
      </c>
      <c r="G10" s="10">
        <v>155</v>
      </c>
      <c r="H10" s="10">
        <v>160</v>
      </c>
      <c r="I10" s="10">
        <v>165</v>
      </c>
      <c r="J10" s="10">
        <v>170</v>
      </c>
      <c r="K10" s="10">
        <v>175</v>
      </c>
      <c r="L10" s="10">
        <v>180</v>
      </c>
      <c r="M10" s="10">
        <v>186</v>
      </c>
    </row>
    <row r="11" spans="1:13" x14ac:dyDescent="0.25">
      <c r="A11" s="7"/>
      <c r="C11" s="10">
        <f>SUM(C8:C9)</f>
        <v>138</v>
      </c>
      <c r="D11" s="10">
        <f>SUM(D8:D9)</f>
        <v>142</v>
      </c>
      <c r="E11" s="10">
        <f>SUM(E8:E9)</f>
        <v>147</v>
      </c>
      <c r="F11" s="10">
        <f>SUM(F8:F9)</f>
        <v>151</v>
      </c>
      <c r="G11" s="10">
        <f>SUM(G8:G9)</f>
        <v>155</v>
      </c>
      <c r="H11" s="10">
        <f>SUM(H8:H9)</f>
        <v>160</v>
      </c>
      <c r="I11" s="10">
        <f>SUM(I8:I9)</f>
        <v>165</v>
      </c>
      <c r="J11" s="10">
        <f>SUM(J8:J9)</f>
        <v>170</v>
      </c>
      <c r="K11" s="10">
        <f>SUM(K8:K9)</f>
        <v>175</v>
      </c>
      <c r="L11" s="10">
        <f>SUM(L8:L9)</f>
        <v>180</v>
      </c>
      <c r="M11" s="10">
        <f>SUM(M8:M9)</f>
        <v>186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</row>
    <row r="13" spans="1:13" x14ac:dyDescent="0.25">
      <c r="A13" s="7" t="s">
        <v>206</v>
      </c>
      <c r="B13" s="7" t="s">
        <v>254</v>
      </c>
      <c r="C13" s="20">
        <v>0.66300000000000003</v>
      </c>
      <c r="D13" s="20">
        <v>0.59799999999999998</v>
      </c>
      <c r="E13" s="20">
        <v>0.53100000000000003</v>
      </c>
      <c r="F13" s="20">
        <v>0.46400000000000002</v>
      </c>
      <c r="G13" s="20">
        <v>0.39900000000000002</v>
      </c>
      <c r="H13" s="20">
        <v>0.33800000000000002</v>
      </c>
      <c r="I13" s="20">
        <v>0.28199999999999997</v>
      </c>
      <c r="J13" s="20">
        <v>0.23100000000000001</v>
      </c>
      <c r="K13" s="20">
        <v>0.185</v>
      </c>
      <c r="L13" s="20">
        <v>0.14599999999999999</v>
      </c>
      <c r="M13" s="20">
        <v>0.113</v>
      </c>
    </row>
    <row r="14" spans="1:13" x14ac:dyDescent="0.25">
      <c r="A14" s="7" t="s">
        <v>208</v>
      </c>
      <c r="C14" s="10">
        <v>92</v>
      </c>
      <c r="D14" s="10">
        <v>85</v>
      </c>
      <c r="E14" s="10">
        <v>78</v>
      </c>
      <c r="F14" s="10">
        <v>70</v>
      </c>
      <c r="G14" s="10">
        <v>62</v>
      </c>
      <c r="H14" s="10">
        <v>54</v>
      </c>
      <c r="I14" s="10">
        <v>46</v>
      </c>
      <c r="J14" s="10">
        <v>39</v>
      </c>
      <c r="K14" s="10">
        <v>32</v>
      </c>
      <c r="L14" s="10">
        <v>26</v>
      </c>
      <c r="M14" s="10">
        <v>21</v>
      </c>
    </row>
    <row r="15" spans="1:13" x14ac:dyDescent="0.25">
      <c r="A15" s="7"/>
      <c r="C15" s="10">
        <f>C10*C13</f>
        <v>91.494</v>
      </c>
      <c r="D15" s="10">
        <f>D10*D13</f>
        <v>84.915999999999997</v>
      </c>
      <c r="E15" s="10">
        <f>E10*E13</f>
        <v>78.057000000000002</v>
      </c>
      <c r="F15" s="10">
        <f>F10*F13</f>
        <v>70.064000000000007</v>
      </c>
      <c r="G15" s="10">
        <f>G10*G13</f>
        <v>61.845000000000006</v>
      </c>
      <c r="H15" s="10">
        <f>H10*H13</f>
        <v>54.080000000000005</v>
      </c>
      <c r="I15" s="10">
        <f>I10*I13</f>
        <v>46.529999999999994</v>
      </c>
      <c r="J15" s="10">
        <f>J10*J13</f>
        <v>39.270000000000003</v>
      </c>
      <c r="K15" s="10">
        <f>K10*K13</f>
        <v>32.375</v>
      </c>
      <c r="L15" s="10">
        <f>L10*L13</f>
        <v>26.279999999999998</v>
      </c>
      <c r="M15" s="10">
        <f>M10*M13</f>
        <v>21.018000000000001</v>
      </c>
    </row>
    <row r="16" spans="1:13" x14ac:dyDescent="0.25">
      <c r="A16" s="7"/>
      <c r="C16" s="10">
        <f>C15-C14</f>
        <v>-0.50600000000000023</v>
      </c>
      <c r="D16" s="10">
        <f>D15-D14</f>
        <v>-8.4000000000003183E-2</v>
      </c>
      <c r="E16" s="10">
        <f>E15-E14</f>
        <v>5.700000000000216E-2</v>
      </c>
      <c r="F16" s="10">
        <f>F15-F14</f>
        <v>6.4000000000007162E-2</v>
      </c>
      <c r="G16" s="10">
        <f>G15-G14</f>
        <v>-0.15499999999999403</v>
      </c>
      <c r="H16" s="10">
        <f>H15-H14</f>
        <v>8.00000000000054E-2</v>
      </c>
      <c r="I16" s="10">
        <f>I15-I14</f>
        <v>0.52999999999999403</v>
      </c>
      <c r="J16" s="10">
        <f>J15-J14</f>
        <v>0.27000000000000313</v>
      </c>
      <c r="K16" s="10">
        <f>K15-K14</f>
        <v>0.375</v>
      </c>
      <c r="L16" s="10">
        <f>L15-L14</f>
        <v>0.27999999999999758</v>
      </c>
      <c r="M16" s="10">
        <f>M15-M14</f>
        <v>1.8000000000000682E-2</v>
      </c>
    </row>
    <row r="17" spans="1:13" x14ac:dyDescent="0.25">
      <c r="A17" s="6" t="s">
        <v>205</v>
      </c>
      <c r="C17" s="13">
        <v>92</v>
      </c>
      <c r="D17" s="13">
        <v>85</v>
      </c>
      <c r="E17" s="13">
        <v>78</v>
      </c>
      <c r="F17" s="13">
        <v>70</v>
      </c>
      <c r="G17" s="13">
        <v>62</v>
      </c>
      <c r="H17" s="13">
        <v>54</v>
      </c>
      <c r="I17" s="13">
        <v>46</v>
      </c>
      <c r="J17" s="13">
        <v>39</v>
      </c>
      <c r="K17" s="13">
        <v>32</v>
      </c>
      <c r="L17" s="13">
        <v>26</v>
      </c>
      <c r="M17" s="13">
        <v>21</v>
      </c>
    </row>
    <row r="18" spans="1:13" x14ac:dyDescent="0.25">
      <c r="A18" s="6" t="s">
        <v>106</v>
      </c>
      <c r="C18" s="13">
        <v>35</v>
      </c>
      <c r="D18" s="13">
        <v>33</v>
      </c>
      <c r="E18" s="13">
        <v>30</v>
      </c>
      <c r="F18" s="13">
        <v>27</v>
      </c>
      <c r="G18" s="13">
        <v>24</v>
      </c>
      <c r="H18" s="13">
        <v>21</v>
      </c>
      <c r="I18" s="13">
        <v>18</v>
      </c>
      <c r="J18" s="13">
        <v>15</v>
      </c>
      <c r="K18" s="13">
        <v>12</v>
      </c>
      <c r="L18" s="13">
        <v>10</v>
      </c>
      <c r="M18" s="13">
        <v>8</v>
      </c>
    </row>
    <row r="19" spans="1:13" x14ac:dyDescent="0.25">
      <c r="A19" s="7" t="s">
        <v>107</v>
      </c>
      <c r="C19" s="19">
        <v>-4</v>
      </c>
      <c r="D19" s="19">
        <v>-4</v>
      </c>
      <c r="E19" s="19">
        <v>-4</v>
      </c>
      <c r="F19" s="19">
        <v>-3</v>
      </c>
      <c r="G19" s="19">
        <v>-3</v>
      </c>
      <c r="H19" s="19">
        <v>-3</v>
      </c>
      <c r="I19" s="19">
        <v>-2</v>
      </c>
      <c r="J19" s="19">
        <v>-2</v>
      </c>
      <c r="K19" s="19">
        <v>-2</v>
      </c>
      <c r="L19" s="19">
        <v>-1</v>
      </c>
      <c r="M19" s="19">
        <v>-1</v>
      </c>
    </row>
    <row r="20" spans="1:13" x14ac:dyDescent="0.25">
      <c r="A20" s="6" t="s">
        <v>211</v>
      </c>
      <c r="C20" s="13">
        <v>31</v>
      </c>
      <c r="D20" s="13">
        <v>28</v>
      </c>
      <c r="E20" s="13">
        <v>26</v>
      </c>
      <c r="F20" s="13">
        <v>23</v>
      </c>
      <c r="G20" s="13">
        <v>21</v>
      </c>
      <c r="H20" s="13">
        <v>18</v>
      </c>
      <c r="I20" s="13">
        <v>16</v>
      </c>
      <c r="J20" s="13">
        <v>13</v>
      </c>
      <c r="K20" s="13">
        <v>11</v>
      </c>
      <c r="L20" s="13">
        <v>9</v>
      </c>
      <c r="M20" s="13">
        <v>7</v>
      </c>
    </row>
    <row r="21" spans="1:13" x14ac:dyDescent="0.25">
      <c r="A21" s="6"/>
      <c r="C21" s="13">
        <f>SUM(C18,C19)</f>
        <v>31</v>
      </c>
      <c r="D21" s="13">
        <f>SUM(D18,D19)</f>
        <v>29</v>
      </c>
      <c r="E21" s="13">
        <f>SUM(E18,E19)</f>
        <v>26</v>
      </c>
      <c r="F21" s="13">
        <f>SUM(F18,F19)</f>
        <v>24</v>
      </c>
      <c r="G21" s="13">
        <f>SUM(G18,G19)</f>
        <v>21</v>
      </c>
      <c r="H21" s="13">
        <f>SUM(H18,H19)</f>
        <v>18</v>
      </c>
      <c r="I21" s="13">
        <f>SUM(I18,I19)</f>
        <v>16</v>
      </c>
      <c r="J21" s="13">
        <f>SUM(J18,J19)</f>
        <v>13</v>
      </c>
      <c r="K21" s="13">
        <f>SUM(K18,K19)</f>
        <v>10</v>
      </c>
      <c r="L21" s="13">
        <f>SUM(L18,L19)</f>
        <v>9</v>
      </c>
      <c r="M21" s="13">
        <f>SUM(M18,M19)</f>
        <v>7</v>
      </c>
    </row>
    <row r="22" spans="1:13" x14ac:dyDescent="0.25">
      <c r="A22" s="6"/>
      <c r="C22" s="13">
        <f>C21-C20</f>
        <v>0</v>
      </c>
      <c r="D22" s="13">
        <f>D21-D20</f>
        <v>1</v>
      </c>
      <c r="E22" s="13">
        <f>E21-E20</f>
        <v>0</v>
      </c>
      <c r="F22" s="13">
        <f>F21-F20</f>
        <v>1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0</v>
      </c>
      <c r="K22" s="13">
        <f>K21-K20</f>
        <v>-1</v>
      </c>
      <c r="L22" s="13">
        <f>L21-L20</f>
        <v>0</v>
      </c>
      <c r="M22" s="13">
        <f>M21-M20</f>
        <v>0</v>
      </c>
    </row>
    <row r="23" spans="1:13" x14ac:dyDescent="0.25">
      <c r="A23" s="7" t="s">
        <v>210</v>
      </c>
      <c r="B23" s="20">
        <v>1.4999999999999999E-2</v>
      </c>
      <c r="C23" s="19">
        <v>-1</v>
      </c>
      <c r="D23" s="19">
        <v>-1</v>
      </c>
      <c r="E23" s="19">
        <v>-1</v>
      </c>
      <c r="F23" s="19">
        <v>-1</v>
      </c>
      <c r="G23" s="19">
        <v>-1</v>
      </c>
      <c r="H23" s="19">
        <v>-1</v>
      </c>
      <c r="I23" s="19">
        <v>-1</v>
      </c>
      <c r="J23" s="19">
        <v>-1</v>
      </c>
      <c r="K23" s="19">
        <v>0</v>
      </c>
      <c r="L23" s="19">
        <v>0</v>
      </c>
      <c r="M23" s="19">
        <v>0</v>
      </c>
    </row>
    <row r="24" spans="1:13" x14ac:dyDescent="0.25">
      <c r="A24" s="7"/>
      <c r="B24" s="20"/>
      <c r="C24" s="19">
        <f>C10*B23</f>
        <v>2.0699999999999998</v>
      </c>
      <c r="D24" s="19">
        <f>D10*B23</f>
        <v>2.13</v>
      </c>
      <c r="E24" s="19">
        <f>E10*B23</f>
        <v>2.2050000000000001</v>
      </c>
      <c r="F24" s="19">
        <f>F10*B23</f>
        <v>2.2650000000000001</v>
      </c>
      <c r="G24" s="19">
        <f>G10*B23</f>
        <v>2.3249999999999997</v>
      </c>
      <c r="H24" s="19">
        <f>H10*B23</f>
        <v>2.4</v>
      </c>
      <c r="I24" s="19">
        <f>I10*B23</f>
        <v>2.4750000000000001</v>
      </c>
      <c r="J24" s="19">
        <f>J10*B23</f>
        <v>2.5499999999999998</v>
      </c>
      <c r="K24" s="19">
        <f>K10*B23</f>
        <v>2.625</v>
      </c>
      <c r="L24" s="19">
        <f>L10*B23</f>
        <v>2.6999999999999997</v>
      </c>
      <c r="M24" s="19">
        <f>M10*B23</f>
        <v>2.79</v>
      </c>
    </row>
    <row r="25" spans="1:13" x14ac:dyDescent="0.25">
      <c r="A25" s="7"/>
      <c r="B25" s="20"/>
      <c r="C25" s="19">
        <f>C24-C23</f>
        <v>3.07</v>
      </c>
      <c r="D25" s="19">
        <f>D24-D23</f>
        <v>3.13</v>
      </c>
      <c r="E25" s="19">
        <f>E24-E23</f>
        <v>3.2050000000000001</v>
      </c>
      <c r="F25" s="19">
        <f>F24-F23</f>
        <v>3.2650000000000001</v>
      </c>
      <c r="G25" s="19">
        <f>G24-G23</f>
        <v>3.3249999999999997</v>
      </c>
      <c r="H25" s="19">
        <f>H24-H23</f>
        <v>3.4</v>
      </c>
      <c r="I25" s="19">
        <f>I24-I23</f>
        <v>3.4750000000000001</v>
      </c>
      <c r="J25" s="19">
        <f>J24-J23</f>
        <v>3.55</v>
      </c>
      <c r="K25" s="19">
        <f>K24-K23</f>
        <v>2.625</v>
      </c>
      <c r="L25" s="19">
        <f>L24-L23</f>
        <v>2.6999999999999997</v>
      </c>
      <c r="M25" s="19">
        <f>M24-M23</f>
        <v>2.79</v>
      </c>
    </row>
    <row r="26" spans="1:13" x14ac:dyDescent="0.25">
      <c r="A26" s="6" t="s">
        <v>108</v>
      </c>
      <c r="C26" s="13">
        <v>29</v>
      </c>
      <c r="D26" s="13">
        <v>27</v>
      </c>
      <c r="E26" s="13">
        <v>25</v>
      </c>
      <c r="F26" s="13">
        <v>22</v>
      </c>
      <c r="G26" s="13">
        <v>20</v>
      </c>
      <c r="H26" s="13">
        <v>17</v>
      </c>
      <c r="I26" s="13">
        <v>15</v>
      </c>
      <c r="J26" s="13">
        <v>13</v>
      </c>
      <c r="K26" s="13">
        <v>10</v>
      </c>
      <c r="L26" s="13">
        <v>8</v>
      </c>
      <c r="M26" s="13">
        <v>7</v>
      </c>
    </row>
    <row r="27" spans="1:13" x14ac:dyDescent="0.25">
      <c r="A27" s="6"/>
      <c r="C27" s="13">
        <f>SUM(C20,C23)</f>
        <v>30</v>
      </c>
      <c r="D27" s="13">
        <f>SUM(D20,D23)</f>
        <v>27</v>
      </c>
      <c r="E27" s="13">
        <f>SUM(E20,E23)</f>
        <v>25</v>
      </c>
      <c r="F27" s="13">
        <f>SUM(F20,F23)</f>
        <v>22</v>
      </c>
      <c r="G27" s="13">
        <f>SUM(G20,G23)</f>
        <v>20</v>
      </c>
      <c r="H27" s="13">
        <f>SUM(H20,H23)</f>
        <v>17</v>
      </c>
      <c r="I27" s="13">
        <f>SUM(I20,I23)</f>
        <v>15</v>
      </c>
      <c r="J27" s="13">
        <f>SUM(J20,J23)</f>
        <v>12</v>
      </c>
      <c r="K27" s="13">
        <f>SUM(K20,K23)</f>
        <v>11</v>
      </c>
      <c r="L27" s="13">
        <f>SUM(L20,L23)</f>
        <v>9</v>
      </c>
      <c r="M27" s="13">
        <f>SUM(M20,M23)</f>
        <v>7</v>
      </c>
    </row>
    <row r="28" spans="1:13" x14ac:dyDescent="0.25">
      <c r="A28" s="6"/>
      <c r="C28" s="13">
        <f>C27-C26</f>
        <v>1</v>
      </c>
      <c r="D28" s="13">
        <f>D27-D26</f>
        <v>0</v>
      </c>
      <c r="E28" s="13">
        <f>E27-E26</f>
        <v>0</v>
      </c>
      <c r="F28" s="13">
        <f>F27-F26</f>
        <v>0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-1</v>
      </c>
      <c r="K28" s="13">
        <f>K27-K26</f>
        <v>1</v>
      </c>
      <c r="L28" s="13">
        <f>L27-L26</f>
        <v>1</v>
      </c>
      <c r="M28" s="13">
        <f>M27-M26</f>
        <v>0</v>
      </c>
    </row>
    <row r="29" spans="1:13" x14ac:dyDescent="0.25">
      <c r="A29" s="7" t="s">
        <v>212</v>
      </c>
      <c r="B29" s="20">
        <v>0.218</v>
      </c>
      <c r="C29" s="19">
        <v>-6</v>
      </c>
      <c r="D29" s="19">
        <v>-6</v>
      </c>
      <c r="E29" s="19">
        <v>-5</v>
      </c>
      <c r="F29" s="19">
        <v>-5</v>
      </c>
      <c r="G29" s="19">
        <v>-4</v>
      </c>
      <c r="H29" s="19">
        <v>-4</v>
      </c>
      <c r="I29" s="19">
        <v>-3</v>
      </c>
      <c r="J29" s="19">
        <v>-3</v>
      </c>
      <c r="K29" s="19">
        <v>-2</v>
      </c>
      <c r="L29" s="19">
        <v>-2</v>
      </c>
      <c r="M29" s="19">
        <v>-1</v>
      </c>
    </row>
    <row r="30" spans="1:13" x14ac:dyDescent="0.25">
      <c r="A30" s="7"/>
      <c r="B30" s="20"/>
      <c r="C30" s="19">
        <f>C26*B29</f>
        <v>6.3220000000000001</v>
      </c>
      <c r="D30" s="19">
        <f>D26*B29</f>
        <v>5.8860000000000001</v>
      </c>
      <c r="E30" s="19">
        <f>E26*B29</f>
        <v>5.45</v>
      </c>
      <c r="F30" s="19">
        <f>F26*B29</f>
        <v>4.7960000000000003</v>
      </c>
      <c r="G30" s="19">
        <f>G26*B29</f>
        <v>4.3600000000000003</v>
      </c>
      <c r="H30" s="19">
        <f>H26*B29</f>
        <v>3.706</v>
      </c>
      <c r="I30" s="19">
        <f>I26*B29</f>
        <v>3.27</v>
      </c>
      <c r="J30" s="19">
        <f>J26*B29</f>
        <v>2.8340000000000001</v>
      </c>
      <c r="K30" s="19">
        <f>K26*B29</f>
        <v>2.1800000000000002</v>
      </c>
      <c r="L30" s="19">
        <f>L26*B29</f>
        <v>1.744</v>
      </c>
      <c r="M30" s="19">
        <f>M26*B29</f>
        <v>1.526</v>
      </c>
    </row>
    <row r="31" spans="1:13" x14ac:dyDescent="0.25">
      <c r="A31" s="7"/>
      <c r="B31" s="20"/>
      <c r="C31" s="19">
        <f>C30-C29</f>
        <v>12.321999999999999</v>
      </c>
      <c r="D31" s="19">
        <f>D30-D29</f>
        <v>11.885999999999999</v>
      </c>
      <c r="E31" s="19">
        <f>E30-E29</f>
        <v>10.45</v>
      </c>
      <c r="F31" s="19">
        <f>F30-F29</f>
        <v>9.7959999999999994</v>
      </c>
      <c r="G31" s="19">
        <f>G30-G29</f>
        <v>8.36</v>
      </c>
      <c r="H31" s="19">
        <f>H30-H29</f>
        <v>7.7059999999999995</v>
      </c>
      <c r="I31" s="19">
        <f>I30-I29</f>
        <v>6.27</v>
      </c>
      <c r="J31" s="19">
        <f>J30-J29</f>
        <v>5.8339999999999996</v>
      </c>
      <c r="K31" s="19">
        <f>K30-K29</f>
        <v>4.18</v>
      </c>
      <c r="L31" s="19">
        <f>L30-L29</f>
        <v>3.7439999999999998</v>
      </c>
      <c r="M31" s="19">
        <f>M30-M29</f>
        <v>2.5259999999999998</v>
      </c>
    </row>
    <row r="32" spans="1:13" x14ac:dyDescent="0.25">
      <c r="A32" s="6" t="s">
        <v>213</v>
      </c>
      <c r="C32" s="13">
        <v>23</v>
      </c>
      <c r="D32" s="13">
        <v>21</v>
      </c>
      <c r="E32" s="13">
        <v>19</v>
      </c>
      <c r="F32" s="13">
        <v>17</v>
      </c>
      <c r="G32" s="13">
        <v>15</v>
      </c>
      <c r="H32" s="13">
        <v>14</v>
      </c>
      <c r="I32" s="13">
        <v>12</v>
      </c>
      <c r="J32" s="13">
        <v>10</v>
      </c>
      <c r="K32" s="13">
        <v>8</v>
      </c>
      <c r="L32" s="13">
        <v>7</v>
      </c>
      <c r="M32" s="13">
        <v>5</v>
      </c>
    </row>
    <row r="33" spans="1:13" x14ac:dyDescent="0.25">
      <c r="A33" s="6"/>
      <c r="C33" s="13">
        <f>SUM(C26,C29)</f>
        <v>23</v>
      </c>
      <c r="D33" s="13">
        <f>SUM(D26,D29)</f>
        <v>21</v>
      </c>
      <c r="E33" s="13">
        <f>SUM(E26,E29)</f>
        <v>20</v>
      </c>
      <c r="F33" s="13">
        <f>SUM(F26,F29)</f>
        <v>17</v>
      </c>
      <c r="G33" s="13">
        <f>SUM(G26,G29)</f>
        <v>16</v>
      </c>
      <c r="H33" s="13">
        <f>SUM(H26,H29)</f>
        <v>13</v>
      </c>
      <c r="I33" s="13">
        <f>SUM(I26,I29)</f>
        <v>12</v>
      </c>
      <c r="J33" s="13">
        <f>SUM(J26,J29)</f>
        <v>10</v>
      </c>
      <c r="K33" s="13">
        <f>SUM(K26,K29)</f>
        <v>8</v>
      </c>
      <c r="L33" s="13">
        <f>SUM(L26,L29)</f>
        <v>6</v>
      </c>
      <c r="M33" s="13">
        <f>SUM(M26,M29)</f>
        <v>6</v>
      </c>
    </row>
    <row r="34" spans="1:13" x14ac:dyDescent="0.25">
      <c r="A34" s="6"/>
      <c r="C34" s="13">
        <f>C33-C32</f>
        <v>0</v>
      </c>
      <c r="D34" s="13">
        <f>D33-D32</f>
        <v>0</v>
      </c>
      <c r="E34" s="13">
        <f>E33-E32</f>
        <v>1</v>
      </c>
      <c r="F34" s="13">
        <f>F33-F32</f>
        <v>0</v>
      </c>
      <c r="G34" s="13">
        <f>G33-G32</f>
        <v>1</v>
      </c>
      <c r="H34" s="13">
        <f>H33-H32</f>
        <v>-1</v>
      </c>
      <c r="I34" s="13">
        <f>I33-I32</f>
        <v>0</v>
      </c>
      <c r="J34" s="13">
        <f>J33-J32</f>
        <v>0</v>
      </c>
      <c r="K34" s="13">
        <f>K33-K32</f>
        <v>0</v>
      </c>
      <c r="L34" s="13">
        <f>L33-L32</f>
        <v>-1</v>
      </c>
      <c r="M34" s="13">
        <f>M33-M32</f>
        <v>1</v>
      </c>
    </row>
    <row r="35" spans="1:13" x14ac:dyDescent="0.25">
      <c r="A35" s="7" t="s">
        <v>214</v>
      </c>
      <c r="C35" s="19">
        <v>-4</v>
      </c>
      <c r="D35" s="19">
        <v>-3</v>
      </c>
      <c r="E35" s="19">
        <v>-3</v>
      </c>
      <c r="F35" s="19">
        <v>-3</v>
      </c>
      <c r="G35" s="19">
        <v>-2</v>
      </c>
      <c r="H35" s="19">
        <v>-2</v>
      </c>
      <c r="I35" s="19">
        <v>-2</v>
      </c>
      <c r="J35" s="19">
        <v>-2</v>
      </c>
      <c r="K35" s="19">
        <v>-1</v>
      </c>
      <c r="L35" s="19">
        <v>-1</v>
      </c>
      <c r="M35" s="19">
        <v>-1</v>
      </c>
    </row>
    <row r="36" spans="1:13" x14ac:dyDescent="0.25">
      <c r="A36" s="6" t="s">
        <v>215</v>
      </c>
      <c r="C36" s="13">
        <v>19</v>
      </c>
      <c r="D36" s="13">
        <v>18</v>
      </c>
      <c r="E36" s="13">
        <v>16</v>
      </c>
      <c r="F36" s="13">
        <v>15</v>
      </c>
      <c r="G36" s="13">
        <v>13</v>
      </c>
      <c r="H36" s="13">
        <v>11</v>
      </c>
      <c r="I36" s="13">
        <v>10</v>
      </c>
      <c r="J36" s="13">
        <v>8</v>
      </c>
      <c r="K36" s="13">
        <v>7</v>
      </c>
      <c r="L36" s="13">
        <v>6</v>
      </c>
      <c r="M36" s="13">
        <v>4</v>
      </c>
    </row>
    <row r="37" spans="1:13" x14ac:dyDescent="0.25">
      <c r="A37" s="6"/>
      <c r="C37" s="13">
        <f>SUM(C32,C35)</f>
        <v>19</v>
      </c>
      <c r="D37" s="13">
        <f>SUM(D32,D35)</f>
        <v>18</v>
      </c>
      <c r="E37" s="13">
        <f>SUM(E32,E35)</f>
        <v>16</v>
      </c>
      <c r="F37" s="13">
        <f>SUM(F32,F35)</f>
        <v>14</v>
      </c>
      <c r="G37" s="13">
        <f>SUM(G32,G35)</f>
        <v>13</v>
      </c>
      <c r="H37" s="13">
        <f>SUM(H32,H35)</f>
        <v>12</v>
      </c>
      <c r="I37" s="13">
        <f>SUM(I32,I35)</f>
        <v>10</v>
      </c>
      <c r="J37" s="13">
        <f>SUM(J32,J35)</f>
        <v>8</v>
      </c>
      <c r="K37" s="13">
        <f>SUM(K32,K35)</f>
        <v>7</v>
      </c>
      <c r="L37" s="13">
        <f>SUM(L32,L35)</f>
        <v>6</v>
      </c>
      <c r="M37" s="13">
        <f>SUM(M32,M35)</f>
        <v>4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-1</v>
      </c>
      <c r="G38" s="13">
        <f>G37-G36</f>
        <v>0</v>
      </c>
      <c r="H38" s="13">
        <f>H37-H36</f>
        <v>1</v>
      </c>
      <c r="I38" s="13">
        <f>I37-I36</f>
        <v>0</v>
      </c>
      <c r="J38" s="13">
        <f>J37-J36</f>
        <v>0</v>
      </c>
      <c r="K38" s="13">
        <f>K37-K36</f>
        <v>0</v>
      </c>
      <c r="L38" s="13">
        <f>L37-L36</f>
        <v>0</v>
      </c>
      <c r="M38" s="13">
        <f>M37-M36</f>
        <v>0</v>
      </c>
    </row>
    <row r="39" spans="1:13" x14ac:dyDescent="0.25">
      <c r="A39" s="7" t="s">
        <v>115</v>
      </c>
      <c r="B39" s="20">
        <v>0.11</v>
      </c>
      <c r="C39" s="23">
        <v>0.32590000000000002</v>
      </c>
      <c r="D39" s="23">
        <v>0.29360000000000003</v>
      </c>
      <c r="E39" s="23">
        <v>0.26450000000000001</v>
      </c>
      <c r="F39" s="23">
        <v>0.23830000000000001</v>
      </c>
      <c r="G39" s="23">
        <v>0.2147</v>
      </c>
      <c r="H39" s="23">
        <v>0.19339999999999999</v>
      </c>
      <c r="I39" s="23">
        <v>0.17419999999999999</v>
      </c>
      <c r="J39" s="24">
        <v>0.157</v>
      </c>
      <c r="K39" s="23">
        <v>0.1414</v>
      </c>
      <c r="L39" s="23">
        <v>0.12740000000000001</v>
      </c>
      <c r="M39" s="23">
        <v>0.1148</v>
      </c>
    </row>
    <row r="40" spans="1:13" x14ac:dyDescent="0.25">
      <c r="A40" s="6" t="s">
        <v>116</v>
      </c>
      <c r="C40" s="13">
        <v>6</v>
      </c>
      <c r="D40" s="13">
        <v>5</v>
      </c>
      <c r="E40" s="13">
        <v>4</v>
      </c>
      <c r="F40" s="13">
        <v>3</v>
      </c>
      <c r="G40" s="13">
        <v>3</v>
      </c>
      <c r="H40" s="13">
        <v>2</v>
      </c>
      <c r="I40" s="13">
        <v>2</v>
      </c>
      <c r="J40" s="13">
        <v>1</v>
      </c>
      <c r="K40" s="13">
        <v>1</v>
      </c>
      <c r="L40" s="13">
        <v>1</v>
      </c>
      <c r="M40" s="13">
        <v>1</v>
      </c>
    </row>
    <row r="41" spans="1:13" x14ac:dyDescent="0.25">
      <c r="A41" s="6"/>
      <c r="C41" s="13">
        <f>C36*C39</f>
        <v>6.1921000000000008</v>
      </c>
      <c r="D41" s="13">
        <f>D36*D39</f>
        <v>5.2848000000000006</v>
      </c>
      <c r="E41" s="13">
        <f>E36*E39</f>
        <v>4.2320000000000002</v>
      </c>
      <c r="F41" s="13">
        <f>F36*F39</f>
        <v>3.5745</v>
      </c>
      <c r="G41" s="13">
        <f>G36*G39</f>
        <v>2.7911000000000001</v>
      </c>
      <c r="H41" s="13">
        <f>H36*H39</f>
        <v>2.1273999999999997</v>
      </c>
      <c r="I41" s="13">
        <f>I36*I39</f>
        <v>1.742</v>
      </c>
      <c r="J41" s="13">
        <f>J36*J39</f>
        <v>1.256</v>
      </c>
      <c r="K41" s="13">
        <f>K36*K39</f>
        <v>0.98980000000000001</v>
      </c>
      <c r="L41" s="13">
        <f>L36*L39</f>
        <v>0.76440000000000008</v>
      </c>
      <c r="M41" s="13">
        <f>M36*M39</f>
        <v>0.4592</v>
      </c>
    </row>
    <row r="42" spans="1:13" x14ac:dyDescent="0.25">
      <c r="A42" s="6"/>
      <c r="C42" s="13">
        <f>C41-C40</f>
        <v>0.19210000000000083</v>
      </c>
      <c r="D42" s="13">
        <f>D41-D40</f>
        <v>0.28480000000000061</v>
      </c>
      <c r="E42" s="13">
        <f>E41-E40</f>
        <v>0.23200000000000021</v>
      </c>
      <c r="F42" s="13">
        <f>F41-F40</f>
        <v>0.57450000000000001</v>
      </c>
      <c r="G42" s="13">
        <f>G41-G40</f>
        <v>-0.20889999999999986</v>
      </c>
      <c r="H42" s="13">
        <f>H41-H40</f>
        <v>0.12739999999999974</v>
      </c>
      <c r="I42" s="13">
        <f>I41-I40</f>
        <v>-0.25800000000000001</v>
      </c>
      <c r="J42" s="13">
        <f>J41-J40</f>
        <v>0.25600000000000001</v>
      </c>
      <c r="K42" s="13">
        <f>K41-K40</f>
        <v>-1.0199999999999987E-2</v>
      </c>
      <c r="L42" s="13">
        <f>L41-L40</f>
        <v>-0.23559999999999992</v>
      </c>
      <c r="M42" s="13">
        <f>M41-M40</f>
        <v>-0.54079999999999995</v>
      </c>
    </row>
    <row r="43" spans="1:13" x14ac:dyDescent="0.25">
      <c r="A43" s="9" t="s">
        <v>221</v>
      </c>
    </row>
    <row r="44" spans="1:13" x14ac:dyDescent="0.25">
      <c r="A44" s="7" t="s">
        <v>222</v>
      </c>
      <c r="C44" s="20">
        <v>0.03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  <c r="L44" s="20">
        <v>0.03</v>
      </c>
      <c r="M44" s="20">
        <v>0.03</v>
      </c>
    </row>
    <row r="45" spans="1:13" x14ac:dyDescent="0.25">
      <c r="A45" s="7" t="s">
        <v>224</v>
      </c>
      <c r="C45" s="20">
        <v>0.38300000000000001</v>
      </c>
      <c r="D45" s="20">
        <v>0.38300000000000001</v>
      </c>
      <c r="E45" s="20">
        <v>0.38300000000000001</v>
      </c>
      <c r="F45" s="20">
        <v>0.38300000000000001</v>
      </c>
      <c r="G45" s="20">
        <v>0.38300000000000001</v>
      </c>
      <c r="H45" s="20">
        <v>0.38300000000000001</v>
      </c>
      <c r="I45" s="20">
        <v>0.38300000000000001</v>
      </c>
      <c r="J45" s="20">
        <v>0.38300000000000001</v>
      </c>
      <c r="K45" s="20">
        <v>0.38300000000000001</v>
      </c>
      <c r="L45" s="20">
        <v>0.38300000000000001</v>
      </c>
      <c r="M45" s="20">
        <v>0.38300000000000001</v>
      </c>
    </row>
    <row r="46" spans="1:13" x14ac:dyDescent="0.25">
      <c r="A46" s="7" t="s">
        <v>107</v>
      </c>
      <c r="C46" s="20">
        <v>4.9000000000000002E-2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  <c r="L46" s="20">
        <v>4.9000000000000002E-2</v>
      </c>
      <c r="M46" s="20">
        <v>4.9000000000000002E-2</v>
      </c>
    </row>
    <row r="47" spans="1:13" x14ac:dyDescent="0.25">
      <c r="A47" s="7" t="s">
        <v>225</v>
      </c>
      <c r="C47" s="20">
        <v>0.33400000000000002</v>
      </c>
      <c r="D47" s="20">
        <v>0.33400000000000002</v>
      </c>
      <c r="E47" s="20">
        <v>0.33400000000000002</v>
      </c>
      <c r="F47" s="20">
        <v>0.33400000000000002</v>
      </c>
      <c r="G47" s="20">
        <v>0.33400000000000002</v>
      </c>
      <c r="H47" s="20">
        <v>0.33400000000000002</v>
      </c>
      <c r="I47" s="20">
        <v>0.33400000000000002</v>
      </c>
      <c r="J47" s="20">
        <v>0.33400000000000002</v>
      </c>
      <c r="K47" s="20">
        <v>0.33400000000000002</v>
      </c>
      <c r="L47" s="20">
        <v>0.33400000000000002</v>
      </c>
      <c r="M47" s="20">
        <v>0.33400000000000002</v>
      </c>
    </row>
    <row r="48" spans="1:13" x14ac:dyDescent="0.25">
      <c r="A48" s="7" t="s">
        <v>240</v>
      </c>
      <c r="C48" s="20">
        <v>0.04</v>
      </c>
      <c r="D48" s="20">
        <v>0.04</v>
      </c>
      <c r="E48" s="20">
        <v>0.04</v>
      </c>
      <c r="F48" s="20">
        <v>0.04</v>
      </c>
      <c r="G48" s="20">
        <v>0.04</v>
      </c>
      <c r="H48" s="20">
        <v>0.04</v>
      </c>
      <c r="I48" s="20">
        <v>0.04</v>
      </c>
      <c r="J48" s="20">
        <v>0.04</v>
      </c>
      <c r="K48" s="20">
        <v>0.04</v>
      </c>
      <c r="L48" s="20">
        <v>0.04</v>
      </c>
      <c r="M48" s="20">
        <v>0.04</v>
      </c>
    </row>
    <row r="49" spans="1:13" x14ac:dyDescent="0.25">
      <c r="A49" s="16" t="s">
        <v>127</v>
      </c>
    </row>
    <row r="50" spans="1:13" x14ac:dyDescent="0.25">
      <c r="A50" s="7" t="s">
        <v>227</v>
      </c>
    </row>
    <row r="51" spans="1:13" x14ac:dyDescent="0.25">
      <c r="A51" s="16" t="s">
        <v>61</v>
      </c>
    </row>
    <row r="52" spans="1:13" x14ac:dyDescent="0.25">
      <c r="A52" s="9" t="s">
        <v>62</v>
      </c>
      <c r="M52" s="17" t="s">
        <v>63</v>
      </c>
    </row>
    <row r="53" spans="1:13" x14ac:dyDescent="0.25">
      <c r="A53" s="9"/>
      <c r="M53" s="17"/>
    </row>
    <row r="54" spans="1:13" x14ac:dyDescent="0.25">
      <c r="A54" s="9"/>
      <c r="M54" s="17"/>
    </row>
    <row r="55" spans="1:13" x14ac:dyDescent="0.25">
      <c r="F55" s="5" t="s">
        <v>6</v>
      </c>
    </row>
    <row r="56" spans="1:13" x14ac:dyDescent="0.25">
      <c r="F56" s="5"/>
    </row>
    <row r="57" spans="1:13" x14ac:dyDescent="0.25">
      <c r="F57" s="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M57"/>
  <sheetViews>
    <sheetView topLeftCell="A25"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256</v>
      </c>
    </row>
    <row r="3" spans="1:13" x14ac:dyDescent="0.25">
      <c r="A3" s="6" t="s">
        <v>9</v>
      </c>
    </row>
    <row r="4" spans="1:13" x14ac:dyDescent="0.25">
      <c r="A4" s="6" t="s">
        <v>252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191</v>
      </c>
      <c r="D8" s="10">
        <v>197</v>
      </c>
      <c r="E8" s="10">
        <v>203</v>
      </c>
      <c r="F8" s="10">
        <v>209</v>
      </c>
      <c r="G8" s="10">
        <v>215</v>
      </c>
      <c r="H8" s="10">
        <v>222</v>
      </c>
      <c r="I8" s="10">
        <v>228</v>
      </c>
      <c r="J8" s="10">
        <v>235</v>
      </c>
      <c r="K8" s="10">
        <v>242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191</v>
      </c>
      <c r="D10" s="10">
        <v>197</v>
      </c>
      <c r="E10" s="10">
        <v>203</v>
      </c>
      <c r="F10" s="10">
        <v>209</v>
      </c>
      <c r="G10" s="10">
        <v>215</v>
      </c>
      <c r="H10" s="10">
        <v>222</v>
      </c>
      <c r="I10" s="10">
        <v>228</v>
      </c>
      <c r="J10" s="10">
        <v>235</v>
      </c>
      <c r="K10" s="10">
        <v>242</v>
      </c>
    </row>
    <row r="11" spans="1:13" x14ac:dyDescent="0.25">
      <c r="A11" s="7"/>
      <c r="C11" s="10">
        <f>SUM(C8:C9)</f>
        <v>191</v>
      </c>
      <c r="D11" s="10">
        <f>SUM(D8:D9)</f>
        <v>197</v>
      </c>
      <c r="E11" s="10">
        <f>SUM(E8:E9)</f>
        <v>203</v>
      </c>
      <c r="F11" s="10">
        <f>SUM(F8:F9)</f>
        <v>209</v>
      </c>
      <c r="G11" s="10">
        <f>SUM(G8:G9)</f>
        <v>215</v>
      </c>
      <c r="H11" s="10">
        <f>SUM(H8:H9)</f>
        <v>222</v>
      </c>
      <c r="I11" s="10">
        <f>SUM(I8:I9)</f>
        <v>228</v>
      </c>
      <c r="J11" s="10">
        <f>SUM(J8:J9)</f>
        <v>235</v>
      </c>
      <c r="K11" s="10">
        <f>SUM(K8:K9)</f>
        <v>242</v>
      </c>
      <c r="L11">
        <f>SUM(L8:L9)</f>
        <v>0</v>
      </c>
      <c r="M11">
        <f>SUM(M8:M9)</f>
        <v>0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206</v>
      </c>
      <c r="B13" s="7" t="s">
        <v>254</v>
      </c>
      <c r="C13" s="20">
        <v>8.5999999999999993E-2</v>
      </c>
      <c r="D13" s="20">
        <v>6.4000000000000001E-2</v>
      </c>
      <c r="E13" s="20">
        <v>4.7E-2</v>
      </c>
      <c r="F13" s="20">
        <v>3.3000000000000002E-2</v>
      </c>
      <c r="G13" s="20">
        <v>2.3E-2</v>
      </c>
      <c r="H13" s="20">
        <v>1.6E-2</v>
      </c>
      <c r="I13" s="20">
        <v>1.0999999999999999E-2</v>
      </c>
      <c r="J13" s="20">
        <v>7.0000000000000001E-3</v>
      </c>
      <c r="K13" s="20">
        <v>5.0000000000000001E-3</v>
      </c>
    </row>
    <row r="14" spans="1:13" x14ac:dyDescent="0.25">
      <c r="A14" s="7" t="s">
        <v>208</v>
      </c>
      <c r="C14" s="10">
        <v>16</v>
      </c>
      <c r="D14" s="10">
        <v>13</v>
      </c>
      <c r="E14" s="10">
        <v>9</v>
      </c>
      <c r="F14" s="10">
        <v>7</v>
      </c>
      <c r="G14" s="10">
        <v>5</v>
      </c>
      <c r="H14" s="10">
        <v>4</v>
      </c>
      <c r="I14" s="10">
        <v>2</v>
      </c>
      <c r="J14" s="10">
        <v>2</v>
      </c>
      <c r="K14" s="10">
        <v>1</v>
      </c>
    </row>
    <row r="15" spans="1:13" x14ac:dyDescent="0.25">
      <c r="A15" s="7"/>
      <c r="C15" s="10">
        <f>C10*C13</f>
        <v>16.425999999999998</v>
      </c>
      <c r="D15" s="10">
        <f>D10*D13</f>
        <v>12.608000000000001</v>
      </c>
      <c r="E15" s="10">
        <f>E10*E13</f>
        <v>9.5410000000000004</v>
      </c>
      <c r="F15" s="10">
        <f>F10*F13</f>
        <v>6.8970000000000002</v>
      </c>
      <c r="G15" s="10">
        <f>G10*G13</f>
        <v>4.9450000000000003</v>
      </c>
      <c r="H15" s="10">
        <f>H10*H13</f>
        <v>3.552</v>
      </c>
      <c r="I15" s="10">
        <f>I10*I13</f>
        <v>2.508</v>
      </c>
      <c r="J15" s="10">
        <f>J10*J13</f>
        <v>1.645</v>
      </c>
      <c r="K15" s="10">
        <f>K10*K13</f>
        <v>1.21</v>
      </c>
      <c r="L15">
        <f>L10*L13</f>
        <v>0</v>
      </c>
      <c r="M15">
        <f>M10*M13</f>
        <v>0</v>
      </c>
    </row>
    <row r="16" spans="1:13" x14ac:dyDescent="0.25">
      <c r="A16" s="7"/>
      <c r="C16" s="10">
        <f>C15-C14</f>
        <v>0.42599999999999838</v>
      </c>
      <c r="D16" s="10">
        <f>D15-D14</f>
        <v>-0.39199999999999946</v>
      </c>
      <c r="E16" s="10">
        <f>E15-E14</f>
        <v>0.54100000000000037</v>
      </c>
      <c r="F16" s="10">
        <f>F15-F14</f>
        <v>-0.10299999999999976</v>
      </c>
      <c r="G16" s="10">
        <f>G15-G14</f>
        <v>-5.4999999999999716E-2</v>
      </c>
      <c r="H16" s="10">
        <f>H15-H14</f>
        <v>-0.44799999999999995</v>
      </c>
      <c r="I16" s="10">
        <f>I15-I14</f>
        <v>0.50800000000000001</v>
      </c>
      <c r="J16" s="10">
        <f>J15-J14</f>
        <v>-0.35499999999999998</v>
      </c>
      <c r="K16" s="10">
        <f>K15-K14</f>
        <v>0.20999999999999996</v>
      </c>
      <c r="L16">
        <f>L15-L14</f>
        <v>0</v>
      </c>
      <c r="M16">
        <f>M15-M14</f>
        <v>0</v>
      </c>
    </row>
    <row r="17" spans="1:13" x14ac:dyDescent="0.25">
      <c r="A17" s="6" t="s">
        <v>205</v>
      </c>
      <c r="C17" s="13">
        <v>16</v>
      </c>
      <c r="D17" s="13">
        <v>13</v>
      </c>
      <c r="E17" s="13">
        <v>9</v>
      </c>
      <c r="F17" s="13">
        <v>7</v>
      </c>
      <c r="G17" s="13">
        <v>5</v>
      </c>
      <c r="H17" s="13">
        <v>4</v>
      </c>
      <c r="I17" s="13">
        <v>2</v>
      </c>
      <c r="J17" s="13">
        <v>2</v>
      </c>
      <c r="K17" s="13">
        <v>1</v>
      </c>
    </row>
    <row r="18" spans="1:13" x14ac:dyDescent="0.25">
      <c r="A18" s="6" t="s">
        <v>106</v>
      </c>
      <c r="C18" s="13">
        <v>6</v>
      </c>
      <c r="D18" s="13">
        <v>5</v>
      </c>
      <c r="E18" s="13">
        <v>4</v>
      </c>
      <c r="F18" s="13">
        <v>3</v>
      </c>
      <c r="G18" s="13">
        <v>2</v>
      </c>
      <c r="H18" s="13">
        <v>1</v>
      </c>
      <c r="I18" s="13">
        <v>1</v>
      </c>
      <c r="J18" s="13">
        <v>1</v>
      </c>
      <c r="K18" s="13">
        <v>0</v>
      </c>
    </row>
    <row r="19" spans="1:13" x14ac:dyDescent="0.25">
      <c r="A19" s="7" t="s">
        <v>107</v>
      </c>
      <c r="C19" s="19">
        <v>-1</v>
      </c>
      <c r="D19" s="19">
        <v>-1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</row>
    <row r="20" spans="1:13" x14ac:dyDescent="0.25">
      <c r="A20" s="6" t="s">
        <v>211</v>
      </c>
      <c r="C20" s="13">
        <v>6</v>
      </c>
      <c r="D20" s="13">
        <v>4</v>
      </c>
      <c r="E20" s="13">
        <v>3</v>
      </c>
      <c r="F20" s="13">
        <v>2</v>
      </c>
      <c r="G20" s="13">
        <v>2</v>
      </c>
      <c r="H20" s="13">
        <v>1</v>
      </c>
      <c r="I20" s="13">
        <v>1</v>
      </c>
      <c r="J20" s="13">
        <v>1</v>
      </c>
      <c r="K20" s="13">
        <v>0</v>
      </c>
    </row>
    <row r="21" spans="1:13" x14ac:dyDescent="0.25">
      <c r="A21" s="6"/>
      <c r="C21" s="13">
        <f>SUM(C18,C19)</f>
        <v>5</v>
      </c>
      <c r="D21" s="13">
        <f>SUM(D18,D19)</f>
        <v>4</v>
      </c>
      <c r="E21" s="13">
        <f>SUM(E18,E19)</f>
        <v>4</v>
      </c>
      <c r="F21" s="13">
        <f>SUM(F18,F19)</f>
        <v>3</v>
      </c>
      <c r="G21" s="13">
        <f>SUM(G18,G19)</f>
        <v>2</v>
      </c>
      <c r="H21" s="13">
        <f>SUM(H18,H19)</f>
        <v>1</v>
      </c>
      <c r="I21" s="13">
        <f>SUM(I18,I19)</f>
        <v>1</v>
      </c>
      <c r="J21" s="13">
        <f>SUM(J18,J19)</f>
        <v>1</v>
      </c>
      <c r="K21" s="13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6"/>
      <c r="C22" s="13">
        <f>C21-C20</f>
        <v>-1</v>
      </c>
      <c r="D22" s="13">
        <f>D21-D20</f>
        <v>0</v>
      </c>
      <c r="E22" s="13">
        <f>E21-E20</f>
        <v>1</v>
      </c>
      <c r="F22" s="13">
        <f>F21-F20</f>
        <v>1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0</v>
      </c>
      <c r="K22" s="13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210</v>
      </c>
      <c r="B23" s="20">
        <v>1.4999999999999999E-2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</row>
    <row r="24" spans="1:13" x14ac:dyDescent="0.25">
      <c r="A24" s="7"/>
      <c r="B24" s="20"/>
      <c r="C24" s="19">
        <f>C10*B23</f>
        <v>2.8649999999999998</v>
      </c>
      <c r="D24" s="19">
        <f>D10*B23</f>
        <v>2.9550000000000001</v>
      </c>
      <c r="E24" s="19">
        <f>E10*B23</f>
        <v>3.0449999999999999</v>
      </c>
      <c r="F24" s="19">
        <f>F10*B23</f>
        <v>3.1349999999999998</v>
      </c>
      <c r="G24" s="19">
        <f>G10*B23</f>
        <v>3.2250000000000001</v>
      </c>
      <c r="H24" s="19">
        <f>H10*B23</f>
        <v>3.33</v>
      </c>
      <c r="I24" s="19">
        <f>I10*B23</f>
        <v>3.42</v>
      </c>
      <c r="J24" s="19">
        <f>J10*B23</f>
        <v>3.5249999999999999</v>
      </c>
      <c r="K24" s="19">
        <f>K10*B23</f>
        <v>3.63</v>
      </c>
      <c r="L24">
        <f>L10*B23</f>
        <v>0</v>
      </c>
      <c r="M24">
        <f>M10*B23</f>
        <v>0</v>
      </c>
    </row>
    <row r="25" spans="1:13" x14ac:dyDescent="0.25">
      <c r="A25" s="7"/>
      <c r="B25" s="20"/>
      <c r="C25" s="19">
        <f>C24-C23</f>
        <v>2.8649999999999998</v>
      </c>
      <c r="D25" s="19">
        <f>D24-D23</f>
        <v>2.9550000000000001</v>
      </c>
      <c r="E25" s="19">
        <f>E24-E23</f>
        <v>3.0449999999999999</v>
      </c>
      <c r="F25" s="19">
        <f>F24-F23</f>
        <v>3.1349999999999998</v>
      </c>
      <c r="G25" s="19">
        <f>G24-G23</f>
        <v>3.2250000000000001</v>
      </c>
      <c r="H25" s="19">
        <f>H24-H23</f>
        <v>3.33</v>
      </c>
      <c r="I25" s="19">
        <f>I24-I23</f>
        <v>3.42</v>
      </c>
      <c r="J25" s="19">
        <f>J24-J23</f>
        <v>3.5249999999999999</v>
      </c>
      <c r="K25" s="19">
        <f>K24-K23</f>
        <v>3.63</v>
      </c>
      <c r="L25">
        <f>L24-L23</f>
        <v>0</v>
      </c>
      <c r="M25">
        <f>M24-M23</f>
        <v>0</v>
      </c>
    </row>
    <row r="26" spans="1:13" x14ac:dyDescent="0.25">
      <c r="A26" s="6" t="s">
        <v>108</v>
      </c>
      <c r="C26" s="13">
        <v>5</v>
      </c>
      <c r="D26" s="13">
        <v>4</v>
      </c>
      <c r="E26" s="13">
        <v>3</v>
      </c>
      <c r="F26" s="13">
        <v>2</v>
      </c>
      <c r="G26" s="13">
        <v>2</v>
      </c>
      <c r="H26" s="13">
        <v>1</v>
      </c>
      <c r="I26" s="13">
        <v>1</v>
      </c>
      <c r="J26" s="13">
        <v>1</v>
      </c>
      <c r="K26" s="13">
        <v>0</v>
      </c>
    </row>
    <row r="27" spans="1:13" x14ac:dyDescent="0.25">
      <c r="A27" s="6"/>
      <c r="C27" s="13">
        <f>SUM(C20,C23)</f>
        <v>6</v>
      </c>
      <c r="D27" s="13">
        <f>SUM(D20,D23)</f>
        <v>4</v>
      </c>
      <c r="E27" s="13">
        <f>SUM(E20,E23)</f>
        <v>3</v>
      </c>
      <c r="F27" s="13">
        <f>SUM(F20,F23)</f>
        <v>2</v>
      </c>
      <c r="G27" s="13">
        <f>SUM(G20,G23)</f>
        <v>2</v>
      </c>
      <c r="H27" s="13">
        <f>SUM(H20,H23)</f>
        <v>1</v>
      </c>
      <c r="I27" s="13">
        <f>SUM(I20,I23)</f>
        <v>1</v>
      </c>
      <c r="J27" s="13">
        <f>SUM(J20,J23)</f>
        <v>1</v>
      </c>
      <c r="K27" s="13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6"/>
      <c r="C28" s="13">
        <f>C27-C26</f>
        <v>1</v>
      </c>
      <c r="D28" s="13">
        <f>D27-D26</f>
        <v>0</v>
      </c>
      <c r="E28" s="13">
        <f>E27-E26</f>
        <v>0</v>
      </c>
      <c r="F28" s="13">
        <f>F27-F26</f>
        <v>0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212</v>
      </c>
      <c r="B29" s="20">
        <v>0.218</v>
      </c>
      <c r="C29" s="19">
        <v>-1</v>
      </c>
      <c r="D29" s="19">
        <v>-1</v>
      </c>
      <c r="E29" s="19">
        <v>-1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</row>
    <row r="30" spans="1:13" x14ac:dyDescent="0.25">
      <c r="A30" s="7"/>
      <c r="B30" s="20"/>
      <c r="C30" s="19">
        <f>C26*B29</f>
        <v>1.0900000000000001</v>
      </c>
      <c r="D30" s="19">
        <f>D26*B29</f>
        <v>0.872</v>
      </c>
      <c r="E30" s="19">
        <f>E26*B29</f>
        <v>0.65400000000000003</v>
      </c>
      <c r="F30" s="19">
        <f>F26*B29</f>
        <v>0.436</v>
      </c>
      <c r="G30" s="19">
        <f>G26*B29</f>
        <v>0.436</v>
      </c>
      <c r="H30" s="19">
        <f>H26*B29</f>
        <v>0.218</v>
      </c>
      <c r="I30" s="19">
        <f>I26*B29</f>
        <v>0.218</v>
      </c>
      <c r="J30" s="19">
        <f>J26*B29</f>
        <v>0.218</v>
      </c>
      <c r="K30" s="19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B31" s="20"/>
      <c r="C31" s="19">
        <f>C30-C29</f>
        <v>2.09</v>
      </c>
      <c r="D31" s="19">
        <f>D30-D29</f>
        <v>1.8719999999999999</v>
      </c>
      <c r="E31" s="19">
        <f>E30-E29</f>
        <v>1.6539999999999999</v>
      </c>
      <c r="F31" s="19">
        <f>F30-F29</f>
        <v>0.436</v>
      </c>
      <c r="G31" s="19">
        <f>G30-G29</f>
        <v>0.436</v>
      </c>
      <c r="H31" s="19">
        <f>H30-H29</f>
        <v>0.218</v>
      </c>
      <c r="I31" s="19">
        <f>I30-I29</f>
        <v>0.218</v>
      </c>
      <c r="J31" s="19">
        <f>J30-J29</f>
        <v>0.218</v>
      </c>
      <c r="K31" s="19">
        <f>K30-K29</f>
        <v>0</v>
      </c>
      <c r="L31">
        <f>L30-L29</f>
        <v>0</v>
      </c>
      <c r="M31">
        <f>M30-M29</f>
        <v>0</v>
      </c>
    </row>
    <row r="32" spans="1:13" x14ac:dyDescent="0.25">
      <c r="A32" s="6" t="s">
        <v>213</v>
      </c>
      <c r="C32" s="13">
        <v>4</v>
      </c>
      <c r="D32" s="13">
        <v>3</v>
      </c>
      <c r="E32" s="13">
        <v>2</v>
      </c>
      <c r="F32" s="13">
        <v>2</v>
      </c>
      <c r="G32" s="13">
        <v>1</v>
      </c>
      <c r="H32" s="13">
        <v>1</v>
      </c>
      <c r="I32" s="13">
        <v>1</v>
      </c>
      <c r="J32" s="13">
        <v>0</v>
      </c>
      <c r="K32" s="13">
        <v>0</v>
      </c>
    </row>
    <row r="33" spans="1:13" x14ac:dyDescent="0.25">
      <c r="A33" s="6"/>
      <c r="C33" s="13">
        <f>SUM(C26,C29)</f>
        <v>4</v>
      </c>
      <c r="D33" s="13">
        <f>SUM(D26,D29)</f>
        <v>3</v>
      </c>
      <c r="E33" s="13">
        <f>SUM(E26,E29)</f>
        <v>2</v>
      </c>
      <c r="F33" s="13">
        <f>SUM(F26,F29)</f>
        <v>2</v>
      </c>
      <c r="G33" s="13">
        <f>SUM(G26,G29)</f>
        <v>2</v>
      </c>
      <c r="H33" s="13">
        <f>SUM(H26,H29)</f>
        <v>1</v>
      </c>
      <c r="I33" s="13">
        <f>SUM(I26,I29)</f>
        <v>1</v>
      </c>
      <c r="J33" s="13">
        <f>SUM(J26,J29)</f>
        <v>1</v>
      </c>
      <c r="K33" s="1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6"/>
      <c r="C34" s="13">
        <f>C33-C32</f>
        <v>0</v>
      </c>
      <c r="D34" s="13">
        <f>D33-D32</f>
        <v>0</v>
      </c>
      <c r="E34" s="13">
        <f>E33-E32</f>
        <v>0</v>
      </c>
      <c r="F34" s="13">
        <f>F33-F32</f>
        <v>0</v>
      </c>
      <c r="G34" s="13">
        <f>G33-G32</f>
        <v>1</v>
      </c>
      <c r="H34" s="13">
        <f>H33-H32</f>
        <v>0</v>
      </c>
      <c r="I34" s="13">
        <f>I33-I32</f>
        <v>0</v>
      </c>
      <c r="J34" s="13">
        <f>J33-J32</f>
        <v>1</v>
      </c>
      <c r="K34" s="13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214</v>
      </c>
      <c r="C35" s="19">
        <v>-1</v>
      </c>
      <c r="D35" s="19">
        <v>-1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</row>
    <row r="36" spans="1:13" x14ac:dyDescent="0.25">
      <c r="A36" s="6" t="s">
        <v>215</v>
      </c>
      <c r="C36" s="13">
        <v>3</v>
      </c>
      <c r="D36" s="13">
        <v>3</v>
      </c>
      <c r="E36" s="13">
        <v>2</v>
      </c>
      <c r="F36" s="13">
        <v>1</v>
      </c>
      <c r="G36" s="13">
        <v>1</v>
      </c>
      <c r="H36" s="13">
        <v>1</v>
      </c>
      <c r="I36" s="13">
        <v>1</v>
      </c>
      <c r="J36" s="13">
        <v>0</v>
      </c>
      <c r="K36" s="13">
        <v>0</v>
      </c>
    </row>
    <row r="37" spans="1:13" x14ac:dyDescent="0.25">
      <c r="A37" s="6"/>
      <c r="C37" s="13">
        <f>SUM(C32,C35)</f>
        <v>3</v>
      </c>
      <c r="D37" s="13">
        <f>SUM(D32,D35)</f>
        <v>2</v>
      </c>
      <c r="E37" s="13">
        <f>SUM(E32,E35)</f>
        <v>2</v>
      </c>
      <c r="F37" s="13">
        <f>SUM(F32,F35)</f>
        <v>2</v>
      </c>
      <c r="G37" s="13">
        <f>SUM(G32,G35)</f>
        <v>1</v>
      </c>
      <c r="H37" s="13">
        <f>SUM(H32,H35)</f>
        <v>1</v>
      </c>
      <c r="I37" s="13">
        <f>SUM(I32,I35)</f>
        <v>1</v>
      </c>
      <c r="J37" s="13">
        <f>SUM(J32,J35)</f>
        <v>0</v>
      </c>
      <c r="K37" s="13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6"/>
      <c r="C38" s="13">
        <f>C37-C36</f>
        <v>0</v>
      </c>
      <c r="D38" s="13">
        <f>D37-D36</f>
        <v>-1</v>
      </c>
      <c r="E38" s="13">
        <f>E37-E36</f>
        <v>0</v>
      </c>
      <c r="F38" s="13">
        <f>F37-F36</f>
        <v>1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115</v>
      </c>
      <c r="B39" s="20">
        <v>0.11</v>
      </c>
      <c r="C39" s="23">
        <v>0.10340000000000001</v>
      </c>
      <c r="D39" s="23">
        <v>9.3100000000000002E-2</v>
      </c>
      <c r="E39" s="23">
        <v>8.3900000000000002E-2</v>
      </c>
      <c r="F39" s="23">
        <v>7.5600000000000001E-2</v>
      </c>
      <c r="G39" s="23">
        <v>6.8099999999999994E-2</v>
      </c>
      <c r="H39" s="23">
        <v>6.1400000000000003E-2</v>
      </c>
      <c r="I39" s="23">
        <v>5.5300000000000002E-2</v>
      </c>
      <c r="J39" s="23">
        <v>4.9799999999999997E-2</v>
      </c>
      <c r="K39" s="23">
        <v>4.4900000000000002E-2</v>
      </c>
    </row>
    <row r="40" spans="1:13" x14ac:dyDescent="0.25">
      <c r="A40" s="6" t="s">
        <v>116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</row>
    <row r="41" spans="1:13" x14ac:dyDescent="0.25">
      <c r="A41" s="6"/>
      <c r="C41" s="13">
        <f>C36*C39</f>
        <v>0.31020000000000003</v>
      </c>
      <c r="D41" s="13">
        <f>D36*D39</f>
        <v>0.27929999999999999</v>
      </c>
      <c r="E41" s="13">
        <f>E36*E39</f>
        <v>0.1678</v>
      </c>
      <c r="F41" s="13">
        <f>F36*F39</f>
        <v>7.5600000000000001E-2</v>
      </c>
      <c r="G41" s="13">
        <f>G36*G39</f>
        <v>6.8099999999999994E-2</v>
      </c>
      <c r="H41" s="13">
        <f>H36*H39</f>
        <v>6.1400000000000003E-2</v>
      </c>
      <c r="I41" s="13">
        <f>I36*I39</f>
        <v>5.5300000000000002E-2</v>
      </c>
      <c r="J41" s="13">
        <f>J36*J39</f>
        <v>0</v>
      </c>
      <c r="K41" s="13">
        <f>K36*K39</f>
        <v>0</v>
      </c>
      <c r="L41">
        <f>L36*L39</f>
        <v>0</v>
      </c>
      <c r="M41">
        <f>M36*M39</f>
        <v>0</v>
      </c>
    </row>
    <row r="42" spans="1:13" x14ac:dyDescent="0.25">
      <c r="A42" s="6"/>
      <c r="C42" s="13">
        <f>C41-C40</f>
        <v>0.31020000000000003</v>
      </c>
      <c r="D42" s="13">
        <f>D41-D40</f>
        <v>0.27929999999999999</v>
      </c>
      <c r="E42" s="13">
        <f>E41-E40</f>
        <v>0.1678</v>
      </c>
      <c r="F42" s="13">
        <f>F41-F40</f>
        <v>7.5600000000000001E-2</v>
      </c>
      <c r="G42" s="13">
        <f>G41-G40</f>
        <v>6.8099999999999994E-2</v>
      </c>
      <c r="H42" s="13">
        <f>H41-H40</f>
        <v>6.1400000000000003E-2</v>
      </c>
      <c r="I42" s="13">
        <f>I41-I40</f>
        <v>5.5300000000000002E-2</v>
      </c>
      <c r="J42" s="13">
        <f>J41-J40</f>
        <v>0</v>
      </c>
      <c r="K42" s="13">
        <f>K41-K40</f>
        <v>0</v>
      </c>
      <c r="L42">
        <f>L41-L40</f>
        <v>0</v>
      </c>
      <c r="M42">
        <f>M41-M40</f>
        <v>0</v>
      </c>
    </row>
    <row r="43" spans="1:13" x14ac:dyDescent="0.25">
      <c r="A43" s="9" t="s">
        <v>221</v>
      </c>
    </row>
    <row r="44" spans="1:13" x14ac:dyDescent="0.25">
      <c r="A44" s="7" t="s">
        <v>222</v>
      </c>
      <c r="C44" s="20">
        <v>0.03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</row>
    <row r="45" spans="1:13" x14ac:dyDescent="0.25">
      <c r="A45" s="7" t="s">
        <v>224</v>
      </c>
      <c r="C45" s="20">
        <v>0.38300000000000001</v>
      </c>
      <c r="D45" s="20">
        <v>0.38300000000000001</v>
      </c>
      <c r="E45" s="20">
        <v>0.38300000000000001</v>
      </c>
      <c r="F45" s="20">
        <v>0.38300000000000001</v>
      </c>
      <c r="G45" s="20">
        <v>0.38300000000000001</v>
      </c>
      <c r="H45" s="20">
        <v>0.38300000000000001</v>
      </c>
      <c r="I45" s="20">
        <v>0.38300000000000001</v>
      </c>
      <c r="J45" s="20">
        <v>0.38300000000000001</v>
      </c>
      <c r="K45" s="20">
        <v>0.38300000000000001</v>
      </c>
    </row>
    <row r="46" spans="1:13" x14ac:dyDescent="0.25">
      <c r="A46" s="7" t="s">
        <v>107</v>
      </c>
      <c r="C46" s="20">
        <v>4.9000000000000002E-2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</row>
    <row r="47" spans="1:13" x14ac:dyDescent="0.25">
      <c r="A47" s="7" t="s">
        <v>225</v>
      </c>
      <c r="C47" s="20">
        <v>0.33400000000000002</v>
      </c>
      <c r="D47" s="20">
        <v>0.33400000000000002</v>
      </c>
      <c r="E47" s="20">
        <v>0.33400000000000002</v>
      </c>
      <c r="F47" s="20">
        <v>0.33400000000000002</v>
      </c>
      <c r="G47" s="20">
        <v>0.33400000000000002</v>
      </c>
      <c r="H47" s="20">
        <v>0.33400000000000002</v>
      </c>
      <c r="I47" s="20">
        <v>0.33400000000000002</v>
      </c>
      <c r="J47" s="20">
        <v>0.33400000000000002</v>
      </c>
      <c r="K47" s="20">
        <v>0.33400000000000002</v>
      </c>
    </row>
    <row r="48" spans="1:13" x14ac:dyDescent="0.25">
      <c r="A48" s="7" t="s">
        <v>240</v>
      </c>
      <c r="C48" s="20">
        <v>0.04</v>
      </c>
      <c r="D48" s="20">
        <v>0.04</v>
      </c>
      <c r="E48" s="20">
        <v>0.04</v>
      </c>
      <c r="F48" s="20">
        <v>0.04</v>
      </c>
      <c r="G48" s="20">
        <v>0.04</v>
      </c>
      <c r="H48" s="20">
        <v>0.04</v>
      </c>
      <c r="I48" s="20">
        <v>0.04</v>
      </c>
      <c r="J48" s="20">
        <v>0.04</v>
      </c>
      <c r="K48" s="20">
        <v>0.04</v>
      </c>
    </row>
    <row r="49" spans="1:13" x14ac:dyDescent="0.25">
      <c r="A49" s="16" t="s">
        <v>127</v>
      </c>
    </row>
    <row r="50" spans="1:13" x14ac:dyDescent="0.25">
      <c r="A50" s="7" t="s">
        <v>227</v>
      </c>
    </row>
    <row r="51" spans="1:13" x14ac:dyDescent="0.25">
      <c r="A51" s="16" t="s">
        <v>61</v>
      </c>
    </row>
    <row r="52" spans="1:13" x14ac:dyDescent="0.25">
      <c r="A52" s="9" t="s">
        <v>62</v>
      </c>
      <c r="M52" s="17" t="s">
        <v>63</v>
      </c>
    </row>
    <row r="53" spans="1:13" x14ac:dyDescent="0.25">
      <c r="A53" s="9"/>
      <c r="M53" s="17"/>
    </row>
    <row r="54" spans="1:13" x14ac:dyDescent="0.25">
      <c r="A54" s="9"/>
      <c r="M54" s="17"/>
    </row>
    <row r="55" spans="1:13" x14ac:dyDescent="0.25">
      <c r="F55" s="5" t="s">
        <v>6</v>
      </c>
    </row>
    <row r="56" spans="1:13" x14ac:dyDescent="0.25">
      <c r="F56" s="5"/>
    </row>
    <row r="57" spans="1:13" x14ac:dyDescent="0.25">
      <c r="F57" s="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M71"/>
  <sheetViews>
    <sheetView topLeftCell="A7"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257</v>
      </c>
    </row>
    <row r="3" spans="1:13" x14ac:dyDescent="0.25">
      <c r="A3" s="6" t="s">
        <v>9</v>
      </c>
    </row>
    <row r="4" spans="1:13" x14ac:dyDescent="0.25">
      <c r="A4" s="6" t="s">
        <v>258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5</v>
      </c>
      <c r="D8" s="10">
        <v>24</v>
      </c>
      <c r="E8" s="10">
        <v>26</v>
      </c>
      <c r="F8" s="10">
        <v>28</v>
      </c>
      <c r="G8" s="10">
        <v>29</v>
      </c>
      <c r="H8" s="10">
        <v>32</v>
      </c>
      <c r="I8" s="10">
        <v>36</v>
      </c>
      <c r="J8" s="10">
        <v>39</v>
      </c>
      <c r="K8" s="10">
        <v>40</v>
      </c>
      <c r="L8" s="10">
        <v>42</v>
      </c>
      <c r="M8" s="10">
        <v>43</v>
      </c>
    </row>
    <row r="9" spans="1:13" x14ac:dyDescent="0.25">
      <c r="A9" s="7" t="s">
        <v>204</v>
      </c>
      <c r="C9" s="19">
        <v>-4</v>
      </c>
      <c r="D9" s="19">
        <v>-2</v>
      </c>
      <c r="E9" s="19">
        <v>0</v>
      </c>
    </row>
    <row r="10" spans="1:13" x14ac:dyDescent="0.25">
      <c r="A10" s="7" t="s">
        <v>253</v>
      </c>
      <c r="C10" s="10">
        <v>1</v>
      </c>
      <c r="D10" s="10">
        <v>22</v>
      </c>
      <c r="E10" s="10">
        <v>26</v>
      </c>
      <c r="F10" s="10">
        <v>28</v>
      </c>
      <c r="G10" s="10">
        <v>29</v>
      </c>
      <c r="H10" s="10">
        <v>32</v>
      </c>
      <c r="I10" s="10">
        <v>36</v>
      </c>
      <c r="J10" s="10">
        <v>39</v>
      </c>
      <c r="K10" s="10">
        <v>40</v>
      </c>
      <c r="L10" s="10">
        <v>42</v>
      </c>
      <c r="M10" s="10">
        <v>43</v>
      </c>
    </row>
    <row r="11" spans="1:13" x14ac:dyDescent="0.25">
      <c r="A11" s="7"/>
      <c r="C11" s="10">
        <f>SUM(C8:C9)</f>
        <v>1</v>
      </c>
      <c r="D11" s="10">
        <f>SUM(D8:D9)</f>
        <v>22</v>
      </c>
      <c r="E11" s="10">
        <f>SUM(E8:E9)</f>
        <v>26</v>
      </c>
      <c r="F11" s="10">
        <f>SUM(F8:F9)</f>
        <v>28</v>
      </c>
      <c r="G11" s="10">
        <f>SUM(G8:G9)</f>
        <v>29</v>
      </c>
      <c r="H11" s="10">
        <f>SUM(H8:H9)</f>
        <v>32</v>
      </c>
      <c r="I11" s="10">
        <f>SUM(I8:I9)</f>
        <v>36</v>
      </c>
      <c r="J11" s="10">
        <f>SUM(J8:J9)</f>
        <v>39</v>
      </c>
      <c r="K11" s="10">
        <f>SUM(K8:K9)</f>
        <v>40</v>
      </c>
      <c r="L11" s="10">
        <f>SUM(L8:L9)</f>
        <v>42</v>
      </c>
      <c r="M11" s="10">
        <f>SUM(M8:M9)</f>
        <v>43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</row>
    <row r="13" spans="1:13" x14ac:dyDescent="0.25">
      <c r="A13" s="7" t="s">
        <v>206</v>
      </c>
      <c r="B13" s="7" t="s">
        <v>254</v>
      </c>
      <c r="C13" s="20">
        <v>1</v>
      </c>
      <c r="D13" s="20">
        <v>0.999</v>
      </c>
      <c r="E13" s="20">
        <v>0.996</v>
      </c>
      <c r="F13" s="20">
        <v>0.98799999999999999</v>
      </c>
      <c r="G13" s="20">
        <v>0.97299999999999998</v>
      </c>
      <c r="H13" s="20">
        <v>0.95099999999999996</v>
      </c>
      <c r="I13" s="20">
        <v>0.92100000000000004</v>
      </c>
      <c r="J13" s="20">
        <v>0.88300000000000001</v>
      </c>
      <c r="K13" s="20">
        <v>0.83699999999999997</v>
      </c>
      <c r="L13" s="20">
        <v>0.78500000000000003</v>
      </c>
      <c r="M13" s="20">
        <v>0.72599999999999998</v>
      </c>
    </row>
    <row r="14" spans="1:13" x14ac:dyDescent="0.25">
      <c r="A14" s="7" t="s">
        <v>208</v>
      </c>
      <c r="C14" s="10">
        <v>1</v>
      </c>
      <c r="D14" s="10">
        <v>22</v>
      </c>
      <c r="E14" s="10">
        <v>26</v>
      </c>
      <c r="F14" s="10">
        <v>28</v>
      </c>
      <c r="G14" s="10">
        <v>28</v>
      </c>
      <c r="H14" s="10">
        <v>31</v>
      </c>
      <c r="I14" s="10">
        <v>33</v>
      </c>
      <c r="J14" s="10">
        <v>35</v>
      </c>
      <c r="K14" s="10">
        <v>34</v>
      </c>
      <c r="L14" s="10">
        <v>33</v>
      </c>
      <c r="M14" s="10">
        <v>31</v>
      </c>
    </row>
    <row r="15" spans="1:13" x14ac:dyDescent="0.25">
      <c r="A15" s="7"/>
      <c r="C15" s="10">
        <f>C10*C13</f>
        <v>1</v>
      </c>
      <c r="D15" s="10">
        <f>D10*D13</f>
        <v>21.978000000000002</v>
      </c>
      <c r="E15" s="10">
        <f>E10*E13</f>
        <v>25.896000000000001</v>
      </c>
      <c r="F15" s="10">
        <f>F10*F13</f>
        <v>27.664000000000001</v>
      </c>
      <c r="G15" s="10">
        <f>G10*G13</f>
        <v>28.216999999999999</v>
      </c>
      <c r="H15" s="10">
        <f>H10*H13</f>
        <v>30.431999999999999</v>
      </c>
      <c r="I15" s="10">
        <f>I10*I13</f>
        <v>33.155999999999999</v>
      </c>
      <c r="J15" s="10">
        <f>J10*J13</f>
        <v>34.436999999999998</v>
      </c>
      <c r="K15" s="10">
        <f>K10*K13</f>
        <v>33.479999999999997</v>
      </c>
      <c r="L15" s="10">
        <f>L10*L13</f>
        <v>32.97</v>
      </c>
      <c r="M15" s="10">
        <f>M10*M13</f>
        <v>31.218</v>
      </c>
    </row>
    <row r="16" spans="1:13" x14ac:dyDescent="0.25">
      <c r="A16" s="7"/>
      <c r="C16" s="10">
        <f>C15-C14</f>
        <v>0</v>
      </c>
      <c r="D16" s="10">
        <f>D15-D14</f>
        <v>-2.1999999999998465E-2</v>
      </c>
      <c r="E16" s="10">
        <f>E15-E14</f>
        <v>-0.1039999999999992</v>
      </c>
      <c r="F16" s="10">
        <f>F15-F14</f>
        <v>-0.33599999999999852</v>
      </c>
      <c r="G16" s="10">
        <f>G15-G14</f>
        <v>0.21699999999999875</v>
      </c>
      <c r="H16" s="10">
        <f>H15-H14</f>
        <v>-0.56800000000000139</v>
      </c>
      <c r="I16" s="10">
        <f>I15-I14</f>
        <v>0.15599999999999881</v>
      </c>
      <c r="J16" s="10">
        <f>J15-J14</f>
        <v>-0.56300000000000239</v>
      </c>
      <c r="K16" s="10">
        <f>K15-K14</f>
        <v>-0.52000000000000313</v>
      </c>
      <c r="L16" s="10">
        <f>L15-L14</f>
        <v>-3.0000000000001137E-2</v>
      </c>
      <c r="M16" s="10">
        <f>M15-M14</f>
        <v>0.21799999999999997</v>
      </c>
    </row>
    <row r="17" spans="1:13" x14ac:dyDescent="0.25">
      <c r="A17" s="6" t="s">
        <v>205</v>
      </c>
      <c r="C17" s="13">
        <v>1</v>
      </c>
      <c r="D17" s="13">
        <v>22</v>
      </c>
      <c r="E17" s="13">
        <v>26</v>
      </c>
      <c r="F17" s="13">
        <v>28</v>
      </c>
      <c r="G17" s="13">
        <v>28</v>
      </c>
      <c r="H17" s="13">
        <v>31</v>
      </c>
      <c r="I17" s="13">
        <v>33</v>
      </c>
      <c r="J17" s="13">
        <v>35</v>
      </c>
      <c r="K17" s="13">
        <v>34</v>
      </c>
      <c r="L17" s="13">
        <v>33</v>
      </c>
      <c r="M17" s="13">
        <v>31</v>
      </c>
    </row>
    <row r="18" spans="1:13" x14ac:dyDescent="0.25">
      <c r="A18" s="6" t="s">
        <v>106</v>
      </c>
      <c r="C18" s="13">
        <v>0</v>
      </c>
      <c r="D18" s="13">
        <v>7</v>
      </c>
      <c r="E18" s="13">
        <v>9</v>
      </c>
      <c r="F18" s="13">
        <v>10</v>
      </c>
      <c r="G18" s="13">
        <v>10</v>
      </c>
      <c r="H18" s="13">
        <v>12</v>
      </c>
      <c r="I18" s="13">
        <v>13</v>
      </c>
      <c r="J18" s="13">
        <v>14</v>
      </c>
      <c r="K18" s="13">
        <v>14</v>
      </c>
      <c r="L18" s="13">
        <v>14</v>
      </c>
      <c r="M18" s="13">
        <v>13</v>
      </c>
    </row>
    <row r="19" spans="1:13" x14ac:dyDescent="0.25">
      <c r="A19" s="7" t="s">
        <v>107</v>
      </c>
      <c r="C19" s="19">
        <v>0</v>
      </c>
      <c r="D19" s="19">
        <v>-1</v>
      </c>
      <c r="E19" s="19">
        <v>-1</v>
      </c>
      <c r="F19" s="19">
        <v>-1</v>
      </c>
      <c r="G19" s="19">
        <v>-2</v>
      </c>
      <c r="H19" s="19">
        <v>-2</v>
      </c>
      <c r="I19" s="19">
        <v>-2</v>
      </c>
      <c r="J19" s="19">
        <v>-2</v>
      </c>
      <c r="K19" s="19">
        <v>-2</v>
      </c>
      <c r="L19" s="19">
        <v>-2</v>
      </c>
      <c r="M19" s="19">
        <v>-2</v>
      </c>
    </row>
    <row r="20" spans="1:13" x14ac:dyDescent="0.25">
      <c r="A20" s="6" t="s">
        <v>211</v>
      </c>
      <c r="C20" s="13">
        <v>0</v>
      </c>
      <c r="D20" s="13">
        <v>6</v>
      </c>
      <c r="E20" s="13">
        <v>8</v>
      </c>
      <c r="F20" s="13">
        <v>9</v>
      </c>
      <c r="G20" s="13">
        <v>9</v>
      </c>
      <c r="H20" s="13">
        <v>10</v>
      </c>
      <c r="I20" s="13">
        <v>11</v>
      </c>
      <c r="J20" s="13">
        <v>13</v>
      </c>
      <c r="K20" s="13">
        <v>12</v>
      </c>
      <c r="L20" s="13">
        <v>12</v>
      </c>
      <c r="M20" s="13">
        <v>12</v>
      </c>
    </row>
    <row r="21" spans="1:13" x14ac:dyDescent="0.25">
      <c r="A21" s="6"/>
      <c r="C21" s="13">
        <f>SUM(C18,C19)</f>
        <v>0</v>
      </c>
      <c r="D21" s="13">
        <f>SUM(D18,D19)</f>
        <v>6</v>
      </c>
      <c r="E21" s="13">
        <f>SUM(E18,E19)</f>
        <v>8</v>
      </c>
      <c r="F21" s="13">
        <f>SUM(F18,F19)</f>
        <v>9</v>
      </c>
      <c r="G21" s="13">
        <f>SUM(G18,G19)</f>
        <v>8</v>
      </c>
      <c r="H21" s="13">
        <f>SUM(H18,H19)</f>
        <v>10</v>
      </c>
      <c r="I21" s="13">
        <f>SUM(I18,I19)</f>
        <v>11</v>
      </c>
      <c r="J21" s="13">
        <f>SUM(J18,J19)</f>
        <v>12</v>
      </c>
      <c r="K21" s="13">
        <f>SUM(K18,K19)</f>
        <v>12</v>
      </c>
      <c r="L21" s="13">
        <f>SUM(L18,L19)</f>
        <v>12</v>
      </c>
      <c r="M21" s="13">
        <f>SUM(M18,M19)</f>
        <v>11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0</v>
      </c>
      <c r="F22" s="13">
        <f>F21-F20</f>
        <v>0</v>
      </c>
      <c r="G22" s="13">
        <f>G21-G20</f>
        <v>-1</v>
      </c>
      <c r="H22" s="13">
        <f>H21-H20</f>
        <v>0</v>
      </c>
      <c r="I22" s="13">
        <f>I21-I20</f>
        <v>0</v>
      </c>
      <c r="J22" s="13">
        <f>J21-J20</f>
        <v>-1</v>
      </c>
      <c r="K22" s="13">
        <f>K21-K20</f>
        <v>0</v>
      </c>
      <c r="L22" s="13">
        <f>L21-L20</f>
        <v>0</v>
      </c>
      <c r="M22" s="13">
        <f>M21-M20</f>
        <v>-1</v>
      </c>
    </row>
    <row r="23" spans="1:13" x14ac:dyDescent="0.25">
      <c r="A23" s="7" t="s">
        <v>210</v>
      </c>
      <c r="B23" s="20">
        <v>1.4999999999999999E-2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-1</v>
      </c>
      <c r="K23" s="19">
        <v>-1</v>
      </c>
      <c r="L23" s="19">
        <v>0</v>
      </c>
      <c r="M23" s="19">
        <v>0</v>
      </c>
    </row>
    <row r="24" spans="1:13" x14ac:dyDescent="0.25">
      <c r="A24" s="7"/>
      <c r="B24" s="20"/>
      <c r="C24" s="19">
        <f>C10*B23</f>
        <v>1.4999999999999999E-2</v>
      </c>
      <c r="D24" s="19">
        <f>D10*B23</f>
        <v>0.32999999999999996</v>
      </c>
      <c r="E24" s="19">
        <f>E10*B23</f>
        <v>0.39</v>
      </c>
      <c r="F24" s="19">
        <f>F10*B23</f>
        <v>0.42</v>
      </c>
      <c r="G24" s="19">
        <f>G10*B23</f>
        <v>0.435</v>
      </c>
      <c r="H24" s="19">
        <f>H10*B23</f>
        <v>0.48</v>
      </c>
      <c r="I24" s="19">
        <f>I10*B23</f>
        <v>0.54</v>
      </c>
      <c r="J24" s="19">
        <f>J10*B23</f>
        <v>0.58499999999999996</v>
      </c>
      <c r="K24" s="19">
        <f>K10*B23</f>
        <v>0.6</v>
      </c>
      <c r="L24" s="19">
        <f>L10*B23</f>
        <v>0.63</v>
      </c>
      <c r="M24" s="19">
        <f>M10*B23</f>
        <v>0.64500000000000002</v>
      </c>
    </row>
    <row r="25" spans="1:13" x14ac:dyDescent="0.25">
      <c r="A25" s="7"/>
      <c r="B25" s="20"/>
      <c r="C25" s="19">
        <f>C24-C23</f>
        <v>1.4999999999999999E-2</v>
      </c>
      <c r="D25" s="19">
        <f>D24-D23</f>
        <v>0.32999999999999996</v>
      </c>
      <c r="E25" s="19">
        <f>E24-E23</f>
        <v>0.39</v>
      </c>
      <c r="F25" s="19">
        <f>F24-F23</f>
        <v>0.42</v>
      </c>
      <c r="G25" s="19">
        <f>G24-G23</f>
        <v>0.435</v>
      </c>
      <c r="H25" s="19">
        <f>H24-H23</f>
        <v>0.48</v>
      </c>
      <c r="I25" s="19">
        <f>I24-I23</f>
        <v>0.54</v>
      </c>
      <c r="J25" s="19">
        <f>J24-J23</f>
        <v>1.585</v>
      </c>
      <c r="K25" s="19">
        <f>K24-K23</f>
        <v>1.6</v>
      </c>
      <c r="L25" s="19">
        <f>L24-L23</f>
        <v>0.63</v>
      </c>
      <c r="M25" s="19">
        <f>M24-M23</f>
        <v>0.64500000000000002</v>
      </c>
    </row>
    <row r="26" spans="1:13" x14ac:dyDescent="0.25">
      <c r="A26" s="6" t="s">
        <v>108</v>
      </c>
      <c r="C26" s="13">
        <v>0</v>
      </c>
      <c r="D26" s="13">
        <v>6</v>
      </c>
      <c r="E26" s="13">
        <v>8</v>
      </c>
      <c r="F26" s="13">
        <v>8</v>
      </c>
      <c r="G26" s="13">
        <v>8</v>
      </c>
      <c r="H26" s="13">
        <v>10</v>
      </c>
      <c r="I26" s="13">
        <v>11</v>
      </c>
      <c r="J26" s="13">
        <v>12</v>
      </c>
      <c r="K26" s="13">
        <v>12</v>
      </c>
      <c r="L26" s="13">
        <v>12</v>
      </c>
      <c r="M26" s="13">
        <v>11</v>
      </c>
    </row>
    <row r="27" spans="1:13" x14ac:dyDescent="0.25">
      <c r="A27" s="6"/>
      <c r="C27" s="13">
        <f>SUM(C20,C23)</f>
        <v>0</v>
      </c>
      <c r="D27" s="13">
        <f>SUM(D20,D23)</f>
        <v>6</v>
      </c>
      <c r="E27" s="13">
        <f>SUM(E20,E23)</f>
        <v>8</v>
      </c>
      <c r="F27" s="13">
        <f>SUM(F20,F23)</f>
        <v>9</v>
      </c>
      <c r="G27" s="13">
        <f>SUM(G20,G23)</f>
        <v>9</v>
      </c>
      <c r="H27" s="13">
        <f>SUM(H20,H23)</f>
        <v>10</v>
      </c>
      <c r="I27" s="13">
        <f>SUM(I20,I23)</f>
        <v>11</v>
      </c>
      <c r="J27" s="13">
        <f>SUM(J20,J23)</f>
        <v>12</v>
      </c>
      <c r="K27" s="13">
        <f>SUM(K20,K23)</f>
        <v>11</v>
      </c>
      <c r="L27" s="13">
        <f>SUM(L20,L23)</f>
        <v>12</v>
      </c>
      <c r="M27" s="13">
        <f>SUM(M20,M23)</f>
        <v>12</v>
      </c>
    </row>
    <row r="28" spans="1:13" x14ac:dyDescent="0.25">
      <c r="A28" s="6"/>
      <c r="C28" s="13">
        <f>C27-C26</f>
        <v>0</v>
      </c>
      <c r="D28" s="13">
        <f>D27-D26</f>
        <v>0</v>
      </c>
      <c r="E28" s="13">
        <f>E27-E26</f>
        <v>0</v>
      </c>
      <c r="F28" s="13">
        <f>F27-F26</f>
        <v>1</v>
      </c>
      <c r="G28" s="13">
        <f>G27-G26</f>
        <v>1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-1</v>
      </c>
      <c r="L28" s="13">
        <f>L27-L26</f>
        <v>0</v>
      </c>
      <c r="M28" s="13">
        <f>M27-M26</f>
        <v>1</v>
      </c>
    </row>
    <row r="29" spans="1:13" x14ac:dyDescent="0.25">
      <c r="A29" s="7" t="s">
        <v>212</v>
      </c>
      <c r="B29" s="20">
        <v>0.218</v>
      </c>
      <c r="C29" s="31">
        <v>0</v>
      </c>
      <c r="D29" s="19">
        <v>-1</v>
      </c>
      <c r="E29" s="19">
        <v>-2</v>
      </c>
      <c r="F29" s="19">
        <v>-2</v>
      </c>
      <c r="G29" s="19">
        <v>-2</v>
      </c>
      <c r="H29" s="19">
        <v>-2</v>
      </c>
      <c r="I29" s="19">
        <v>-2</v>
      </c>
      <c r="J29" s="19">
        <v>-3</v>
      </c>
      <c r="K29" s="19">
        <v>-3</v>
      </c>
      <c r="L29" s="19">
        <v>-3</v>
      </c>
      <c r="M29" s="19">
        <v>-2</v>
      </c>
    </row>
    <row r="30" spans="1:13" x14ac:dyDescent="0.25">
      <c r="A30" s="7"/>
      <c r="B30" s="20"/>
      <c r="C30" s="31">
        <f>C26*B29</f>
        <v>0</v>
      </c>
      <c r="D30" s="19">
        <f>D26*B29</f>
        <v>1.3080000000000001</v>
      </c>
      <c r="E30" s="19">
        <f>E26*B29</f>
        <v>1.744</v>
      </c>
      <c r="F30" s="19">
        <f>F26*B29</f>
        <v>1.744</v>
      </c>
      <c r="G30" s="19">
        <f>G26*B29</f>
        <v>1.744</v>
      </c>
      <c r="H30" s="19">
        <f>H26*B29</f>
        <v>2.1800000000000002</v>
      </c>
      <c r="I30" s="19">
        <f>I26*B29</f>
        <v>2.3980000000000001</v>
      </c>
      <c r="J30" s="19">
        <f>J26*B29</f>
        <v>2.6160000000000001</v>
      </c>
      <c r="K30" s="19">
        <f>K26*B29</f>
        <v>2.6160000000000001</v>
      </c>
      <c r="L30" s="19">
        <f>L26*B29</f>
        <v>2.6160000000000001</v>
      </c>
      <c r="M30" s="19">
        <f>M26*B29</f>
        <v>2.3980000000000001</v>
      </c>
    </row>
    <row r="31" spans="1:13" x14ac:dyDescent="0.25">
      <c r="A31" s="7"/>
      <c r="B31" s="20"/>
      <c r="C31" s="31">
        <f>C30-C29</f>
        <v>0</v>
      </c>
      <c r="D31" s="19">
        <f>D30-D29</f>
        <v>2.3079999999999998</v>
      </c>
      <c r="E31" s="19">
        <f>E30-E29</f>
        <v>3.7439999999999998</v>
      </c>
      <c r="F31" s="19">
        <f>F30-F29</f>
        <v>3.7439999999999998</v>
      </c>
      <c r="G31" s="19">
        <f>G30-G29</f>
        <v>3.7439999999999998</v>
      </c>
      <c r="H31" s="19">
        <f>H30-H29</f>
        <v>4.18</v>
      </c>
      <c r="I31" s="19">
        <f>I30-I29</f>
        <v>4.3979999999999997</v>
      </c>
      <c r="J31" s="19">
        <f>J30-J29</f>
        <v>5.6159999999999997</v>
      </c>
      <c r="K31" s="19">
        <f>K30-K29</f>
        <v>5.6159999999999997</v>
      </c>
      <c r="L31" s="19">
        <f>L30-L29</f>
        <v>5.6159999999999997</v>
      </c>
      <c r="M31" s="19">
        <f>M30-M29</f>
        <v>4.3979999999999997</v>
      </c>
    </row>
    <row r="32" spans="1:13" x14ac:dyDescent="0.25">
      <c r="A32" s="6" t="s">
        <v>213</v>
      </c>
      <c r="C32" s="13">
        <v>0</v>
      </c>
      <c r="D32" s="13">
        <v>5</v>
      </c>
      <c r="E32" s="13">
        <v>6</v>
      </c>
      <c r="F32" s="13">
        <v>7</v>
      </c>
      <c r="G32" s="13">
        <v>7</v>
      </c>
      <c r="H32" s="13">
        <v>8</v>
      </c>
      <c r="I32" s="13">
        <v>9</v>
      </c>
      <c r="J32" s="13">
        <v>10</v>
      </c>
      <c r="K32" s="13">
        <v>9</v>
      </c>
      <c r="L32" s="13">
        <v>9</v>
      </c>
      <c r="M32" s="13">
        <v>9</v>
      </c>
    </row>
    <row r="33" spans="1:13" x14ac:dyDescent="0.25">
      <c r="A33" s="6"/>
      <c r="C33" s="13">
        <f>SUM(C26,C29)</f>
        <v>0</v>
      </c>
      <c r="D33" s="13">
        <f>SUM(D26,D29)</f>
        <v>5</v>
      </c>
      <c r="E33" s="13">
        <f>SUM(E26,E29)</f>
        <v>6</v>
      </c>
      <c r="F33" s="13">
        <f>SUM(F26,F29)</f>
        <v>6</v>
      </c>
      <c r="G33" s="13">
        <f>SUM(G26,G29)</f>
        <v>6</v>
      </c>
      <c r="H33" s="13">
        <f>SUM(H26,H29)</f>
        <v>8</v>
      </c>
      <c r="I33" s="13">
        <f>SUM(I26,I29)</f>
        <v>9</v>
      </c>
      <c r="J33" s="13">
        <f>SUM(J26,J29)</f>
        <v>9</v>
      </c>
      <c r="K33" s="13">
        <f>SUM(K26,K29)</f>
        <v>9</v>
      </c>
      <c r="L33" s="13">
        <f>SUM(L26,L29)</f>
        <v>9</v>
      </c>
      <c r="M33" s="13">
        <f>SUM(M26,M29)</f>
        <v>9</v>
      </c>
    </row>
    <row r="34" spans="1:13" x14ac:dyDescent="0.25">
      <c r="A34" s="6"/>
      <c r="C34" s="13">
        <f>C33-C32</f>
        <v>0</v>
      </c>
      <c r="D34" s="13">
        <f>D33-D32</f>
        <v>0</v>
      </c>
      <c r="E34" s="13">
        <f>E33-E32</f>
        <v>0</v>
      </c>
      <c r="F34" s="13">
        <f>F33-F32</f>
        <v>-1</v>
      </c>
      <c r="G34" s="13">
        <f>G33-G32</f>
        <v>-1</v>
      </c>
      <c r="H34" s="13">
        <f>H33-H32</f>
        <v>0</v>
      </c>
      <c r="I34" s="13">
        <f>I33-I32</f>
        <v>0</v>
      </c>
      <c r="J34" s="13">
        <f>J33-J32</f>
        <v>-1</v>
      </c>
      <c r="K34" s="13">
        <f>K33-K32</f>
        <v>0</v>
      </c>
      <c r="L34" s="13">
        <f>L33-L32</f>
        <v>0</v>
      </c>
      <c r="M34" s="13">
        <f>M33-M32</f>
        <v>0</v>
      </c>
    </row>
    <row r="35" spans="1:13" x14ac:dyDescent="0.25">
      <c r="A35" s="7" t="s">
        <v>214</v>
      </c>
      <c r="C35" s="19">
        <v>0</v>
      </c>
      <c r="D35" s="19">
        <v>-1</v>
      </c>
      <c r="E35" s="19">
        <v>-1</v>
      </c>
      <c r="F35" s="19">
        <v>-1</v>
      </c>
      <c r="G35" s="19">
        <v>-1</v>
      </c>
      <c r="H35" s="19">
        <v>-1</v>
      </c>
      <c r="I35" s="19">
        <v>-1</v>
      </c>
      <c r="J35" s="19">
        <v>-1</v>
      </c>
      <c r="K35" s="19">
        <v>-1</v>
      </c>
      <c r="L35" s="19">
        <v>-1</v>
      </c>
      <c r="M35" s="19">
        <v>-1</v>
      </c>
    </row>
    <row r="36" spans="1:13" x14ac:dyDescent="0.25">
      <c r="A36" s="6" t="s">
        <v>215</v>
      </c>
      <c r="C36" s="13">
        <v>0</v>
      </c>
      <c r="D36" s="13">
        <v>4</v>
      </c>
      <c r="E36" s="13">
        <v>5</v>
      </c>
      <c r="F36" s="13">
        <v>6</v>
      </c>
      <c r="G36" s="13">
        <v>6</v>
      </c>
      <c r="H36" s="13">
        <v>7</v>
      </c>
      <c r="I36" s="13">
        <v>8</v>
      </c>
      <c r="J36" s="13">
        <v>8</v>
      </c>
      <c r="K36" s="13">
        <v>8</v>
      </c>
      <c r="L36" s="13">
        <v>8</v>
      </c>
      <c r="M36" s="13">
        <v>8</v>
      </c>
    </row>
    <row r="37" spans="1:13" x14ac:dyDescent="0.25">
      <c r="A37" s="6"/>
      <c r="C37" s="13">
        <f>SUM(C32,C35)</f>
        <v>0</v>
      </c>
      <c r="D37" s="13">
        <f>SUM(D32,D35)</f>
        <v>4</v>
      </c>
      <c r="E37" s="13">
        <f>SUM(E32,E35)</f>
        <v>5</v>
      </c>
      <c r="F37" s="13">
        <f>SUM(F32,F35)</f>
        <v>6</v>
      </c>
      <c r="G37" s="13">
        <f>SUM(G32,G35)</f>
        <v>6</v>
      </c>
      <c r="H37" s="13">
        <f>SUM(H32,H35)</f>
        <v>7</v>
      </c>
      <c r="I37" s="13">
        <f>SUM(I32,I35)</f>
        <v>8</v>
      </c>
      <c r="J37" s="13">
        <f>SUM(J32,J35)</f>
        <v>9</v>
      </c>
      <c r="K37" s="13">
        <f>SUM(K32,K35)</f>
        <v>8</v>
      </c>
      <c r="L37" s="13">
        <f>SUM(L32,L35)</f>
        <v>8</v>
      </c>
      <c r="M37" s="13">
        <f>SUM(M32,M35)</f>
        <v>8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1</v>
      </c>
      <c r="K38" s="13">
        <f>K37-K36</f>
        <v>0</v>
      </c>
      <c r="L38" s="13">
        <f>L37-L36</f>
        <v>0</v>
      </c>
      <c r="M38" s="13">
        <f>M37-M36</f>
        <v>0</v>
      </c>
    </row>
    <row r="39" spans="1:13" x14ac:dyDescent="0.25">
      <c r="A39" s="7" t="s">
        <v>115</v>
      </c>
      <c r="B39" s="20">
        <v>0.11</v>
      </c>
      <c r="C39" s="23">
        <v>0.98740000000000006</v>
      </c>
      <c r="D39" s="23">
        <v>0.92530000000000001</v>
      </c>
      <c r="E39" s="23">
        <v>0.83360000000000001</v>
      </c>
      <c r="F39" s="24">
        <v>0.751</v>
      </c>
      <c r="G39" s="23">
        <v>0.67659999999999998</v>
      </c>
      <c r="H39" s="23">
        <v>0.60950000000000004</v>
      </c>
      <c r="I39" s="23">
        <v>0.54910000000000003</v>
      </c>
      <c r="J39" s="23">
        <v>0.49469999999999997</v>
      </c>
      <c r="K39" s="23">
        <v>0.44569999999999999</v>
      </c>
      <c r="L39" s="23">
        <v>0.40150000000000002</v>
      </c>
      <c r="M39" s="23">
        <v>0.36170000000000002</v>
      </c>
    </row>
    <row r="40" spans="1:13" x14ac:dyDescent="0.25">
      <c r="A40" s="6" t="s">
        <v>116</v>
      </c>
      <c r="C40" s="13">
        <v>0</v>
      </c>
      <c r="D40" s="13">
        <v>4</v>
      </c>
      <c r="E40" s="13">
        <v>4</v>
      </c>
      <c r="F40" s="13">
        <v>4</v>
      </c>
      <c r="G40" s="13">
        <v>4</v>
      </c>
      <c r="H40" s="13">
        <v>4</v>
      </c>
      <c r="I40" s="13">
        <v>4</v>
      </c>
      <c r="J40" s="13">
        <v>4</v>
      </c>
      <c r="K40" s="13">
        <v>4</v>
      </c>
      <c r="L40" s="13">
        <v>3</v>
      </c>
      <c r="M40" s="13">
        <v>3</v>
      </c>
    </row>
    <row r="41" spans="1:13" x14ac:dyDescent="0.25">
      <c r="A41" s="6"/>
      <c r="C41" s="13">
        <f>C36*C39</f>
        <v>0</v>
      </c>
      <c r="D41" s="13">
        <f>D36*D39</f>
        <v>3.7012</v>
      </c>
      <c r="E41" s="13">
        <f>E36*E39</f>
        <v>4.1680000000000001</v>
      </c>
      <c r="F41" s="13">
        <f>F36*F39</f>
        <v>4.5060000000000002</v>
      </c>
      <c r="G41" s="13">
        <f>G36*G39</f>
        <v>4.0595999999999997</v>
      </c>
      <c r="H41" s="13">
        <f>H36*H39</f>
        <v>4.2665000000000006</v>
      </c>
      <c r="I41" s="13">
        <f>I36*I39</f>
        <v>4.3928000000000003</v>
      </c>
      <c r="J41" s="13">
        <f>J36*J39</f>
        <v>3.9575999999999998</v>
      </c>
      <c r="K41" s="13">
        <f>K36*K39</f>
        <v>3.5655999999999999</v>
      </c>
      <c r="L41" s="13">
        <f>L36*L39</f>
        <v>3.2120000000000002</v>
      </c>
      <c r="M41" s="13">
        <f>M36*M39</f>
        <v>2.8936000000000002</v>
      </c>
    </row>
    <row r="42" spans="1:13" x14ac:dyDescent="0.25">
      <c r="A42" s="6"/>
      <c r="C42" s="13">
        <f>C41-C40</f>
        <v>0</v>
      </c>
      <c r="D42" s="13">
        <f>D41-D40</f>
        <v>-0.29879999999999995</v>
      </c>
      <c r="E42" s="13">
        <f>E41-E40</f>
        <v>0.16800000000000015</v>
      </c>
      <c r="F42" s="13">
        <f>F41-F40</f>
        <v>0.50600000000000023</v>
      </c>
      <c r="G42" s="13">
        <f>G41-G40</f>
        <v>5.9599999999999653E-2</v>
      </c>
      <c r="H42" s="13">
        <f>H41-H40</f>
        <v>0.26650000000000063</v>
      </c>
      <c r="I42" s="13">
        <f>I41-I40</f>
        <v>0.39280000000000026</v>
      </c>
      <c r="J42" s="13">
        <f>J41-J40</f>
        <v>-4.2400000000000215E-2</v>
      </c>
      <c r="K42" s="13">
        <f>K41-K40</f>
        <v>-0.43440000000000012</v>
      </c>
      <c r="L42" s="13">
        <f>L41-L40</f>
        <v>0.21200000000000019</v>
      </c>
      <c r="M42" s="13">
        <f>M41-M40</f>
        <v>-0.10639999999999983</v>
      </c>
    </row>
    <row r="43" spans="1:13" x14ac:dyDescent="0.25">
      <c r="A43" s="7" t="s">
        <v>216</v>
      </c>
      <c r="C43" s="10">
        <v>50</v>
      </c>
    </row>
    <row r="44" spans="1:13" x14ac:dyDescent="0.25">
      <c r="H44" s="7" t="s">
        <v>217</v>
      </c>
    </row>
    <row r="45" spans="1:13" x14ac:dyDescent="0.25">
      <c r="A45" s="6" t="s">
        <v>218</v>
      </c>
      <c r="C45" s="13">
        <v>50</v>
      </c>
      <c r="F45" s="10">
        <v>50</v>
      </c>
      <c r="G45" s="15">
        <v>0.02</v>
      </c>
      <c r="H45" s="15">
        <v>0.03</v>
      </c>
      <c r="I45" s="15">
        <v>0.04</v>
      </c>
      <c r="J45" s="15">
        <v>0.05</v>
      </c>
    </row>
    <row r="46" spans="1:13" x14ac:dyDescent="0.25">
      <c r="A46" s="7" t="s">
        <v>121</v>
      </c>
      <c r="B46" s="7" t="s">
        <v>122</v>
      </c>
      <c r="C46" s="10">
        <v>4</v>
      </c>
      <c r="F46" s="27">
        <v>20</v>
      </c>
      <c r="G46" s="10">
        <v>53</v>
      </c>
      <c r="H46" s="10">
        <v>54</v>
      </c>
      <c r="I46" s="10">
        <v>55</v>
      </c>
      <c r="J46" s="10">
        <v>56</v>
      </c>
    </row>
    <row r="47" spans="1:13" x14ac:dyDescent="0.25">
      <c r="A47" s="6" t="s">
        <v>219</v>
      </c>
      <c r="C47" s="13">
        <v>50</v>
      </c>
      <c r="F47" s="27">
        <v>25</v>
      </c>
      <c r="G47" s="10">
        <v>53</v>
      </c>
      <c r="H47" s="10">
        <v>54</v>
      </c>
      <c r="I47" s="10">
        <v>55</v>
      </c>
      <c r="J47" s="10">
        <v>56</v>
      </c>
    </row>
    <row r="48" spans="1:13" x14ac:dyDescent="0.25">
      <c r="E48" s="7" t="s">
        <v>220</v>
      </c>
      <c r="F48" s="27">
        <v>30</v>
      </c>
      <c r="G48" s="10">
        <v>53</v>
      </c>
      <c r="H48" s="10">
        <v>54</v>
      </c>
      <c r="I48" s="10">
        <v>55</v>
      </c>
      <c r="J48" s="10">
        <v>56</v>
      </c>
    </row>
    <row r="49" spans="1:13" x14ac:dyDescent="0.25">
      <c r="F49" s="27">
        <v>35</v>
      </c>
      <c r="G49" s="10">
        <v>53</v>
      </c>
      <c r="H49" s="10">
        <v>54</v>
      </c>
      <c r="I49" s="10">
        <v>55</v>
      </c>
      <c r="J49" s="10">
        <v>56</v>
      </c>
    </row>
    <row r="50" spans="1:13" x14ac:dyDescent="0.25">
      <c r="F50" s="27">
        <v>40</v>
      </c>
      <c r="G50" s="10">
        <v>53</v>
      </c>
      <c r="H50" s="10">
        <v>54</v>
      </c>
      <c r="I50" s="10">
        <v>55</v>
      </c>
      <c r="J50" s="10">
        <v>56</v>
      </c>
    </row>
    <row r="51" spans="1:13" x14ac:dyDescent="0.25">
      <c r="A51" s="9" t="s">
        <v>221</v>
      </c>
    </row>
    <row r="52" spans="1:13" x14ac:dyDescent="0.25">
      <c r="A52" s="7" t="s">
        <v>222</v>
      </c>
      <c r="C52" s="7" t="s">
        <v>223</v>
      </c>
      <c r="D52" s="20">
        <v>0.115</v>
      </c>
      <c r="E52" s="20">
        <v>8.4000000000000005E-2</v>
      </c>
      <c r="F52" s="20">
        <v>7.8E-2</v>
      </c>
      <c r="G52" s="20">
        <v>4.3999999999999997E-2</v>
      </c>
      <c r="H52" s="20">
        <v>0.10100000000000001</v>
      </c>
      <c r="I52" s="20">
        <v>0.10299999999999999</v>
      </c>
      <c r="J52" s="20">
        <v>0.104</v>
      </c>
      <c r="K52" s="20">
        <v>0.03</v>
      </c>
      <c r="L52" s="20">
        <v>0.03</v>
      </c>
      <c r="M52" s="20">
        <v>0.03</v>
      </c>
    </row>
    <row r="53" spans="1:13" x14ac:dyDescent="0.25">
      <c r="A53" s="7"/>
      <c r="C53" s="7"/>
      <c r="D53" s="20"/>
      <c r="E53" s="20"/>
      <c r="F53" s="20"/>
      <c r="G53" s="20"/>
      <c r="H53" s="20"/>
      <c r="I53" s="20"/>
      <c r="J53" s="20"/>
      <c r="K53" s="20"/>
      <c r="L53" s="20"/>
      <c r="M53" s="20"/>
    </row>
    <row r="54" spans="1:13" x14ac:dyDescent="0.25">
      <c r="A54" s="7"/>
      <c r="C54" s="7"/>
      <c r="D54" s="20"/>
      <c r="E54" s="20"/>
      <c r="F54" s="20"/>
      <c r="G54" s="20"/>
      <c r="H54" s="20"/>
      <c r="I54" s="20"/>
      <c r="J54" s="20"/>
      <c r="K54" s="20"/>
      <c r="L54" s="20"/>
      <c r="M54" s="20"/>
    </row>
    <row r="55" spans="1:13" x14ac:dyDescent="0.25">
      <c r="A55" s="7" t="s">
        <v>224</v>
      </c>
      <c r="C55" s="20">
        <v>0.313</v>
      </c>
      <c r="D55" s="20">
        <v>0.32</v>
      </c>
      <c r="E55" s="20">
        <v>0.34899999999999998</v>
      </c>
      <c r="F55" s="20">
        <v>0.36599999999999999</v>
      </c>
      <c r="G55" s="20">
        <v>0.36699999999999999</v>
      </c>
      <c r="H55" s="20">
        <v>0.38500000000000001</v>
      </c>
      <c r="I55" s="20">
        <v>0.40200000000000002</v>
      </c>
      <c r="J55" s="20">
        <v>0.41899999999999998</v>
      </c>
      <c r="K55" s="20">
        <v>0.41899999999999998</v>
      </c>
      <c r="L55" s="20">
        <v>0.41899999999999998</v>
      </c>
      <c r="M55" s="20">
        <v>0.41899999999999998</v>
      </c>
    </row>
    <row r="56" spans="1:13" x14ac:dyDescent="0.25">
      <c r="A56" s="7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 t="s">
        <v>107</v>
      </c>
      <c r="C58" s="20">
        <v>3.5999999999999997E-2</v>
      </c>
      <c r="D58" s="20">
        <v>3.4000000000000002E-2</v>
      </c>
      <c r="E58" s="20">
        <v>3.5000000000000003E-2</v>
      </c>
      <c r="F58" s="20">
        <v>0.05</v>
      </c>
      <c r="G58" s="20">
        <v>5.5E-2</v>
      </c>
      <c r="H58" s="20">
        <v>5.2999999999999999E-2</v>
      </c>
      <c r="I58" s="20">
        <v>5.0999999999999997E-2</v>
      </c>
      <c r="J58" s="20">
        <v>4.9000000000000002E-2</v>
      </c>
      <c r="K58" s="20">
        <v>4.9000000000000002E-2</v>
      </c>
      <c r="L58" s="20">
        <v>4.9000000000000002E-2</v>
      </c>
      <c r="M58" s="20">
        <v>4.9000000000000002E-2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</row>
    <row r="61" spans="1:13" x14ac:dyDescent="0.25">
      <c r="A61" s="7" t="s">
        <v>225</v>
      </c>
      <c r="C61" s="20">
        <v>0.27800000000000002</v>
      </c>
      <c r="D61" s="20">
        <v>0.28699999999999998</v>
      </c>
      <c r="E61" s="20">
        <v>0.314</v>
      </c>
      <c r="F61" s="20">
        <v>0.316</v>
      </c>
      <c r="G61" s="20">
        <v>0.312</v>
      </c>
      <c r="H61" s="20">
        <v>0.33200000000000002</v>
      </c>
      <c r="I61" s="20">
        <v>0.35099999999999998</v>
      </c>
      <c r="J61" s="20">
        <v>0.37</v>
      </c>
      <c r="K61" s="20">
        <v>0.37</v>
      </c>
      <c r="L61" s="20">
        <v>0.37</v>
      </c>
      <c r="M61" s="20">
        <v>0.37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240</v>
      </c>
      <c r="C64" s="20">
        <v>3.2000000000000001E-2</v>
      </c>
      <c r="D64" s="20">
        <v>3.2000000000000001E-2</v>
      </c>
      <c r="E64" s="20">
        <v>3.2000000000000001E-2</v>
      </c>
      <c r="F64" s="20">
        <v>3.2000000000000001E-2</v>
      </c>
      <c r="G64" s="20">
        <v>3.2000000000000001E-2</v>
      </c>
      <c r="H64" s="20">
        <v>3.2000000000000001E-2</v>
      </c>
      <c r="I64" s="20">
        <v>3.2000000000000001E-2</v>
      </c>
      <c r="J64" s="20">
        <v>3.2000000000000001E-2</v>
      </c>
      <c r="K64" s="20">
        <v>3.2000000000000001E-2</v>
      </c>
      <c r="L64" s="20">
        <v>3.2000000000000001E-2</v>
      </c>
      <c r="M64" s="20">
        <v>3.2000000000000001E-2</v>
      </c>
    </row>
    <row r="65" spans="1:13" x14ac:dyDescent="0.25">
      <c r="A65" s="7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16" t="s">
        <v>127</v>
      </c>
    </row>
    <row r="68" spans="1:13" x14ac:dyDescent="0.25">
      <c r="A68" s="7" t="s">
        <v>227</v>
      </c>
    </row>
    <row r="69" spans="1:13" x14ac:dyDescent="0.25">
      <c r="A69" s="16" t="s">
        <v>61</v>
      </c>
    </row>
    <row r="70" spans="1:13" x14ac:dyDescent="0.25">
      <c r="A70" s="9" t="s">
        <v>62</v>
      </c>
      <c r="M70" s="32" t="s">
        <v>63</v>
      </c>
    </row>
    <row r="71" spans="1:13" x14ac:dyDescent="0.25">
      <c r="F71" s="5" t="s">
        <v>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M57"/>
  <sheetViews>
    <sheetView topLeftCell="A16"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259</v>
      </c>
    </row>
    <row r="3" spans="1:13" x14ac:dyDescent="0.25">
      <c r="A3" s="6" t="s">
        <v>9</v>
      </c>
    </row>
    <row r="4" spans="1:13" x14ac:dyDescent="0.25">
      <c r="A4" s="6" t="s">
        <v>258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44</v>
      </c>
      <c r="D8" s="10">
        <v>45</v>
      </c>
      <c r="E8" s="10">
        <v>47</v>
      </c>
      <c r="F8" s="10">
        <v>48</v>
      </c>
      <c r="G8" s="10">
        <v>50</v>
      </c>
      <c r="H8" s="10">
        <v>51</v>
      </c>
      <c r="I8" s="10">
        <v>53</v>
      </c>
      <c r="J8" s="10">
        <v>54</v>
      </c>
      <c r="K8" s="10">
        <v>56</v>
      </c>
      <c r="L8" s="10">
        <v>58</v>
      </c>
      <c r="M8" s="10">
        <v>59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44</v>
      </c>
      <c r="D10" s="10">
        <v>45</v>
      </c>
      <c r="E10" s="10">
        <v>47</v>
      </c>
      <c r="F10" s="10">
        <v>48</v>
      </c>
      <c r="G10" s="10">
        <v>50</v>
      </c>
      <c r="H10" s="10">
        <v>51</v>
      </c>
      <c r="I10" s="10">
        <v>53</v>
      </c>
      <c r="J10" s="10">
        <v>54</v>
      </c>
      <c r="K10" s="10">
        <v>56</v>
      </c>
      <c r="L10" s="10">
        <v>58</v>
      </c>
      <c r="M10" s="10">
        <v>59</v>
      </c>
    </row>
    <row r="11" spans="1:13" x14ac:dyDescent="0.25">
      <c r="A11" s="7"/>
      <c r="C11" s="10">
        <f>SUM(C8:C9)</f>
        <v>44</v>
      </c>
      <c r="D11" s="10">
        <f>SUM(D8:D9)</f>
        <v>45</v>
      </c>
      <c r="E11" s="10">
        <f>SUM(E8:E9)</f>
        <v>47</v>
      </c>
      <c r="F11" s="10">
        <f>SUM(F8:F9)</f>
        <v>48</v>
      </c>
      <c r="G11" s="10">
        <f>SUM(G8:G9)</f>
        <v>50</v>
      </c>
      <c r="H11" s="10">
        <f>SUM(H8:H9)</f>
        <v>51</v>
      </c>
      <c r="I11" s="10">
        <f>SUM(I8:I9)</f>
        <v>53</v>
      </c>
      <c r="J11" s="10">
        <f>SUM(J8:J9)</f>
        <v>54</v>
      </c>
      <c r="K11" s="10">
        <f>SUM(K8:K9)</f>
        <v>56</v>
      </c>
      <c r="L11" s="10">
        <f>SUM(L8:L9)</f>
        <v>58</v>
      </c>
      <c r="M11" s="10">
        <f>SUM(M8:M9)</f>
        <v>59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</row>
    <row r="13" spans="1:13" x14ac:dyDescent="0.25">
      <c r="A13" s="7" t="s">
        <v>206</v>
      </c>
      <c r="B13" s="7" t="s">
        <v>254</v>
      </c>
      <c r="C13" s="20">
        <v>0.66300000000000003</v>
      </c>
      <c r="D13" s="20">
        <v>0.59799999999999998</v>
      </c>
      <c r="E13" s="20">
        <v>0.53100000000000003</v>
      </c>
      <c r="F13" s="20">
        <v>0.46400000000000002</v>
      </c>
      <c r="G13" s="20">
        <v>0.39900000000000002</v>
      </c>
      <c r="H13" s="20">
        <v>0.33800000000000002</v>
      </c>
      <c r="I13" s="20">
        <v>0.28199999999999997</v>
      </c>
      <c r="J13" s="20">
        <v>0.23100000000000001</v>
      </c>
      <c r="K13" s="20">
        <v>0.185</v>
      </c>
      <c r="L13" s="20">
        <v>0.14599999999999999</v>
      </c>
      <c r="M13" s="20">
        <v>0.113</v>
      </c>
    </row>
    <row r="14" spans="1:13" x14ac:dyDescent="0.25">
      <c r="A14" s="7" t="s">
        <v>208</v>
      </c>
      <c r="C14" s="10">
        <v>29</v>
      </c>
      <c r="D14" s="10">
        <v>27</v>
      </c>
      <c r="E14" s="10">
        <v>25</v>
      </c>
      <c r="F14" s="10">
        <v>22</v>
      </c>
      <c r="G14" s="10">
        <v>20</v>
      </c>
      <c r="H14" s="10">
        <v>17</v>
      </c>
      <c r="I14" s="10">
        <v>15</v>
      </c>
      <c r="J14" s="10">
        <v>13</v>
      </c>
      <c r="K14" s="10">
        <v>10</v>
      </c>
      <c r="L14" s="10">
        <v>8</v>
      </c>
      <c r="M14" s="10">
        <v>7</v>
      </c>
    </row>
    <row r="15" spans="1:13" x14ac:dyDescent="0.25">
      <c r="A15" s="7"/>
      <c r="C15" s="10">
        <f>C10*C13</f>
        <v>29.172000000000001</v>
      </c>
      <c r="D15" s="10">
        <f>D10*D13</f>
        <v>26.91</v>
      </c>
      <c r="E15" s="10">
        <f>E10*E13</f>
        <v>24.957000000000001</v>
      </c>
      <c r="F15" s="10">
        <f>F10*F13</f>
        <v>22.272000000000002</v>
      </c>
      <c r="G15" s="10">
        <f>G10*G13</f>
        <v>19.950000000000003</v>
      </c>
      <c r="H15" s="10">
        <f>H10*H13</f>
        <v>17.238</v>
      </c>
      <c r="I15" s="10">
        <f>I10*I13</f>
        <v>14.945999999999998</v>
      </c>
      <c r="J15" s="10">
        <f>J10*J13</f>
        <v>12.474</v>
      </c>
      <c r="K15" s="10">
        <f>K10*K13</f>
        <v>10.36</v>
      </c>
      <c r="L15" s="10">
        <f>L10*L13</f>
        <v>8.468</v>
      </c>
      <c r="M15" s="10">
        <f>M10*M13</f>
        <v>6.6669999999999998</v>
      </c>
    </row>
    <row r="16" spans="1:13" x14ac:dyDescent="0.25">
      <c r="A16" s="7"/>
      <c r="C16" s="10">
        <f>C15-C14</f>
        <v>0.1720000000000006</v>
      </c>
      <c r="D16" s="10">
        <f>D15-D14</f>
        <v>-8.9999999999999858E-2</v>
      </c>
      <c r="E16" s="10">
        <f>E15-E14</f>
        <v>-4.2999999999999261E-2</v>
      </c>
      <c r="F16" s="10">
        <f>F15-F14</f>
        <v>0.27200000000000202</v>
      </c>
      <c r="G16" s="10">
        <f>G15-G14</f>
        <v>-4.9999999999997158E-2</v>
      </c>
      <c r="H16" s="10">
        <f>H15-H14</f>
        <v>0.23799999999999955</v>
      </c>
      <c r="I16" s="10">
        <f>I15-I14</f>
        <v>-5.4000000000002046E-2</v>
      </c>
      <c r="J16" s="10">
        <f>J15-J14</f>
        <v>-0.5259999999999998</v>
      </c>
      <c r="K16" s="10">
        <f>K15-K14</f>
        <v>0.35999999999999943</v>
      </c>
      <c r="L16" s="10">
        <f>L15-L14</f>
        <v>0.46799999999999997</v>
      </c>
      <c r="M16" s="10">
        <f>M15-M14</f>
        <v>-0.33300000000000018</v>
      </c>
    </row>
    <row r="17" spans="1:13" x14ac:dyDescent="0.25">
      <c r="A17" s="6" t="s">
        <v>205</v>
      </c>
      <c r="C17" s="13">
        <v>29</v>
      </c>
      <c r="D17" s="13">
        <v>27</v>
      </c>
      <c r="E17" s="13">
        <v>25</v>
      </c>
      <c r="F17" s="13">
        <v>22</v>
      </c>
      <c r="G17" s="13">
        <v>20</v>
      </c>
      <c r="H17" s="13">
        <v>17</v>
      </c>
      <c r="I17" s="13">
        <v>15</v>
      </c>
      <c r="J17" s="13">
        <v>13</v>
      </c>
      <c r="K17" s="13">
        <v>10</v>
      </c>
      <c r="L17" s="13">
        <v>8</v>
      </c>
      <c r="M17" s="13">
        <v>7</v>
      </c>
    </row>
    <row r="18" spans="1:13" x14ac:dyDescent="0.25">
      <c r="A18" s="6" t="s">
        <v>106</v>
      </c>
      <c r="C18" s="13">
        <v>12</v>
      </c>
      <c r="D18" s="13">
        <v>11</v>
      </c>
      <c r="E18" s="13">
        <v>10</v>
      </c>
      <c r="F18" s="13">
        <v>9</v>
      </c>
      <c r="G18" s="13">
        <v>8</v>
      </c>
      <c r="H18" s="13">
        <v>7</v>
      </c>
      <c r="I18" s="13">
        <v>6</v>
      </c>
      <c r="J18" s="13">
        <v>5</v>
      </c>
      <c r="K18" s="13">
        <v>4</v>
      </c>
      <c r="L18" s="13">
        <v>4</v>
      </c>
      <c r="M18" s="13">
        <v>3</v>
      </c>
    </row>
    <row r="19" spans="1:13" x14ac:dyDescent="0.25">
      <c r="A19" s="7" t="s">
        <v>107</v>
      </c>
      <c r="C19" s="19">
        <v>-1</v>
      </c>
      <c r="D19" s="19">
        <v>-1</v>
      </c>
      <c r="E19" s="19">
        <v>-1</v>
      </c>
      <c r="F19" s="19">
        <v>-1</v>
      </c>
      <c r="G19" s="19">
        <v>-1</v>
      </c>
      <c r="H19" s="19">
        <v>-1</v>
      </c>
      <c r="I19" s="19">
        <v>-1</v>
      </c>
      <c r="J19" s="19">
        <v>-1</v>
      </c>
      <c r="K19" s="19">
        <v>-1</v>
      </c>
      <c r="L19" s="19">
        <v>0</v>
      </c>
      <c r="M19" s="19">
        <v>0</v>
      </c>
    </row>
    <row r="20" spans="1:13" x14ac:dyDescent="0.25">
      <c r="A20" s="6" t="s">
        <v>211</v>
      </c>
      <c r="C20" s="13">
        <v>11</v>
      </c>
      <c r="D20" s="13">
        <v>10</v>
      </c>
      <c r="E20" s="13">
        <v>9</v>
      </c>
      <c r="F20" s="13">
        <v>8</v>
      </c>
      <c r="G20" s="13">
        <v>7</v>
      </c>
      <c r="H20" s="13">
        <v>6</v>
      </c>
      <c r="I20" s="13">
        <v>5</v>
      </c>
      <c r="J20" s="13">
        <v>5</v>
      </c>
      <c r="K20" s="13">
        <v>4</v>
      </c>
      <c r="L20" s="13">
        <v>3</v>
      </c>
      <c r="M20" s="13">
        <v>2</v>
      </c>
    </row>
    <row r="21" spans="1:13" x14ac:dyDescent="0.25">
      <c r="A21" s="6"/>
      <c r="C21" s="13">
        <f>SUM(C18,C19)</f>
        <v>11</v>
      </c>
      <c r="D21" s="13">
        <f>SUM(D18,D19)</f>
        <v>10</v>
      </c>
      <c r="E21" s="13">
        <f>SUM(E18,E19)</f>
        <v>9</v>
      </c>
      <c r="F21" s="13">
        <f>SUM(F18,F19)</f>
        <v>8</v>
      </c>
      <c r="G21" s="13">
        <f>SUM(G18,G19)</f>
        <v>7</v>
      </c>
      <c r="H21" s="13">
        <f>SUM(H18,H19)</f>
        <v>6</v>
      </c>
      <c r="I21" s="13">
        <f>SUM(I18,I19)</f>
        <v>5</v>
      </c>
      <c r="J21" s="13">
        <f>SUM(J18,J19)</f>
        <v>4</v>
      </c>
      <c r="K21" s="13">
        <f>SUM(K18,K19)</f>
        <v>3</v>
      </c>
      <c r="L21" s="13">
        <f>SUM(L18,L19)</f>
        <v>4</v>
      </c>
      <c r="M21" s="13">
        <f>SUM(M18,M19)</f>
        <v>3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0</v>
      </c>
      <c r="F22" s="13">
        <f>F21-F20</f>
        <v>0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-1</v>
      </c>
      <c r="K22" s="13">
        <f>K21-K20</f>
        <v>-1</v>
      </c>
      <c r="L22" s="13">
        <f>L21-L20</f>
        <v>1</v>
      </c>
      <c r="M22" s="13">
        <f>M21-M20</f>
        <v>1</v>
      </c>
    </row>
    <row r="23" spans="1:13" x14ac:dyDescent="0.25">
      <c r="A23" s="7" t="s">
        <v>210</v>
      </c>
      <c r="B23" s="20">
        <v>1.4999999999999999E-2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</row>
    <row r="24" spans="1:13" x14ac:dyDescent="0.25">
      <c r="A24" s="7"/>
      <c r="B24" s="20"/>
      <c r="C24" s="19">
        <f>C10*B23</f>
        <v>0.65999999999999992</v>
      </c>
      <c r="D24" s="19">
        <f>D10*B23</f>
        <v>0.67499999999999993</v>
      </c>
      <c r="E24" s="19">
        <f>E10*B23</f>
        <v>0.70499999999999996</v>
      </c>
      <c r="F24" s="19">
        <f>F10*B23</f>
        <v>0.72</v>
      </c>
      <c r="G24" s="19">
        <f>G10*B23</f>
        <v>0.75</v>
      </c>
      <c r="H24" s="19">
        <f>H10*B23</f>
        <v>0.76500000000000001</v>
      </c>
      <c r="I24" s="19">
        <f>I10*B23</f>
        <v>0.79499999999999993</v>
      </c>
      <c r="J24" s="19">
        <f>J10*B23</f>
        <v>0.80999999999999994</v>
      </c>
      <c r="K24" s="19">
        <f>K10*B23</f>
        <v>0.84</v>
      </c>
      <c r="L24" s="19">
        <f>L10*B23</f>
        <v>0.87</v>
      </c>
      <c r="M24" s="19">
        <f>M10*B23</f>
        <v>0.88500000000000001</v>
      </c>
    </row>
    <row r="25" spans="1:13" x14ac:dyDescent="0.25">
      <c r="A25" s="7"/>
      <c r="B25" s="20"/>
      <c r="C25" s="19">
        <f>C24-C23</f>
        <v>0.65999999999999992</v>
      </c>
      <c r="D25" s="19">
        <f>D24-D23</f>
        <v>0.67499999999999993</v>
      </c>
      <c r="E25" s="19">
        <f>E24-E23</f>
        <v>0.70499999999999996</v>
      </c>
      <c r="F25" s="19">
        <f>F24-F23</f>
        <v>0.72</v>
      </c>
      <c r="G25" s="19">
        <f>G24-G23</f>
        <v>0.75</v>
      </c>
      <c r="H25" s="19">
        <f>H24-H23</f>
        <v>0.76500000000000001</v>
      </c>
      <c r="I25" s="19">
        <f>I24-I23</f>
        <v>0.79499999999999993</v>
      </c>
      <c r="J25" s="19">
        <f>J24-J23</f>
        <v>0.80999999999999994</v>
      </c>
      <c r="K25" s="19">
        <f>K24-K23</f>
        <v>0.84</v>
      </c>
      <c r="L25" s="19">
        <f>L24-L23</f>
        <v>0.87</v>
      </c>
      <c r="M25" s="19">
        <f>M24-M23</f>
        <v>0.88500000000000001</v>
      </c>
    </row>
    <row r="26" spans="1:13" x14ac:dyDescent="0.25">
      <c r="A26" s="6" t="s">
        <v>108</v>
      </c>
      <c r="C26" s="13">
        <v>10</v>
      </c>
      <c r="D26" s="13">
        <v>10</v>
      </c>
      <c r="E26" s="13">
        <v>9</v>
      </c>
      <c r="F26" s="13">
        <v>8</v>
      </c>
      <c r="G26" s="13">
        <v>7</v>
      </c>
      <c r="H26" s="13">
        <v>6</v>
      </c>
      <c r="I26" s="13">
        <v>5</v>
      </c>
      <c r="J26" s="13">
        <v>4</v>
      </c>
      <c r="K26" s="13">
        <v>4</v>
      </c>
      <c r="L26" s="13">
        <v>3</v>
      </c>
      <c r="M26" s="13">
        <v>2</v>
      </c>
    </row>
    <row r="27" spans="1:13" x14ac:dyDescent="0.25">
      <c r="A27" s="6"/>
      <c r="C27" s="13">
        <f>SUM(C20,C23)</f>
        <v>11</v>
      </c>
      <c r="D27" s="13">
        <f>SUM(D20,D23)</f>
        <v>10</v>
      </c>
      <c r="E27" s="13">
        <f>SUM(E20,E23)</f>
        <v>9</v>
      </c>
      <c r="F27" s="13">
        <f>SUM(F20,F23)</f>
        <v>8</v>
      </c>
      <c r="G27" s="13">
        <f>SUM(G20,G23)</f>
        <v>7</v>
      </c>
      <c r="H27" s="13">
        <f>SUM(H20,H23)</f>
        <v>6</v>
      </c>
      <c r="I27" s="13">
        <f>SUM(I20,I23)</f>
        <v>5</v>
      </c>
      <c r="J27" s="13">
        <f>SUM(J20,J23)</f>
        <v>5</v>
      </c>
      <c r="K27" s="13">
        <f>SUM(K20,K23)</f>
        <v>4</v>
      </c>
      <c r="L27" s="13">
        <f>SUM(L20,L23)</f>
        <v>3</v>
      </c>
      <c r="M27" s="13">
        <f>SUM(M20,M23)</f>
        <v>2</v>
      </c>
    </row>
    <row r="28" spans="1:13" x14ac:dyDescent="0.25">
      <c r="A28" s="6"/>
      <c r="C28" s="13">
        <f>C27-C26</f>
        <v>1</v>
      </c>
      <c r="D28" s="13">
        <f>D27-D26</f>
        <v>0</v>
      </c>
      <c r="E28" s="13">
        <f>E27-E26</f>
        <v>0</v>
      </c>
      <c r="F28" s="13">
        <f>F27-F26</f>
        <v>0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1</v>
      </c>
      <c r="K28" s="13">
        <f>K27-K26</f>
        <v>0</v>
      </c>
      <c r="L28" s="13">
        <f>L27-L26</f>
        <v>0</v>
      </c>
      <c r="M28" s="13">
        <f>M27-M26</f>
        <v>0</v>
      </c>
    </row>
    <row r="29" spans="1:13" x14ac:dyDescent="0.25">
      <c r="A29" s="7" t="s">
        <v>212</v>
      </c>
      <c r="B29" s="20">
        <v>0.218</v>
      </c>
      <c r="C29" s="19">
        <v>-2</v>
      </c>
      <c r="D29" s="19">
        <v>-2</v>
      </c>
      <c r="E29" s="19">
        <v>-2</v>
      </c>
      <c r="F29" s="19">
        <v>-2</v>
      </c>
      <c r="G29" s="19">
        <v>-2</v>
      </c>
      <c r="H29" s="19">
        <v>-1</v>
      </c>
      <c r="I29" s="19">
        <v>-1</v>
      </c>
      <c r="J29" s="19">
        <v>-1</v>
      </c>
      <c r="K29" s="19">
        <v>-1</v>
      </c>
      <c r="L29" s="19">
        <v>-1</v>
      </c>
      <c r="M29" s="19">
        <v>-1</v>
      </c>
    </row>
    <row r="30" spans="1:13" x14ac:dyDescent="0.25">
      <c r="A30" s="7"/>
      <c r="B30" s="20"/>
      <c r="C30" s="19">
        <f>C26*B29</f>
        <v>2.1800000000000002</v>
      </c>
      <c r="D30" s="19">
        <f>D26*B29</f>
        <v>2.1800000000000002</v>
      </c>
      <c r="E30" s="19">
        <f>E26*B29</f>
        <v>1.962</v>
      </c>
      <c r="F30" s="19">
        <f>F26*B29</f>
        <v>1.744</v>
      </c>
      <c r="G30" s="19">
        <f>G26*B29</f>
        <v>1.526</v>
      </c>
      <c r="H30" s="19">
        <f>H26*B29</f>
        <v>1.3080000000000001</v>
      </c>
      <c r="I30" s="19">
        <f>I26*B29</f>
        <v>1.0900000000000001</v>
      </c>
      <c r="J30" s="19">
        <f>J26*B29</f>
        <v>0.872</v>
      </c>
      <c r="K30" s="19">
        <f>K26*B29</f>
        <v>0.872</v>
      </c>
      <c r="L30" s="19">
        <f>L26*B29</f>
        <v>0.65400000000000003</v>
      </c>
      <c r="M30" s="19">
        <f>M26*B29</f>
        <v>0.436</v>
      </c>
    </row>
    <row r="31" spans="1:13" x14ac:dyDescent="0.25">
      <c r="A31" s="7"/>
      <c r="B31" s="20"/>
      <c r="C31" s="19">
        <f>C30-C29</f>
        <v>4.18</v>
      </c>
      <c r="D31" s="19">
        <f>D30-D29</f>
        <v>4.18</v>
      </c>
      <c r="E31" s="19">
        <f>E30-E29</f>
        <v>3.9619999999999997</v>
      </c>
      <c r="F31" s="19">
        <f>F30-F29</f>
        <v>3.7439999999999998</v>
      </c>
      <c r="G31" s="19">
        <f>G30-G29</f>
        <v>3.5259999999999998</v>
      </c>
      <c r="H31" s="19">
        <f>H30-H29</f>
        <v>2.3079999999999998</v>
      </c>
      <c r="I31" s="19">
        <f>I30-I29</f>
        <v>2.09</v>
      </c>
      <c r="J31" s="19">
        <f>J30-J29</f>
        <v>1.8719999999999999</v>
      </c>
      <c r="K31" s="19">
        <f>K30-K29</f>
        <v>1.8719999999999999</v>
      </c>
      <c r="L31" s="19">
        <f>L30-L29</f>
        <v>1.6539999999999999</v>
      </c>
      <c r="M31" s="19">
        <f>M30-M29</f>
        <v>1.4359999999999999</v>
      </c>
    </row>
    <row r="32" spans="1:13" x14ac:dyDescent="0.25">
      <c r="A32" s="6" t="s">
        <v>213</v>
      </c>
      <c r="C32" s="13">
        <v>8</v>
      </c>
      <c r="D32" s="13">
        <v>8</v>
      </c>
      <c r="E32" s="13">
        <v>7</v>
      </c>
      <c r="F32" s="13">
        <v>6</v>
      </c>
      <c r="G32" s="13">
        <v>6</v>
      </c>
      <c r="H32" s="13">
        <v>5</v>
      </c>
      <c r="I32" s="13">
        <v>4</v>
      </c>
      <c r="J32" s="13">
        <v>3</v>
      </c>
      <c r="K32" s="13">
        <v>3</v>
      </c>
      <c r="L32" s="13">
        <v>2</v>
      </c>
      <c r="M32" s="13">
        <v>2</v>
      </c>
    </row>
    <row r="33" spans="1:13" x14ac:dyDescent="0.25">
      <c r="A33" s="6"/>
      <c r="C33" s="13">
        <f>SUM(C26,C29)</f>
        <v>8</v>
      </c>
      <c r="D33" s="13">
        <f>SUM(D26,D29)</f>
        <v>8</v>
      </c>
      <c r="E33" s="13">
        <f>SUM(E26,E29)</f>
        <v>7</v>
      </c>
      <c r="F33" s="13">
        <f>SUM(F26,F29)</f>
        <v>6</v>
      </c>
      <c r="G33" s="13">
        <f>SUM(G26,G29)</f>
        <v>5</v>
      </c>
      <c r="H33" s="13">
        <f>SUM(H26,H29)</f>
        <v>5</v>
      </c>
      <c r="I33" s="13">
        <f>SUM(I26,I29)</f>
        <v>4</v>
      </c>
      <c r="J33" s="13">
        <f>SUM(J26,J29)</f>
        <v>3</v>
      </c>
      <c r="K33" s="13">
        <f>SUM(K26,K29)</f>
        <v>3</v>
      </c>
      <c r="L33" s="13">
        <f>SUM(L26,L29)</f>
        <v>2</v>
      </c>
      <c r="M33" s="13">
        <f>SUM(M26,M29)</f>
        <v>1</v>
      </c>
    </row>
    <row r="34" spans="1:13" x14ac:dyDescent="0.25">
      <c r="A34" s="6"/>
      <c r="C34" s="13">
        <f>C33-C32</f>
        <v>0</v>
      </c>
      <c r="D34" s="13">
        <f>D33-D32</f>
        <v>0</v>
      </c>
      <c r="E34" s="13">
        <f>E33-E32</f>
        <v>0</v>
      </c>
      <c r="F34" s="13">
        <f>F33-F32</f>
        <v>0</v>
      </c>
      <c r="G34" s="13">
        <f>G33-G32</f>
        <v>-1</v>
      </c>
      <c r="H34" s="13">
        <f>H33-H32</f>
        <v>0</v>
      </c>
      <c r="I34" s="13">
        <f>I33-I32</f>
        <v>0</v>
      </c>
      <c r="J34" s="13">
        <f>J33-J32</f>
        <v>0</v>
      </c>
      <c r="K34" s="13">
        <f>K33-K32</f>
        <v>0</v>
      </c>
      <c r="L34" s="13">
        <f>L33-L32</f>
        <v>0</v>
      </c>
      <c r="M34" s="13">
        <f>M33-M32</f>
        <v>-1</v>
      </c>
    </row>
    <row r="35" spans="1:13" x14ac:dyDescent="0.25">
      <c r="A35" s="7" t="s">
        <v>214</v>
      </c>
      <c r="C35" s="19">
        <v>-1</v>
      </c>
      <c r="D35" s="19">
        <v>-1</v>
      </c>
      <c r="E35" s="19">
        <v>-1</v>
      </c>
      <c r="F35" s="19">
        <v>-1</v>
      </c>
      <c r="G35" s="19">
        <v>-1</v>
      </c>
      <c r="H35" s="19">
        <v>-1</v>
      </c>
      <c r="I35" s="19">
        <v>0</v>
      </c>
      <c r="J35" s="19">
        <v>0</v>
      </c>
      <c r="K35" s="19">
        <v>0</v>
      </c>
      <c r="L35" s="19">
        <v>0</v>
      </c>
      <c r="M35" s="19">
        <v>0</v>
      </c>
    </row>
    <row r="36" spans="1:13" x14ac:dyDescent="0.25">
      <c r="A36" s="6" t="s">
        <v>215</v>
      </c>
      <c r="C36" s="13">
        <v>7</v>
      </c>
      <c r="D36" s="13">
        <v>7</v>
      </c>
      <c r="E36" s="13">
        <v>6</v>
      </c>
      <c r="F36" s="13">
        <v>5</v>
      </c>
      <c r="G36" s="13">
        <v>5</v>
      </c>
      <c r="H36" s="13">
        <v>4</v>
      </c>
      <c r="I36" s="13">
        <v>4</v>
      </c>
      <c r="J36" s="13">
        <v>3</v>
      </c>
      <c r="K36" s="13">
        <v>3</v>
      </c>
      <c r="L36" s="13">
        <v>2</v>
      </c>
      <c r="M36" s="13">
        <v>2</v>
      </c>
    </row>
    <row r="37" spans="1:13" x14ac:dyDescent="0.25">
      <c r="A37" s="6"/>
      <c r="C37" s="13">
        <f>SUM(C32,C35)</f>
        <v>7</v>
      </c>
      <c r="D37" s="13">
        <f>SUM(D32,D35)</f>
        <v>7</v>
      </c>
      <c r="E37" s="13">
        <f>SUM(E32,E35)</f>
        <v>6</v>
      </c>
      <c r="F37" s="13">
        <f>SUM(F32,F35)</f>
        <v>5</v>
      </c>
      <c r="G37" s="13">
        <f>SUM(G32,G35)</f>
        <v>5</v>
      </c>
      <c r="H37" s="13">
        <f>SUM(H32,H35)</f>
        <v>4</v>
      </c>
      <c r="I37" s="13">
        <f>SUM(I32,I35)</f>
        <v>4</v>
      </c>
      <c r="J37" s="13">
        <f>SUM(J32,J35)</f>
        <v>3</v>
      </c>
      <c r="K37" s="13">
        <f>SUM(K32,K35)</f>
        <v>3</v>
      </c>
      <c r="L37" s="13">
        <f>SUM(L32,L35)</f>
        <v>2</v>
      </c>
      <c r="M37" s="13">
        <f>SUM(M32,M35)</f>
        <v>2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0</v>
      </c>
      <c r="L38" s="13">
        <f>L37-L36</f>
        <v>0</v>
      </c>
      <c r="M38" s="13">
        <f>M37-M36</f>
        <v>0</v>
      </c>
    </row>
    <row r="39" spans="1:13" x14ac:dyDescent="0.25">
      <c r="A39" s="7" t="s">
        <v>115</v>
      </c>
      <c r="B39" s="20">
        <v>0.11</v>
      </c>
      <c r="C39" s="23">
        <v>0.32590000000000002</v>
      </c>
      <c r="D39" s="23">
        <v>0.29360000000000003</v>
      </c>
      <c r="E39" s="23">
        <v>0.26450000000000001</v>
      </c>
      <c r="F39" s="23">
        <v>0.23830000000000001</v>
      </c>
      <c r="G39" s="23">
        <v>0.2147</v>
      </c>
      <c r="H39" s="23">
        <v>0.19339999999999999</v>
      </c>
      <c r="I39" s="23">
        <v>0.17419999999999999</v>
      </c>
      <c r="J39" s="24">
        <v>0.157</v>
      </c>
      <c r="K39" s="23">
        <v>0.1414</v>
      </c>
      <c r="L39" s="23">
        <v>0.12740000000000001</v>
      </c>
      <c r="M39" s="23">
        <v>0.1148</v>
      </c>
    </row>
    <row r="40" spans="1:13" x14ac:dyDescent="0.25">
      <c r="A40" s="6" t="s">
        <v>116</v>
      </c>
      <c r="C40" s="13">
        <v>2</v>
      </c>
      <c r="D40" s="13">
        <v>2</v>
      </c>
      <c r="E40" s="13">
        <v>2</v>
      </c>
      <c r="F40" s="13">
        <v>1</v>
      </c>
      <c r="G40" s="13">
        <v>1</v>
      </c>
      <c r="H40" s="13">
        <v>1</v>
      </c>
      <c r="I40" s="13">
        <v>1</v>
      </c>
      <c r="J40" s="13">
        <v>0</v>
      </c>
      <c r="K40" s="13">
        <v>0</v>
      </c>
      <c r="L40" s="13">
        <v>0</v>
      </c>
      <c r="M40" s="13">
        <v>0</v>
      </c>
    </row>
    <row r="41" spans="1:13" x14ac:dyDescent="0.25">
      <c r="A41" s="6"/>
      <c r="C41" s="13">
        <f>C36*C39</f>
        <v>2.2813000000000003</v>
      </c>
      <c r="D41" s="13">
        <f>D36*D39</f>
        <v>2.0552000000000001</v>
      </c>
      <c r="E41" s="13">
        <f>E36*E39</f>
        <v>1.5870000000000002</v>
      </c>
      <c r="F41" s="13">
        <f>F36*F39</f>
        <v>1.1915</v>
      </c>
      <c r="G41" s="13">
        <f>G36*G39</f>
        <v>1.0735000000000001</v>
      </c>
      <c r="H41" s="13">
        <f>H36*H39</f>
        <v>0.77359999999999995</v>
      </c>
      <c r="I41" s="13">
        <f>I36*I39</f>
        <v>0.69679999999999997</v>
      </c>
      <c r="J41" s="13">
        <f>J36*J39</f>
        <v>0.47099999999999997</v>
      </c>
      <c r="K41" s="13">
        <f>K36*K39</f>
        <v>0.42420000000000002</v>
      </c>
      <c r="L41" s="13">
        <f>L36*L39</f>
        <v>0.25480000000000003</v>
      </c>
      <c r="M41" s="13">
        <f>M36*M39</f>
        <v>0.2296</v>
      </c>
    </row>
    <row r="42" spans="1:13" x14ac:dyDescent="0.25">
      <c r="A42" s="6"/>
      <c r="C42" s="13">
        <f>C41-C40</f>
        <v>0.28130000000000033</v>
      </c>
      <c r="D42" s="13">
        <f>D41-D40</f>
        <v>5.5200000000000138E-2</v>
      </c>
      <c r="E42" s="13">
        <f>E41-E40</f>
        <v>-0.41299999999999981</v>
      </c>
      <c r="F42" s="13">
        <f>F41-F40</f>
        <v>0.1915</v>
      </c>
      <c r="G42" s="13">
        <f>G41-G40</f>
        <v>7.3500000000000121E-2</v>
      </c>
      <c r="H42" s="13">
        <f>H41-H40</f>
        <v>-0.22640000000000005</v>
      </c>
      <c r="I42" s="13">
        <f>I41-I40</f>
        <v>-0.30320000000000003</v>
      </c>
      <c r="J42" s="13">
        <f>J41-J40</f>
        <v>0.47099999999999997</v>
      </c>
      <c r="K42" s="13">
        <f>K41-K40</f>
        <v>0.42420000000000002</v>
      </c>
      <c r="L42" s="13">
        <f>L41-L40</f>
        <v>0.25480000000000003</v>
      </c>
      <c r="M42" s="13">
        <f>M41-M40</f>
        <v>0.2296</v>
      </c>
    </row>
    <row r="43" spans="1:13" x14ac:dyDescent="0.25">
      <c r="A43" s="9" t="s">
        <v>221</v>
      </c>
    </row>
    <row r="44" spans="1:13" x14ac:dyDescent="0.25">
      <c r="A44" s="7" t="s">
        <v>222</v>
      </c>
      <c r="C44" s="20">
        <v>0.03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  <c r="L44" s="20">
        <v>0.03</v>
      </c>
      <c r="M44" s="20">
        <v>0.03</v>
      </c>
    </row>
    <row r="45" spans="1:13" x14ac:dyDescent="0.25">
      <c r="A45" s="7" t="s">
        <v>224</v>
      </c>
      <c r="C45" s="20">
        <v>0.41899999999999998</v>
      </c>
      <c r="D45" s="20">
        <v>0.41899999999999998</v>
      </c>
      <c r="E45" s="20">
        <v>0.41899999999999998</v>
      </c>
      <c r="F45" s="20">
        <v>0.41899999999999998</v>
      </c>
      <c r="G45" s="20">
        <v>0.41899999999999998</v>
      </c>
      <c r="H45" s="20">
        <v>0.41899999999999998</v>
      </c>
      <c r="I45" s="20">
        <v>0.41899999999999998</v>
      </c>
      <c r="J45" s="20">
        <v>0.41899999999999998</v>
      </c>
      <c r="K45" s="20">
        <v>0.41899999999999998</v>
      </c>
      <c r="L45" s="20">
        <v>0.41899999999999998</v>
      </c>
      <c r="M45" s="20">
        <v>0.41899999999999998</v>
      </c>
    </row>
    <row r="46" spans="1:13" x14ac:dyDescent="0.25">
      <c r="A46" s="7" t="s">
        <v>107</v>
      </c>
      <c r="C46" s="20">
        <v>4.9000000000000002E-2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  <c r="L46" s="20">
        <v>4.9000000000000002E-2</v>
      </c>
      <c r="M46" s="20">
        <v>4.9000000000000002E-2</v>
      </c>
    </row>
    <row r="47" spans="1:13" x14ac:dyDescent="0.25">
      <c r="A47" s="7" t="s">
        <v>225</v>
      </c>
      <c r="C47" s="20">
        <v>0.37</v>
      </c>
      <c r="D47" s="20">
        <v>0.37</v>
      </c>
      <c r="E47" s="20">
        <v>0.37</v>
      </c>
      <c r="F47" s="20">
        <v>0.37</v>
      </c>
      <c r="G47" s="20">
        <v>0.37</v>
      </c>
      <c r="H47" s="20">
        <v>0.37</v>
      </c>
      <c r="I47" s="20">
        <v>0.37</v>
      </c>
      <c r="J47" s="20">
        <v>0.37</v>
      </c>
      <c r="K47" s="20">
        <v>0.37</v>
      </c>
      <c r="L47" s="20">
        <v>0.37</v>
      </c>
      <c r="M47" s="20">
        <v>0.37</v>
      </c>
    </row>
    <row r="48" spans="1:13" x14ac:dyDescent="0.25">
      <c r="A48" s="7" t="s">
        <v>240</v>
      </c>
      <c r="C48" s="20">
        <v>3.2000000000000001E-2</v>
      </c>
      <c r="D48" s="20">
        <v>3.2000000000000001E-2</v>
      </c>
      <c r="E48" s="20">
        <v>3.2000000000000001E-2</v>
      </c>
      <c r="F48" s="20">
        <v>3.2000000000000001E-2</v>
      </c>
      <c r="G48" s="20">
        <v>3.2000000000000001E-2</v>
      </c>
      <c r="H48" s="20">
        <v>3.2000000000000001E-2</v>
      </c>
      <c r="I48" s="20">
        <v>3.2000000000000001E-2</v>
      </c>
      <c r="J48" s="20">
        <v>3.2000000000000001E-2</v>
      </c>
      <c r="K48" s="20">
        <v>3.2000000000000001E-2</v>
      </c>
      <c r="L48" s="20">
        <v>3.2000000000000001E-2</v>
      </c>
      <c r="M48" s="20">
        <v>3.2000000000000001E-2</v>
      </c>
    </row>
    <row r="49" spans="1:13" x14ac:dyDescent="0.25">
      <c r="A49" s="16" t="s">
        <v>127</v>
      </c>
    </row>
    <row r="50" spans="1:13" x14ac:dyDescent="0.25">
      <c r="A50" s="7" t="s">
        <v>227</v>
      </c>
    </row>
    <row r="51" spans="1:13" x14ac:dyDescent="0.25">
      <c r="A51" s="16" t="s">
        <v>61</v>
      </c>
    </row>
    <row r="52" spans="1:13" x14ac:dyDescent="0.25">
      <c r="A52" s="9" t="s">
        <v>62</v>
      </c>
      <c r="M52" s="32" t="s">
        <v>63</v>
      </c>
    </row>
    <row r="53" spans="1:13" x14ac:dyDescent="0.25">
      <c r="A53" s="9"/>
      <c r="M53" s="32"/>
    </row>
    <row r="54" spans="1:13" x14ac:dyDescent="0.25">
      <c r="A54" s="9"/>
      <c r="M54" s="32"/>
    </row>
    <row r="55" spans="1:13" x14ac:dyDescent="0.25">
      <c r="F55" s="5" t="s">
        <v>6</v>
      </c>
    </row>
    <row r="56" spans="1:13" x14ac:dyDescent="0.25">
      <c r="F56" s="5"/>
    </row>
    <row r="57" spans="1:13" x14ac:dyDescent="0.25">
      <c r="F57" s="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M57"/>
  <sheetViews>
    <sheetView topLeftCell="A16"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260</v>
      </c>
    </row>
    <row r="3" spans="1:13" x14ac:dyDescent="0.25">
      <c r="A3" s="6" t="s">
        <v>9</v>
      </c>
    </row>
    <row r="4" spans="1:13" x14ac:dyDescent="0.25">
      <c r="A4" s="6" t="s">
        <v>258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D7" s="9" t="s">
        <v>242</v>
      </c>
      <c r="E7" s="9" t="s">
        <v>243</v>
      </c>
      <c r="F7" s="9" t="s">
        <v>244</v>
      </c>
      <c r="G7" s="9" t="s">
        <v>245</v>
      </c>
      <c r="H7" s="9" t="s">
        <v>246</v>
      </c>
      <c r="I7" s="9" t="s">
        <v>247</v>
      </c>
      <c r="J7" s="9" t="s">
        <v>248</v>
      </c>
      <c r="K7" s="9" t="s">
        <v>249</v>
      </c>
      <c r="L7" s="9" t="s">
        <v>250</v>
      </c>
    </row>
    <row r="8" spans="1:13" x14ac:dyDescent="0.25">
      <c r="A8" s="7" t="s">
        <v>203</v>
      </c>
      <c r="D8" s="10">
        <v>61</v>
      </c>
      <c r="E8" s="10">
        <v>63</v>
      </c>
      <c r="F8" s="10">
        <v>65</v>
      </c>
      <c r="G8" s="10">
        <v>67</v>
      </c>
      <c r="H8" s="10">
        <v>69</v>
      </c>
      <c r="I8" s="10">
        <v>71</v>
      </c>
      <c r="J8" s="10">
        <v>73</v>
      </c>
      <c r="K8" s="10">
        <v>75</v>
      </c>
      <c r="L8" s="10">
        <v>77</v>
      </c>
    </row>
    <row r="9" spans="1:13" x14ac:dyDescent="0.25">
      <c r="A9" s="7" t="s">
        <v>204</v>
      </c>
    </row>
    <row r="10" spans="1:13" x14ac:dyDescent="0.25">
      <c r="A10" s="7" t="s">
        <v>253</v>
      </c>
      <c r="D10" s="10">
        <v>61</v>
      </c>
      <c r="E10" s="10">
        <v>63</v>
      </c>
      <c r="F10" s="10">
        <v>65</v>
      </c>
      <c r="G10" s="10">
        <v>67</v>
      </c>
      <c r="H10" s="10">
        <v>69</v>
      </c>
      <c r="I10" s="10">
        <v>71</v>
      </c>
      <c r="J10" s="10">
        <v>73</v>
      </c>
      <c r="K10" s="10">
        <v>75</v>
      </c>
      <c r="L10" s="10">
        <v>77</v>
      </c>
    </row>
    <row r="11" spans="1:13" x14ac:dyDescent="0.25">
      <c r="A11" s="7"/>
      <c r="C11">
        <f>SUM(C8:C9)</f>
        <v>0</v>
      </c>
      <c r="D11" s="10">
        <f>SUM(D8:D9)</f>
        <v>61</v>
      </c>
      <c r="E11" s="10">
        <f>SUM(E8:E9)</f>
        <v>63</v>
      </c>
      <c r="F11" s="10">
        <f>SUM(F8:F9)</f>
        <v>65</v>
      </c>
      <c r="G11" s="10">
        <f>SUM(G8:G9)</f>
        <v>67</v>
      </c>
      <c r="H11" s="10">
        <f>SUM(H8:H9)</f>
        <v>69</v>
      </c>
      <c r="I11" s="10">
        <f>SUM(I8:I9)</f>
        <v>71</v>
      </c>
      <c r="J11" s="10">
        <f>SUM(J8:J9)</f>
        <v>73</v>
      </c>
      <c r="K11" s="10">
        <f>SUM(K8:K9)</f>
        <v>75</v>
      </c>
      <c r="L11" s="10">
        <f>SUM(L8:L9)</f>
        <v>77</v>
      </c>
      <c r="M11">
        <f>SUM(M8:M9)</f>
        <v>0</v>
      </c>
    </row>
    <row r="12" spans="1:13" x14ac:dyDescent="0.25">
      <c r="A12" s="7"/>
      <c r="C12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>
        <f>M11-M10</f>
        <v>0</v>
      </c>
    </row>
    <row r="13" spans="1:13" x14ac:dyDescent="0.25">
      <c r="A13" s="7" t="s">
        <v>206</v>
      </c>
      <c r="C13" s="7" t="s">
        <v>254</v>
      </c>
      <c r="D13" s="20">
        <v>8.5999999999999993E-2</v>
      </c>
      <c r="E13" s="20">
        <v>6.4000000000000001E-2</v>
      </c>
      <c r="F13" s="20">
        <v>4.7E-2</v>
      </c>
      <c r="G13" s="20">
        <v>3.3000000000000002E-2</v>
      </c>
      <c r="H13" s="20">
        <v>2.3E-2</v>
      </c>
      <c r="I13" s="20">
        <v>1.6E-2</v>
      </c>
      <c r="J13" s="20">
        <v>1.0999999999999999E-2</v>
      </c>
      <c r="K13" s="20">
        <v>7.0000000000000001E-3</v>
      </c>
      <c r="L13" s="20">
        <v>5.0000000000000001E-3</v>
      </c>
    </row>
    <row r="14" spans="1:13" x14ac:dyDescent="0.25">
      <c r="A14" s="7" t="s">
        <v>208</v>
      </c>
      <c r="D14" s="10">
        <v>5</v>
      </c>
      <c r="E14" s="10">
        <v>4</v>
      </c>
      <c r="F14" s="10">
        <v>3</v>
      </c>
      <c r="G14" s="10">
        <v>2</v>
      </c>
      <c r="H14" s="10">
        <v>2</v>
      </c>
      <c r="I14" s="10">
        <v>1</v>
      </c>
      <c r="J14" s="10">
        <v>1</v>
      </c>
      <c r="K14" s="10">
        <v>1</v>
      </c>
      <c r="L14" s="10">
        <v>0</v>
      </c>
    </row>
    <row r="15" spans="1:13" x14ac:dyDescent="0.25">
      <c r="A15" s="7"/>
      <c r="C15" t="e">
        <f>C10*C13</f>
        <v>#VALUE!</v>
      </c>
      <c r="D15" s="10">
        <f>D10*D13</f>
        <v>5.2459999999999996</v>
      </c>
      <c r="E15" s="10">
        <f>E10*E13</f>
        <v>4.032</v>
      </c>
      <c r="F15" s="10">
        <f>F10*F13</f>
        <v>3.0550000000000002</v>
      </c>
      <c r="G15" s="10">
        <f>G10*G13</f>
        <v>2.2110000000000003</v>
      </c>
      <c r="H15" s="10">
        <f>H10*H13</f>
        <v>1.587</v>
      </c>
      <c r="I15" s="10">
        <f>I10*I13</f>
        <v>1.1360000000000001</v>
      </c>
      <c r="J15" s="10">
        <f>J10*J13</f>
        <v>0.80299999999999994</v>
      </c>
      <c r="K15" s="10">
        <f>K10*K13</f>
        <v>0.52500000000000002</v>
      </c>
      <c r="L15" s="10">
        <f>L10*L13</f>
        <v>0.38500000000000001</v>
      </c>
      <c r="M15">
        <f>M10*M13</f>
        <v>0</v>
      </c>
    </row>
    <row r="16" spans="1:13" x14ac:dyDescent="0.25">
      <c r="A16" s="7"/>
      <c r="C16" t="e">
        <f>C15-C14</f>
        <v>#VALUE!</v>
      </c>
      <c r="D16" s="10">
        <f>D15-D14</f>
        <v>0.24599999999999955</v>
      </c>
      <c r="E16" s="10">
        <f>E15-E14</f>
        <v>3.2000000000000028E-2</v>
      </c>
      <c r="F16" s="10">
        <f>F15-F14</f>
        <v>5.500000000000016E-2</v>
      </c>
      <c r="G16" s="10">
        <f>G15-G14</f>
        <v>0.2110000000000003</v>
      </c>
      <c r="H16" s="10">
        <f>H15-H14</f>
        <v>-0.41300000000000003</v>
      </c>
      <c r="I16" s="10">
        <f>I15-I14</f>
        <v>0.13600000000000012</v>
      </c>
      <c r="J16" s="10">
        <f>J15-J14</f>
        <v>-0.19700000000000006</v>
      </c>
      <c r="K16" s="10">
        <f>K15-K14</f>
        <v>-0.47499999999999998</v>
      </c>
      <c r="L16" s="10">
        <f>L15-L14</f>
        <v>0.38500000000000001</v>
      </c>
      <c r="M16">
        <f>M15-M14</f>
        <v>0</v>
      </c>
    </row>
    <row r="17" spans="1:13" x14ac:dyDescent="0.25">
      <c r="A17" s="6" t="s">
        <v>205</v>
      </c>
      <c r="D17" s="13">
        <v>5</v>
      </c>
      <c r="E17" s="13">
        <v>4</v>
      </c>
      <c r="F17" s="13">
        <v>3</v>
      </c>
      <c r="G17" s="13">
        <v>2</v>
      </c>
      <c r="H17" s="13">
        <v>2</v>
      </c>
      <c r="I17" s="13">
        <v>1</v>
      </c>
      <c r="J17" s="13">
        <v>1</v>
      </c>
      <c r="K17" s="13">
        <v>1</v>
      </c>
      <c r="L17" s="13">
        <v>0</v>
      </c>
    </row>
    <row r="18" spans="1:13" x14ac:dyDescent="0.25">
      <c r="A18" s="6" t="s">
        <v>106</v>
      </c>
      <c r="D18" s="13">
        <v>2</v>
      </c>
      <c r="E18" s="13">
        <v>2</v>
      </c>
      <c r="F18" s="13">
        <v>1</v>
      </c>
      <c r="G18" s="13">
        <v>1</v>
      </c>
      <c r="H18" s="13">
        <v>1</v>
      </c>
      <c r="I18" s="13">
        <v>0</v>
      </c>
      <c r="J18" s="13">
        <v>0</v>
      </c>
      <c r="K18" s="13">
        <v>0</v>
      </c>
      <c r="L18" s="13">
        <v>0</v>
      </c>
    </row>
    <row r="19" spans="1:13" x14ac:dyDescent="0.25">
      <c r="A19" s="7" t="s">
        <v>107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  <c r="L19" s="19">
        <v>0</v>
      </c>
    </row>
    <row r="20" spans="1:13" x14ac:dyDescent="0.25">
      <c r="A20" s="6" t="s">
        <v>211</v>
      </c>
      <c r="D20" s="13">
        <v>2</v>
      </c>
      <c r="E20" s="13">
        <v>1</v>
      </c>
      <c r="F20" s="13">
        <v>1</v>
      </c>
      <c r="G20" s="13">
        <v>1</v>
      </c>
      <c r="H20" s="13">
        <v>1</v>
      </c>
      <c r="I20" s="13">
        <v>0</v>
      </c>
      <c r="J20" s="13">
        <v>0</v>
      </c>
      <c r="K20" s="13">
        <v>0</v>
      </c>
      <c r="L20" s="13">
        <v>0</v>
      </c>
    </row>
    <row r="21" spans="1:13" x14ac:dyDescent="0.25">
      <c r="A21" s="6"/>
      <c r="C21">
        <f>SUM(C18,C19)</f>
        <v>0</v>
      </c>
      <c r="D21" s="13">
        <f>SUM(D18,D19)</f>
        <v>2</v>
      </c>
      <c r="E21" s="13">
        <f>SUM(E18,E19)</f>
        <v>2</v>
      </c>
      <c r="F21" s="13">
        <f>SUM(F18,F19)</f>
        <v>1</v>
      </c>
      <c r="G21" s="13">
        <f>SUM(G18,G19)</f>
        <v>1</v>
      </c>
      <c r="H21" s="13">
        <f>SUM(H18,H19)</f>
        <v>1</v>
      </c>
      <c r="I21" s="13">
        <f>SUM(I18,I19)</f>
        <v>0</v>
      </c>
      <c r="J21" s="13">
        <f>SUM(J18,J19)</f>
        <v>0</v>
      </c>
      <c r="K21" s="13">
        <f>SUM(K18,K19)</f>
        <v>0</v>
      </c>
      <c r="L21" s="13">
        <f>SUM(L18,L19)</f>
        <v>0</v>
      </c>
      <c r="M21">
        <f>SUM(M18,M19)</f>
        <v>0</v>
      </c>
    </row>
    <row r="22" spans="1:13" x14ac:dyDescent="0.25">
      <c r="A22" s="6"/>
      <c r="C22">
        <f>C21-C20</f>
        <v>0</v>
      </c>
      <c r="D22" s="13">
        <f>D21-D20</f>
        <v>0</v>
      </c>
      <c r="E22" s="13">
        <f>E21-E20</f>
        <v>1</v>
      </c>
      <c r="F22" s="13">
        <f>F21-F20</f>
        <v>0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0</v>
      </c>
      <c r="K22" s="13">
        <f>K21-K20</f>
        <v>0</v>
      </c>
      <c r="L22" s="13">
        <f>L21-L20</f>
        <v>0</v>
      </c>
      <c r="M22">
        <f>M21-M20</f>
        <v>0</v>
      </c>
    </row>
    <row r="23" spans="1:13" x14ac:dyDescent="0.25">
      <c r="A23" s="7" t="s">
        <v>210</v>
      </c>
      <c r="C23" s="20">
        <v>1.4999999999999999E-2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</row>
    <row r="24" spans="1:13" x14ac:dyDescent="0.25">
      <c r="A24" s="7"/>
      <c r="C24" s="20">
        <f>C10*B23</f>
        <v>0</v>
      </c>
      <c r="D24" s="19">
        <f>D10*B23</f>
        <v>0</v>
      </c>
      <c r="E24" s="19">
        <f>E10*B23</f>
        <v>0</v>
      </c>
      <c r="F24" s="19">
        <f>F10*B23</f>
        <v>0</v>
      </c>
      <c r="G24" s="19">
        <f>G10*B23</f>
        <v>0</v>
      </c>
      <c r="H24" s="19">
        <f>H10*B23</f>
        <v>0</v>
      </c>
      <c r="I24" s="19">
        <f>I10*B23</f>
        <v>0</v>
      </c>
      <c r="J24" s="19">
        <f>J10*B23</f>
        <v>0</v>
      </c>
      <c r="K24" s="19">
        <f>K10*B23</f>
        <v>0</v>
      </c>
      <c r="L24" s="19">
        <f>L10*B23</f>
        <v>0</v>
      </c>
      <c r="M24">
        <f>M10*B23</f>
        <v>0</v>
      </c>
    </row>
    <row r="25" spans="1:13" x14ac:dyDescent="0.25">
      <c r="A25" s="7"/>
      <c r="C25" s="20">
        <f>C24-C23</f>
        <v>-1.4999999999999999E-2</v>
      </c>
      <c r="D25" s="19">
        <f>D24-D23</f>
        <v>0</v>
      </c>
      <c r="E25" s="19">
        <f>E24-E23</f>
        <v>0</v>
      </c>
      <c r="F25" s="19">
        <f>F24-F23</f>
        <v>0</v>
      </c>
      <c r="G25" s="19">
        <f>G24-G23</f>
        <v>0</v>
      </c>
      <c r="H25" s="19">
        <f>H24-H23</f>
        <v>0</v>
      </c>
      <c r="I25" s="19">
        <f>I24-I23</f>
        <v>0</v>
      </c>
      <c r="J25" s="19">
        <f>J24-J23</f>
        <v>0</v>
      </c>
      <c r="K25" s="19">
        <f>K24-K23</f>
        <v>0</v>
      </c>
      <c r="L25" s="19">
        <f>L24-L23</f>
        <v>0</v>
      </c>
      <c r="M25">
        <f>M24-M23</f>
        <v>0</v>
      </c>
    </row>
    <row r="26" spans="1:13" x14ac:dyDescent="0.25">
      <c r="A26" s="6" t="s">
        <v>108</v>
      </c>
      <c r="D26" s="13">
        <v>2</v>
      </c>
      <c r="E26" s="13">
        <v>1</v>
      </c>
      <c r="F26" s="13">
        <v>1</v>
      </c>
      <c r="G26" s="13">
        <v>1</v>
      </c>
      <c r="H26" s="13">
        <v>1</v>
      </c>
      <c r="I26" s="13">
        <v>0</v>
      </c>
      <c r="J26" s="13">
        <v>0</v>
      </c>
      <c r="K26" s="13">
        <v>0</v>
      </c>
      <c r="L26" s="13">
        <v>0</v>
      </c>
    </row>
    <row r="27" spans="1:13" x14ac:dyDescent="0.25">
      <c r="A27" s="6"/>
      <c r="C27" s="57">
        <f>SUM(C20,C23)</f>
        <v>1.4999999999999999E-2</v>
      </c>
      <c r="D27" s="13">
        <f>SUM(D20,D23)</f>
        <v>2</v>
      </c>
      <c r="E27" s="13">
        <f>SUM(E20,E23)</f>
        <v>1</v>
      </c>
      <c r="F27" s="13">
        <f>SUM(F20,F23)</f>
        <v>1</v>
      </c>
      <c r="G27" s="13">
        <f>SUM(G20,G23)</f>
        <v>1</v>
      </c>
      <c r="H27" s="13">
        <f>SUM(H20,H23)</f>
        <v>1</v>
      </c>
      <c r="I27" s="13">
        <f>SUM(I20,I23)</f>
        <v>0</v>
      </c>
      <c r="J27" s="13">
        <f>SUM(J20,J23)</f>
        <v>0</v>
      </c>
      <c r="K27" s="13">
        <f>SUM(K20,K23)</f>
        <v>0</v>
      </c>
      <c r="L27" s="13">
        <f>SUM(L20,L23)</f>
        <v>0</v>
      </c>
      <c r="M27">
        <f>SUM(M20,M23)</f>
        <v>0</v>
      </c>
    </row>
    <row r="28" spans="1:13" x14ac:dyDescent="0.25">
      <c r="A28" s="6"/>
      <c r="C28" s="57">
        <f>C27-C26</f>
        <v>1.4999999999999999E-2</v>
      </c>
      <c r="D28" s="13">
        <f>D27-D26</f>
        <v>0</v>
      </c>
      <c r="E28" s="13">
        <f>E27-E26</f>
        <v>0</v>
      </c>
      <c r="F28" s="13">
        <f>F27-F26</f>
        <v>0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0</v>
      </c>
      <c r="L28" s="13">
        <f>L27-L26</f>
        <v>0</v>
      </c>
      <c r="M28">
        <f>M27-M26</f>
        <v>0</v>
      </c>
    </row>
    <row r="29" spans="1:13" x14ac:dyDescent="0.25">
      <c r="A29" s="7" t="s">
        <v>212</v>
      </c>
      <c r="C29" s="20">
        <v>0.218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</row>
    <row r="30" spans="1:13" x14ac:dyDescent="0.25">
      <c r="A30" s="7"/>
      <c r="C30" s="20">
        <f>C26*B29</f>
        <v>0</v>
      </c>
      <c r="D30" s="19">
        <f>D26*B29</f>
        <v>0</v>
      </c>
      <c r="E30" s="19">
        <f>E26*B29</f>
        <v>0</v>
      </c>
      <c r="F30" s="19">
        <f>F26*B29</f>
        <v>0</v>
      </c>
      <c r="G30" s="19">
        <f>G26*B29</f>
        <v>0</v>
      </c>
      <c r="H30" s="19">
        <f>H26*B29</f>
        <v>0</v>
      </c>
      <c r="I30" s="19">
        <f>I26*B29</f>
        <v>0</v>
      </c>
      <c r="J30" s="19">
        <f>J26*B29</f>
        <v>0</v>
      </c>
      <c r="K30" s="19">
        <f>K26*B29</f>
        <v>0</v>
      </c>
      <c r="L30" s="19">
        <f>L26*B29</f>
        <v>0</v>
      </c>
      <c r="M30">
        <f>M26*B29</f>
        <v>0</v>
      </c>
    </row>
    <row r="31" spans="1:13" x14ac:dyDescent="0.25">
      <c r="A31" s="7"/>
      <c r="C31" s="20">
        <f>C30-C29</f>
        <v>-0.218</v>
      </c>
      <c r="D31" s="19">
        <f>D30-D29</f>
        <v>0</v>
      </c>
      <c r="E31" s="19">
        <f>E30-E29</f>
        <v>0</v>
      </c>
      <c r="F31" s="19">
        <f>F30-F29</f>
        <v>0</v>
      </c>
      <c r="G31" s="19">
        <f>G30-G29</f>
        <v>0</v>
      </c>
      <c r="H31" s="19">
        <f>H30-H29</f>
        <v>0</v>
      </c>
      <c r="I31" s="19">
        <f>I30-I29</f>
        <v>0</v>
      </c>
      <c r="J31" s="19">
        <f>J30-J29</f>
        <v>0</v>
      </c>
      <c r="K31" s="19">
        <f>K30-K29</f>
        <v>0</v>
      </c>
      <c r="L31" s="19">
        <f>L30-L29</f>
        <v>0</v>
      </c>
      <c r="M31">
        <f>M30-M29</f>
        <v>0</v>
      </c>
    </row>
    <row r="32" spans="1:13" x14ac:dyDescent="0.25">
      <c r="A32" s="6" t="s">
        <v>213</v>
      </c>
      <c r="D32" s="13">
        <v>1</v>
      </c>
      <c r="E32" s="13">
        <v>1</v>
      </c>
      <c r="F32" s="13">
        <v>1</v>
      </c>
      <c r="G32" s="13">
        <v>1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</row>
    <row r="33" spans="1:13" x14ac:dyDescent="0.25">
      <c r="A33" s="6"/>
      <c r="C33" s="57">
        <f>SUM(C26,C29)</f>
        <v>0.218</v>
      </c>
      <c r="D33" s="13">
        <f>SUM(D26,D29)</f>
        <v>2</v>
      </c>
      <c r="E33" s="13">
        <f>SUM(E26,E29)</f>
        <v>1</v>
      </c>
      <c r="F33" s="13">
        <f>SUM(F26,F29)</f>
        <v>1</v>
      </c>
      <c r="G33" s="13">
        <f>SUM(G26,G29)</f>
        <v>1</v>
      </c>
      <c r="H33" s="13">
        <f>SUM(H26,H29)</f>
        <v>1</v>
      </c>
      <c r="I33" s="13">
        <f>SUM(I26,I29)</f>
        <v>0</v>
      </c>
      <c r="J33" s="13">
        <f>SUM(J26,J29)</f>
        <v>0</v>
      </c>
      <c r="K33" s="13">
        <f>SUM(K26,K29)</f>
        <v>0</v>
      </c>
      <c r="L33" s="13">
        <f>SUM(L26,L29)</f>
        <v>0</v>
      </c>
      <c r="M33">
        <f>SUM(M26,M29)</f>
        <v>0</v>
      </c>
    </row>
    <row r="34" spans="1:13" x14ac:dyDescent="0.25">
      <c r="A34" s="6"/>
      <c r="C34" s="57">
        <f>C33-C32</f>
        <v>0.218</v>
      </c>
      <c r="D34" s="13">
        <f>D33-D32</f>
        <v>1</v>
      </c>
      <c r="E34" s="13">
        <f>E33-E32</f>
        <v>0</v>
      </c>
      <c r="F34" s="13">
        <f>F33-F32</f>
        <v>0</v>
      </c>
      <c r="G34" s="13">
        <f>G33-G32</f>
        <v>0</v>
      </c>
      <c r="H34" s="13">
        <f>H33-H32</f>
        <v>1</v>
      </c>
      <c r="I34" s="13">
        <f>I33-I32</f>
        <v>0</v>
      </c>
      <c r="J34" s="13">
        <f>J33-J32</f>
        <v>0</v>
      </c>
      <c r="K34" s="13">
        <f>K33-K32</f>
        <v>0</v>
      </c>
      <c r="L34" s="13">
        <f>L33-L32</f>
        <v>0</v>
      </c>
      <c r="M34">
        <f>M33-M32</f>
        <v>0</v>
      </c>
    </row>
    <row r="35" spans="1:13" x14ac:dyDescent="0.25">
      <c r="A35" s="7" t="s">
        <v>214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  <c r="L35" s="19">
        <v>0</v>
      </c>
    </row>
    <row r="36" spans="1:13" x14ac:dyDescent="0.25">
      <c r="A36" s="6" t="s">
        <v>215</v>
      </c>
      <c r="D36" s="13">
        <v>1</v>
      </c>
      <c r="E36" s="13">
        <v>1</v>
      </c>
      <c r="F36" s="13">
        <v>1</v>
      </c>
      <c r="G36" s="13">
        <v>1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</row>
    <row r="37" spans="1:13" x14ac:dyDescent="0.25">
      <c r="A37" s="6"/>
      <c r="C37">
        <f>SUM(C32,C35)</f>
        <v>0</v>
      </c>
      <c r="D37" s="13">
        <f>SUM(D32,D35)</f>
        <v>1</v>
      </c>
      <c r="E37" s="13">
        <f>SUM(E32,E35)</f>
        <v>1</v>
      </c>
      <c r="F37" s="13">
        <f>SUM(F32,F35)</f>
        <v>1</v>
      </c>
      <c r="G37" s="13">
        <f>SUM(G32,G35)</f>
        <v>1</v>
      </c>
      <c r="H37" s="13">
        <f>SUM(H32,H35)</f>
        <v>0</v>
      </c>
      <c r="I37" s="13">
        <f>SUM(I32,I35)</f>
        <v>0</v>
      </c>
      <c r="J37" s="13">
        <f>SUM(J32,J35)</f>
        <v>0</v>
      </c>
      <c r="K37" s="13">
        <f>SUM(K32,K35)</f>
        <v>0</v>
      </c>
      <c r="L37" s="13">
        <f>SUM(L32,L35)</f>
        <v>0</v>
      </c>
      <c r="M37">
        <f>SUM(M32,M35)</f>
        <v>0</v>
      </c>
    </row>
    <row r="38" spans="1:13" x14ac:dyDescent="0.25">
      <c r="A38" s="6"/>
      <c r="C38">
        <f>C37-C36</f>
        <v>0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0</v>
      </c>
      <c r="L38" s="13">
        <f>L37-L36</f>
        <v>0</v>
      </c>
      <c r="M38">
        <f>M37-M36</f>
        <v>0</v>
      </c>
    </row>
    <row r="39" spans="1:13" x14ac:dyDescent="0.25">
      <c r="A39" s="7" t="s">
        <v>115</v>
      </c>
      <c r="C39" s="20">
        <v>0.11</v>
      </c>
      <c r="D39" s="23">
        <v>0.10340000000000001</v>
      </c>
      <c r="E39" s="23">
        <v>9.3100000000000002E-2</v>
      </c>
      <c r="F39" s="23">
        <v>8.3900000000000002E-2</v>
      </c>
      <c r="G39" s="23">
        <v>7.5600000000000001E-2</v>
      </c>
      <c r="H39" s="23">
        <v>6.8099999999999994E-2</v>
      </c>
      <c r="I39" s="23">
        <v>6.1400000000000003E-2</v>
      </c>
      <c r="J39" s="23">
        <v>5.5300000000000002E-2</v>
      </c>
      <c r="K39" s="23">
        <v>4.9799999999999997E-2</v>
      </c>
      <c r="L39" s="23">
        <v>4.4900000000000002E-2</v>
      </c>
    </row>
    <row r="40" spans="1:13" x14ac:dyDescent="0.25">
      <c r="A40" s="6" t="s">
        <v>116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</row>
    <row r="41" spans="1:13" x14ac:dyDescent="0.25">
      <c r="A41" s="6"/>
      <c r="C41">
        <f>C36*C39</f>
        <v>0</v>
      </c>
      <c r="D41" s="13">
        <f>D36*D39</f>
        <v>0.10340000000000001</v>
      </c>
      <c r="E41" s="13">
        <f>E36*E39</f>
        <v>9.3100000000000002E-2</v>
      </c>
      <c r="F41" s="13">
        <f>F36*F39</f>
        <v>8.3900000000000002E-2</v>
      </c>
      <c r="G41" s="13">
        <f>G36*G39</f>
        <v>7.5600000000000001E-2</v>
      </c>
      <c r="H41" s="13">
        <f>H36*H39</f>
        <v>0</v>
      </c>
      <c r="I41" s="13">
        <f>I36*I39</f>
        <v>0</v>
      </c>
      <c r="J41" s="13">
        <f>J36*J39</f>
        <v>0</v>
      </c>
      <c r="K41" s="13">
        <f>K36*K39</f>
        <v>0</v>
      </c>
      <c r="L41" s="13">
        <f>L36*L39</f>
        <v>0</v>
      </c>
      <c r="M41">
        <f>M36*M39</f>
        <v>0</v>
      </c>
    </row>
    <row r="42" spans="1:13" x14ac:dyDescent="0.25">
      <c r="A42" s="6"/>
      <c r="C42">
        <f>C41-C40</f>
        <v>0</v>
      </c>
      <c r="D42" s="13">
        <f>D41-D40</f>
        <v>0.10340000000000001</v>
      </c>
      <c r="E42" s="13">
        <f>E41-E40</f>
        <v>9.3100000000000002E-2</v>
      </c>
      <c r="F42" s="13">
        <f>F41-F40</f>
        <v>8.3900000000000002E-2</v>
      </c>
      <c r="G42" s="13">
        <f>G41-G40</f>
        <v>7.5600000000000001E-2</v>
      </c>
      <c r="H42" s="13">
        <f>H41-H40</f>
        <v>0</v>
      </c>
      <c r="I42" s="13">
        <f>I41-I40</f>
        <v>0</v>
      </c>
      <c r="J42" s="13">
        <f>J41-J40</f>
        <v>0</v>
      </c>
      <c r="K42" s="13">
        <f>K41-K40</f>
        <v>0</v>
      </c>
      <c r="L42" s="13">
        <f>L41-L40</f>
        <v>0</v>
      </c>
      <c r="M42">
        <f>M41-M40</f>
        <v>0</v>
      </c>
    </row>
    <row r="43" spans="1:13" x14ac:dyDescent="0.25">
      <c r="A43" s="9" t="s">
        <v>221</v>
      </c>
    </row>
    <row r="44" spans="1:13" x14ac:dyDescent="0.25">
      <c r="A44" s="7" t="s">
        <v>222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  <c r="L44" s="20">
        <v>0.03</v>
      </c>
    </row>
    <row r="45" spans="1:13" x14ac:dyDescent="0.25">
      <c r="A45" s="7" t="s">
        <v>224</v>
      </c>
      <c r="D45" s="20">
        <v>0.41899999999999998</v>
      </c>
      <c r="E45" s="20">
        <v>0.41899999999999998</v>
      </c>
      <c r="F45" s="20">
        <v>0.41899999999999998</v>
      </c>
      <c r="G45" s="20">
        <v>0.41899999999999998</v>
      </c>
      <c r="H45" s="20">
        <v>0.41899999999999998</v>
      </c>
      <c r="I45" s="20">
        <v>0.41899999999999998</v>
      </c>
      <c r="J45" s="20">
        <v>0.41899999999999998</v>
      </c>
      <c r="K45" s="20">
        <v>0.41899999999999998</v>
      </c>
      <c r="L45" s="20">
        <v>0.41899999999999998</v>
      </c>
    </row>
    <row r="46" spans="1:13" x14ac:dyDescent="0.25">
      <c r="A46" s="7" t="s">
        <v>107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  <c r="L46" s="20">
        <v>4.9000000000000002E-2</v>
      </c>
    </row>
    <row r="47" spans="1:13" x14ac:dyDescent="0.25">
      <c r="A47" s="7" t="s">
        <v>225</v>
      </c>
      <c r="D47" s="20">
        <v>0.37</v>
      </c>
      <c r="E47" s="20">
        <v>0.37</v>
      </c>
      <c r="F47" s="20">
        <v>0.37</v>
      </c>
      <c r="G47" s="20">
        <v>0.37</v>
      </c>
      <c r="H47" s="20">
        <v>0.37</v>
      </c>
      <c r="I47" s="20">
        <v>0.37</v>
      </c>
      <c r="J47" s="20">
        <v>0.37</v>
      </c>
      <c r="K47" s="20">
        <v>0.37</v>
      </c>
      <c r="L47" s="20">
        <v>0.37</v>
      </c>
    </row>
    <row r="48" spans="1:13" x14ac:dyDescent="0.25">
      <c r="A48" s="7" t="s">
        <v>240</v>
      </c>
      <c r="D48" s="20">
        <v>3.2000000000000001E-2</v>
      </c>
      <c r="E48" s="20">
        <v>3.2000000000000001E-2</v>
      </c>
      <c r="F48" s="20">
        <v>3.2000000000000001E-2</v>
      </c>
      <c r="G48" s="20">
        <v>3.2000000000000001E-2</v>
      </c>
      <c r="H48" s="20">
        <v>3.2000000000000001E-2</v>
      </c>
      <c r="I48" s="20">
        <v>3.2000000000000001E-2</v>
      </c>
      <c r="J48" s="20">
        <v>3.2000000000000001E-2</v>
      </c>
      <c r="K48" s="20">
        <v>3.2000000000000001E-2</v>
      </c>
      <c r="L48" s="20">
        <v>3.2000000000000001E-2</v>
      </c>
    </row>
    <row r="49" spans="1:13" x14ac:dyDescent="0.25">
      <c r="A49" s="16" t="s">
        <v>127</v>
      </c>
    </row>
    <row r="50" spans="1:13" x14ac:dyDescent="0.25">
      <c r="A50" s="7" t="s">
        <v>227</v>
      </c>
    </row>
    <row r="51" spans="1:13" x14ac:dyDescent="0.25">
      <c r="A51" s="16" t="s">
        <v>61</v>
      </c>
    </row>
    <row r="52" spans="1:13" x14ac:dyDescent="0.25">
      <c r="A52" s="9" t="s">
        <v>62</v>
      </c>
      <c r="M52" s="32" t="s">
        <v>63</v>
      </c>
    </row>
    <row r="53" spans="1:13" x14ac:dyDescent="0.25">
      <c r="A53" s="9"/>
      <c r="M53" s="32"/>
    </row>
    <row r="54" spans="1:13" x14ac:dyDescent="0.25">
      <c r="A54" s="9"/>
      <c r="M54" s="32"/>
    </row>
    <row r="55" spans="1:13" x14ac:dyDescent="0.25">
      <c r="G55" s="5" t="s">
        <v>6</v>
      </c>
    </row>
    <row r="56" spans="1:13" x14ac:dyDescent="0.25">
      <c r="G56" s="5"/>
    </row>
    <row r="57" spans="1:13" x14ac:dyDescent="0.25">
      <c r="G57" s="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N71"/>
  <sheetViews>
    <sheetView topLeftCell="A16" workbookViewId="0"/>
  </sheetViews>
  <sheetFormatPr defaultRowHeight="15" x14ac:dyDescent="0.25"/>
  <cols>
    <col min="1" max="1" width="62.7109375" bestFit="1" customWidth="1"/>
  </cols>
  <sheetData>
    <row r="2" spans="1:14" x14ac:dyDescent="0.25">
      <c r="A2" s="6" t="s">
        <v>1</v>
      </c>
      <c r="N2" s="7" t="s">
        <v>261</v>
      </c>
    </row>
    <row r="3" spans="1:14" x14ac:dyDescent="0.25">
      <c r="A3" s="6" t="s">
        <v>9</v>
      </c>
    </row>
    <row r="4" spans="1:14" x14ac:dyDescent="0.25">
      <c r="A4" s="6" t="s">
        <v>262</v>
      </c>
    </row>
    <row r="5" spans="1:14" x14ac:dyDescent="0.25">
      <c r="A5" s="6" t="s">
        <v>11</v>
      </c>
    </row>
    <row r="6" spans="1:14" x14ac:dyDescent="0.25">
      <c r="D6" s="9" t="s">
        <v>95</v>
      </c>
      <c r="I6" s="9" t="s">
        <v>96</v>
      </c>
    </row>
    <row r="7" spans="1:14" x14ac:dyDescent="0.25">
      <c r="A7" s="8" t="s">
        <v>12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  <c r="N7" s="9" t="s">
        <v>202</v>
      </c>
    </row>
    <row r="8" spans="1:14" x14ac:dyDescent="0.25">
      <c r="A8" s="7" t="s">
        <v>203</v>
      </c>
      <c r="D8" s="10">
        <v>6</v>
      </c>
      <c r="E8" s="10">
        <v>26</v>
      </c>
      <c r="F8" s="10">
        <v>27</v>
      </c>
      <c r="G8" s="10">
        <v>28</v>
      </c>
      <c r="H8" s="10">
        <v>30</v>
      </c>
      <c r="I8" s="10">
        <v>32</v>
      </c>
      <c r="J8" s="10">
        <v>34</v>
      </c>
      <c r="K8" s="10">
        <v>36</v>
      </c>
      <c r="L8" s="10">
        <v>37</v>
      </c>
      <c r="M8" s="10">
        <v>38</v>
      </c>
      <c r="N8" s="10">
        <v>39</v>
      </c>
    </row>
    <row r="9" spans="1:14" x14ac:dyDescent="0.25">
      <c r="A9" s="7" t="s">
        <v>204</v>
      </c>
      <c r="D9" s="19">
        <v>-4</v>
      </c>
      <c r="E9" s="19">
        <v>-3</v>
      </c>
      <c r="F9" s="19">
        <v>0</v>
      </c>
    </row>
    <row r="10" spans="1:14" x14ac:dyDescent="0.25">
      <c r="A10" s="7" t="s">
        <v>253</v>
      </c>
      <c r="D10" s="10">
        <v>2</v>
      </c>
      <c r="E10" s="10">
        <v>23</v>
      </c>
      <c r="F10" s="10">
        <v>27</v>
      </c>
      <c r="G10" s="10">
        <v>28</v>
      </c>
      <c r="H10" s="10">
        <v>30</v>
      </c>
      <c r="I10" s="10">
        <v>32</v>
      </c>
      <c r="J10" s="10">
        <v>34</v>
      </c>
      <c r="K10" s="10">
        <v>36</v>
      </c>
      <c r="L10" s="10">
        <v>37</v>
      </c>
      <c r="M10" s="10">
        <v>38</v>
      </c>
      <c r="N10" s="10">
        <v>39</v>
      </c>
    </row>
    <row r="11" spans="1:14" x14ac:dyDescent="0.25">
      <c r="A11" s="7"/>
      <c r="C11">
        <f>SUM(C8:C9)</f>
        <v>0</v>
      </c>
      <c r="D11" s="10">
        <f>SUM(D8:D9)</f>
        <v>2</v>
      </c>
      <c r="E11" s="10">
        <f>SUM(E8:E9)</f>
        <v>23</v>
      </c>
      <c r="F11" s="10">
        <f>SUM(F8:F9)</f>
        <v>27</v>
      </c>
      <c r="G11" s="10">
        <f>SUM(G8:G9)</f>
        <v>28</v>
      </c>
      <c r="H11" s="10">
        <f>SUM(H8:H9)</f>
        <v>30</v>
      </c>
      <c r="I11" s="10">
        <f>SUM(I8:I9)</f>
        <v>32</v>
      </c>
      <c r="J11" s="10">
        <f>SUM(J8:J9)</f>
        <v>34</v>
      </c>
      <c r="K11" s="10">
        <f>SUM(K8:K9)</f>
        <v>36</v>
      </c>
      <c r="L11" s="10">
        <f>SUM(L8:L9)</f>
        <v>37</v>
      </c>
      <c r="M11" s="10">
        <f>SUM(M8:M9)</f>
        <v>38</v>
      </c>
      <c r="N11" s="10"/>
    </row>
    <row r="12" spans="1:14" x14ac:dyDescent="0.25">
      <c r="A12" s="7"/>
      <c r="C12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  <c r="N12" s="10"/>
    </row>
    <row r="13" spans="1:14" x14ac:dyDescent="0.25">
      <c r="A13" s="7" t="s">
        <v>206</v>
      </c>
      <c r="C13" s="7" t="s">
        <v>254</v>
      </c>
      <c r="D13" s="20">
        <v>1</v>
      </c>
      <c r="E13" s="20">
        <v>0.999</v>
      </c>
      <c r="F13" s="20">
        <v>0.996</v>
      </c>
      <c r="G13" s="20">
        <v>0.98799999999999999</v>
      </c>
      <c r="H13" s="20">
        <v>0.97299999999999998</v>
      </c>
      <c r="I13" s="20">
        <v>0.95099999999999996</v>
      </c>
      <c r="J13" s="20">
        <v>0.92100000000000004</v>
      </c>
      <c r="K13" s="20">
        <v>0.88300000000000001</v>
      </c>
      <c r="L13" s="20">
        <v>0.83699999999999997</v>
      </c>
      <c r="M13" s="20">
        <v>0.78500000000000003</v>
      </c>
      <c r="N13" s="20">
        <v>0.72599999999999998</v>
      </c>
    </row>
    <row r="14" spans="1:14" x14ac:dyDescent="0.25">
      <c r="A14" s="7" t="s">
        <v>208</v>
      </c>
      <c r="D14" s="10">
        <v>2</v>
      </c>
      <c r="E14" s="10">
        <v>23</v>
      </c>
      <c r="F14" s="10">
        <v>27</v>
      </c>
      <c r="G14" s="10">
        <v>28</v>
      </c>
      <c r="H14" s="10">
        <v>29</v>
      </c>
      <c r="I14" s="10">
        <v>30</v>
      </c>
      <c r="J14" s="10">
        <v>31</v>
      </c>
      <c r="K14" s="10">
        <v>32</v>
      </c>
      <c r="L14" s="10">
        <v>31</v>
      </c>
      <c r="M14" s="10">
        <v>30</v>
      </c>
      <c r="N14" s="10">
        <v>28</v>
      </c>
    </row>
    <row r="15" spans="1:14" x14ac:dyDescent="0.25">
      <c r="A15" s="7"/>
      <c r="C15" t="e">
        <f>C10*C13</f>
        <v>#VALUE!</v>
      </c>
      <c r="D15" s="10">
        <f>D10*D13</f>
        <v>2</v>
      </c>
      <c r="E15" s="10">
        <f>E10*E13</f>
        <v>22.977</v>
      </c>
      <c r="F15" s="10">
        <f>F10*F13</f>
        <v>26.891999999999999</v>
      </c>
      <c r="G15" s="10">
        <f>G10*G13</f>
        <v>27.664000000000001</v>
      </c>
      <c r="H15" s="10">
        <f>H10*H13</f>
        <v>29.189999999999998</v>
      </c>
      <c r="I15" s="10">
        <f>I10*I13</f>
        <v>30.431999999999999</v>
      </c>
      <c r="J15" s="10">
        <f>J10*J13</f>
        <v>31.314</v>
      </c>
      <c r="K15" s="10">
        <f>K10*K13</f>
        <v>31.788</v>
      </c>
      <c r="L15" s="10">
        <f>L10*L13</f>
        <v>30.968999999999998</v>
      </c>
      <c r="M15" s="10">
        <f>M10*M13</f>
        <v>29.830000000000002</v>
      </c>
      <c r="N15" s="10"/>
    </row>
    <row r="16" spans="1:14" x14ac:dyDescent="0.25">
      <c r="A16" s="7"/>
      <c r="C16" t="e">
        <f>C15-C14</f>
        <v>#VALUE!</v>
      </c>
      <c r="D16" s="10">
        <f>D15-D14</f>
        <v>0</v>
      </c>
      <c r="E16" s="10">
        <f>E15-E14</f>
        <v>-2.2999999999999687E-2</v>
      </c>
      <c r="F16" s="10">
        <f>F15-F14</f>
        <v>-0.10800000000000054</v>
      </c>
      <c r="G16" s="10">
        <f>G15-G14</f>
        <v>-0.33599999999999852</v>
      </c>
      <c r="H16" s="10">
        <f>H15-H14</f>
        <v>0.18999999999999773</v>
      </c>
      <c r="I16" s="10">
        <f>I15-I14</f>
        <v>0.43199999999999861</v>
      </c>
      <c r="J16" s="10">
        <f>J15-J14</f>
        <v>0.31400000000000006</v>
      </c>
      <c r="K16" s="10">
        <f>K15-K14</f>
        <v>-0.21199999999999974</v>
      </c>
      <c r="L16" s="10">
        <f>L15-L14</f>
        <v>-3.1000000000002359E-2</v>
      </c>
      <c r="M16" s="10">
        <f>M15-M14</f>
        <v>-0.16999999999999815</v>
      </c>
      <c r="N16" s="10"/>
    </row>
    <row r="17" spans="1:14" x14ac:dyDescent="0.25">
      <c r="A17" s="6" t="s">
        <v>205</v>
      </c>
      <c r="D17" s="13">
        <v>2</v>
      </c>
      <c r="E17" s="13">
        <v>23</v>
      </c>
      <c r="F17" s="13">
        <v>27</v>
      </c>
      <c r="G17" s="13">
        <v>28</v>
      </c>
      <c r="H17" s="13">
        <v>29</v>
      </c>
      <c r="I17" s="13">
        <v>30</v>
      </c>
      <c r="J17" s="13">
        <v>31</v>
      </c>
      <c r="K17" s="13">
        <v>32</v>
      </c>
      <c r="L17" s="13">
        <v>31</v>
      </c>
      <c r="M17" s="13">
        <v>30</v>
      </c>
      <c r="N17" s="13">
        <v>28</v>
      </c>
    </row>
    <row r="18" spans="1:14" x14ac:dyDescent="0.25">
      <c r="A18" s="6" t="s">
        <v>106</v>
      </c>
      <c r="D18" s="13">
        <v>1</v>
      </c>
      <c r="E18" s="13">
        <v>11</v>
      </c>
      <c r="F18" s="13">
        <v>14</v>
      </c>
      <c r="G18" s="13">
        <v>15</v>
      </c>
      <c r="H18" s="13">
        <v>16</v>
      </c>
      <c r="I18" s="13">
        <v>17</v>
      </c>
      <c r="J18" s="13">
        <v>17</v>
      </c>
      <c r="K18" s="13">
        <v>18</v>
      </c>
      <c r="L18" s="13">
        <v>18</v>
      </c>
      <c r="M18" s="13">
        <v>17</v>
      </c>
      <c r="N18" s="13">
        <v>16</v>
      </c>
    </row>
    <row r="19" spans="1:14" x14ac:dyDescent="0.25">
      <c r="A19" s="7" t="s">
        <v>107</v>
      </c>
      <c r="D19" s="19">
        <v>0</v>
      </c>
      <c r="E19" s="19">
        <v>-1</v>
      </c>
      <c r="F19" s="19">
        <v>-1</v>
      </c>
      <c r="G19" s="19">
        <v>-1</v>
      </c>
      <c r="H19" s="19">
        <v>-2</v>
      </c>
      <c r="I19" s="19">
        <v>-2</v>
      </c>
      <c r="J19" s="19">
        <v>-2</v>
      </c>
      <c r="K19" s="19">
        <v>-2</v>
      </c>
      <c r="L19" s="19">
        <v>-2</v>
      </c>
      <c r="M19" s="19">
        <v>-1</v>
      </c>
      <c r="N19" s="19">
        <v>-1</v>
      </c>
    </row>
    <row r="20" spans="1:14" x14ac:dyDescent="0.25">
      <c r="A20" s="6" t="s">
        <v>211</v>
      </c>
      <c r="D20" s="13">
        <v>1</v>
      </c>
      <c r="E20" s="13">
        <v>10</v>
      </c>
      <c r="F20" s="13">
        <v>13</v>
      </c>
      <c r="G20" s="13">
        <v>14</v>
      </c>
      <c r="H20" s="13">
        <v>14</v>
      </c>
      <c r="I20" s="13">
        <v>15</v>
      </c>
      <c r="J20" s="13">
        <v>16</v>
      </c>
      <c r="K20" s="13">
        <v>17</v>
      </c>
      <c r="L20" s="13">
        <v>16</v>
      </c>
      <c r="M20" s="13">
        <v>16</v>
      </c>
      <c r="N20" s="13">
        <v>15</v>
      </c>
    </row>
    <row r="21" spans="1:14" x14ac:dyDescent="0.25">
      <c r="A21" s="6"/>
      <c r="C21">
        <f>SUM(C18,C19)</f>
        <v>0</v>
      </c>
      <c r="D21" s="13">
        <f>SUM(D18,D19)</f>
        <v>1</v>
      </c>
      <c r="E21" s="13">
        <f>SUM(E18,E19)</f>
        <v>10</v>
      </c>
      <c r="F21" s="13">
        <f>SUM(F18,F19)</f>
        <v>13</v>
      </c>
      <c r="G21" s="13">
        <f>SUM(G18,G19)</f>
        <v>14</v>
      </c>
      <c r="H21" s="13">
        <f>SUM(H18,H19)</f>
        <v>14</v>
      </c>
      <c r="I21" s="13">
        <f>SUM(I18,I19)</f>
        <v>15</v>
      </c>
      <c r="J21" s="13">
        <f>SUM(J18,J19)</f>
        <v>15</v>
      </c>
      <c r="K21" s="13">
        <f>SUM(K18,K19)</f>
        <v>16</v>
      </c>
      <c r="L21" s="13">
        <f>SUM(L18,L19)</f>
        <v>16</v>
      </c>
      <c r="M21" s="13">
        <f>SUM(M18,M19)</f>
        <v>16</v>
      </c>
      <c r="N21" s="13"/>
    </row>
    <row r="22" spans="1:14" x14ac:dyDescent="0.25">
      <c r="A22" s="6"/>
      <c r="C22">
        <f>C21-C20</f>
        <v>0</v>
      </c>
      <c r="D22" s="13">
        <f>D21-D20</f>
        <v>0</v>
      </c>
      <c r="E22" s="13">
        <f>E21-E20</f>
        <v>0</v>
      </c>
      <c r="F22" s="13">
        <f>F21-F20</f>
        <v>0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-1</v>
      </c>
      <c r="K22" s="13">
        <f>K21-K20</f>
        <v>-1</v>
      </c>
      <c r="L22" s="13">
        <f>L21-L20</f>
        <v>0</v>
      </c>
      <c r="M22" s="13">
        <f>M21-M20</f>
        <v>0</v>
      </c>
      <c r="N22" s="13"/>
    </row>
    <row r="23" spans="1:14" x14ac:dyDescent="0.25">
      <c r="A23" s="7" t="s">
        <v>210</v>
      </c>
      <c r="C23" s="20">
        <v>1.4999999999999999E-2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</row>
    <row r="24" spans="1:14" x14ac:dyDescent="0.25">
      <c r="A24" s="7"/>
      <c r="C24" s="20">
        <f>C10*B23</f>
        <v>0</v>
      </c>
      <c r="D24" s="19">
        <f>D10*B23</f>
        <v>0</v>
      </c>
      <c r="E24" s="19">
        <f>E10*B23</f>
        <v>0</v>
      </c>
      <c r="F24" s="19">
        <f>F10*B23</f>
        <v>0</v>
      </c>
      <c r="G24" s="19">
        <f>G10*B23</f>
        <v>0</v>
      </c>
      <c r="H24" s="19">
        <f>H10*B23</f>
        <v>0</v>
      </c>
      <c r="I24" s="19">
        <f>I10*B23</f>
        <v>0</v>
      </c>
      <c r="J24" s="19">
        <f>J10*B23</f>
        <v>0</v>
      </c>
      <c r="K24" s="19">
        <f>K10*B23</f>
        <v>0</v>
      </c>
      <c r="L24" s="19">
        <f>L10*B23</f>
        <v>0</v>
      </c>
      <c r="M24" s="19">
        <f>M10*B23</f>
        <v>0</v>
      </c>
      <c r="N24" s="19"/>
    </row>
    <row r="25" spans="1:14" x14ac:dyDescent="0.25">
      <c r="A25" s="7"/>
      <c r="C25" s="20">
        <f>C24-C23</f>
        <v>-1.4999999999999999E-2</v>
      </c>
      <c r="D25" s="19">
        <f>D24-D23</f>
        <v>0</v>
      </c>
      <c r="E25" s="19">
        <f>E24-E23</f>
        <v>0</v>
      </c>
      <c r="F25" s="19">
        <f>F24-F23</f>
        <v>0</v>
      </c>
      <c r="G25" s="19">
        <f>G24-G23</f>
        <v>0</v>
      </c>
      <c r="H25" s="19">
        <f>H24-H23</f>
        <v>0</v>
      </c>
      <c r="I25" s="19">
        <f>I24-I23</f>
        <v>0</v>
      </c>
      <c r="J25" s="19">
        <f>J24-J23</f>
        <v>0</v>
      </c>
      <c r="K25" s="19">
        <f>K24-K23</f>
        <v>0</v>
      </c>
      <c r="L25" s="19">
        <f>L24-L23</f>
        <v>0</v>
      </c>
      <c r="M25" s="19">
        <f>M24-M23</f>
        <v>0</v>
      </c>
      <c r="N25" s="19"/>
    </row>
    <row r="26" spans="1:14" x14ac:dyDescent="0.25">
      <c r="A26" s="6" t="s">
        <v>108</v>
      </c>
      <c r="D26" s="13">
        <v>1</v>
      </c>
      <c r="E26" s="13">
        <v>10</v>
      </c>
      <c r="F26" s="13">
        <v>13</v>
      </c>
      <c r="G26" s="13">
        <v>13</v>
      </c>
      <c r="H26" s="13">
        <v>14</v>
      </c>
      <c r="I26" s="13">
        <v>14</v>
      </c>
      <c r="J26" s="13">
        <v>15</v>
      </c>
      <c r="K26" s="13">
        <v>16</v>
      </c>
      <c r="L26" s="13">
        <v>16</v>
      </c>
      <c r="M26" s="13">
        <v>15</v>
      </c>
      <c r="N26" s="13">
        <v>14</v>
      </c>
    </row>
    <row r="27" spans="1:14" x14ac:dyDescent="0.25">
      <c r="A27" s="6"/>
      <c r="C27" s="57">
        <f>SUM(C20,C23)</f>
        <v>1.4999999999999999E-2</v>
      </c>
      <c r="D27" s="13">
        <f>SUM(D20,D23)</f>
        <v>1</v>
      </c>
      <c r="E27" s="13">
        <f>SUM(E20,E23)</f>
        <v>10</v>
      </c>
      <c r="F27" s="13">
        <f>SUM(F20,F23)</f>
        <v>13</v>
      </c>
      <c r="G27" s="13">
        <f>SUM(G20,G23)</f>
        <v>14</v>
      </c>
      <c r="H27" s="13">
        <f>SUM(H20,H23)</f>
        <v>14</v>
      </c>
      <c r="I27" s="13">
        <f>SUM(I20,I23)</f>
        <v>15</v>
      </c>
      <c r="J27" s="13">
        <f>SUM(J20,J23)</f>
        <v>16</v>
      </c>
      <c r="K27" s="13">
        <f>SUM(K20,K23)</f>
        <v>17</v>
      </c>
      <c r="L27" s="13">
        <f>SUM(L20,L23)</f>
        <v>16</v>
      </c>
      <c r="M27" s="13">
        <f>SUM(M20,M23)</f>
        <v>16</v>
      </c>
      <c r="N27" s="13"/>
    </row>
    <row r="28" spans="1:14" x14ac:dyDescent="0.25">
      <c r="A28" s="6"/>
      <c r="C28" s="57">
        <f>C27-C26</f>
        <v>1.4999999999999999E-2</v>
      </c>
      <c r="D28" s="13">
        <f>D27-D26</f>
        <v>0</v>
      </c>
      <c r="E28" s="13">
        <f>E27-E26</f>
        <v>0</v>
      </c>
      <c r="F28" s="13">
        <f>F27-F26</f>
        <v>0</v>
      </c>
      <c r="G28" s="13">
        <f>G27-G26</f>
        <v>1</v>
      </c>
      <c r="H28" s="13">
        <f>H27-H26</f>
        <v>0</v>
      </c>
      <c r="I28" s="13">
        <f>I27-I26</f>
        <v>1</v>
      </c>
      <c r="J28" s="13">
        <f>J27-J26</f>
        <v>1</v>
      </c>
      <c r="K28" s="13">
        <f>K27-K26</f>
        <v>1</v>
      </c>
      <c r="L28" s="13">
        <f>L27-L26</f>
        <v>0</v>
      </c>
      <c r="M28" s="13">
        <f>M27-M26</f>
        <v>1</v>
      </c>
      <c r="N28" s="13"/>
    </row>
    <row r="29" spans="1:14" x14ac:dyDescent="0.25">
      <c r="A29" s="7" t="s">
        <v>212</v>
      </c>
      <c r="C29" s="20">
        <v>0.218</v>
      </c>
      <c r="D29" s="31">
        <v>0</v>
      </c>
      <c r="E29" s="19">
        <v>-2</v>
      </c>
      <c r="F29" s="19">
        <v>-3</v>
      </c>
      <c r="G29" s="19">
        <v>-3</v>
      </c>
      <c r="H29" s="19">
        <v>-3</v>
      </c>
      <c r="I29" s="19">
        <v>-3</v>
      </c>
      <c r="J29" s="19">
        <v>-3</v>
      </c>
      <c r="K29" s="19">
        <v>-4</v>
      </c>
      <c r="L29" s="19">
        <v>-3</v>
      </c>
      <c r="M29" s="19">
        <v>-3</v>
      </c>
      <c r="N29" s="19">
        <v>-3</v>
      </c>
    </row>
    <row r="30" spans="1:14" x14ac:dyDescent="0.25">
      <c r="A30" s="7"/>
      <c r="C30" s="20">
        <f>C26*B29</f>
        <v>0</v>
      </c>
      <c r="D30" s="31">
        <f>D26*B29</f>
        <v>0</v>
      </c>
      <c r="E30" s="19">
        <f>E26*B29</f>
        <v>0</v>
      </c>
      <c r="F30" s="19">
        <f>F26*B29</f>
        <v>0</v>
      </c>
      <c r="G30" s="19">
        <f>G26*B29</f>
        <v>0</v>
      </c>
      <c r="H30" s="19">
        <f>H26*B29</f>
        <v>0</v>
      </c>
      <c r="I30" s="19">
        <f>I26*B29</f>
        <v>0</v>
      </c>
      <c r="J30" s="19">
        <f>J26*B29</f>
        <v>0</v>
      </c>
      <c r="K30" s="19">
        <f>K26*B29</f>
        <v>0</v>
      </c>
      <c r="L30" s="19">
        <f>L26*B29</f>
        <v>0</v>
      </c>
      <c r="M30" s="19">
        <f>M26*B29</f>
        <v>0</v>
      </c>
      <c r="N30" s="19"/>
    </row>
    <row r="31" spans="1:14" x14ac:dyDescent="0.25">
      <c r="A31" s="7"/>
      <c r="C31" s="20">
        <f>C30-C29</f>
        <v>-0.218</v>
      </c>
      <c r="D31" s="31">
        <f>D30-D29</f>
        <v>0</v>
      </c>
      <c r="E31" s="19">
        <f>E30-E29</f>
        <v>2</v>
      </c>
      <c r="F31" s="19">
        <f>F30-F29</f>
        <v>3</v>
      </c>
      <c r="G31" s="19">
        <f>G30-G29</f>
        <v>3</v>
      </c>
      <c r="H31" s="19">
        <f>H30-H29</f>
        <v>3</v>
      </c>
      <c r="I31" s="19">
        <f>I30-I29</f>
        <v>3</v>
      </c>
      <c r="J31" s="19">
        <f>J30-J29</f>
        <v>3</v>
      </c>
      <c r="K31" s="19">
        <f>K30-K29</f>
        <v>4</v>
      </c>
      <c r="L31" s="19">
        <f>L30-L29</f>
        <v>3</v>
      </c>
      <c r="M31" s="19">
        <f>M30-M29</f>
        <v>3</v>
      </c>
      <c r="N31" s="19"/>
    </row>
    <row r="32" spans="1:14" x14ac:dyDescent="0.25">
      <c r="A32" s="6" t="s">
        <v>213</v>
      </c>
      <c r="D32" s="13">
        <v>1</v>
      </c>
      <c r="E32" s="13">
        <v>8</v>
      </c>
      <c r="F32" s="13">
        <v>10</v>
      </c>
      <c r="G32" s="13">
        <v>10</v>
      </c>
      <c r="H32" s="13">
        <v>11</v>
      </c>
      <c r="I32" s="13">
        <v>11</v>
      </c>
      <c r="J32" s="13">
        <v>12</v>
      </c>
      <c r="K32" s="13">
        <v>13</v>
      </c>
      <c r="L32" s="13">
        <v>12</v>
      </c>
      <c r="M32" s="13">
        <v>12</v>
      </c>
      <c r="N32" s="13">
        <v>11</v>
      </c>
    </row>
    <row r="33" spans="1:14" x14ac:dyDescent="0.25">
      <c r="A33" s="6"/>
      <c r="C33" s="57">
        <f>SUM(C26,C29)</f>
        <v>0.218</v>
      </c>
      <c r="D33" s="13">
        <f>SUM(D26,D29)</f>
        <v>1</v>
      </c>
      <c r="E33" s="13">
        <f>SUM(E26,E29)</f>
        <v>8</v>
      </c>
      <c r="F33" s="13">
        <f>SUM(F26,F29)</f>
        <v>10</v>
      </c>
      <c r="G33" s="13">
        <f>SUM(G26,G29)</f>
        <v>10</v>
      </c>
      <c r="H33" s="13">
        <f>SUM(H26,H29)</f>
        <v>11</v>
      </c>
      <c r="I33" s="13">
        <f>SUM(I26,I29)</f>
        <v>11</v>
      </c>
      <c r="J33" s="13">
        <f>SUM(J26,J29)</f>
        <v>12</v>
      </c>
      <c r="K33" s="13">
        <f>SUM(K26,K29)</f>
        <v>12</v>
      </c>
      <c r="L33" s="13">
        <f>SUM(L26,L29)</f>
        <v>13</v>
      </c>
      <c r="M33" s="13">
        <f>SUM(M26,M29)</f>
        <v>12</v>
      </c>
      <c r="N33" s="13"/>
    </row>
    <row r="34" spans="1:14" x14ac:dyDescent="0.25">
      <c r="A34" s="6"/>
      <c r="C34" s="57">
        <f>C33-C32</f>
        <v>0.218</v>
      </c>
      <c r="D34" s="13">
        <f>D33-D32</f>
        <v>0</v>
      </c>
      <c r="E34" s="13">
        <f>E33-E32</f>
        <v>0</v>
      </c>
      <c r="F34" s="13">
        <f>F33-F32</f>
        <v>0</v>
      </c>
      <c r="G34" s="13">
        <f>G33-G32</f>
        <v>0</v>
      </c>
      <c r="H34" s="13">
        <f>H33-H32</f>
        <v>0</v>
      </c>
      <c r="I34" s="13">
        <f>I33-I32</f>
        <v>0</v>
      </c>
      <c r="J34" s="13">
        <f>J33-J32</f>
        <v>0</v>
      </c>
      <c r="K34" s="13">
        <f>K33-K32</f>
        <v>-1</v>
      </c>
      <c r="L34" s="13">
        <f>L33-L32</f>
        <v>1</v>
      </c>
      <c r="M34" s="13">
        <f>M33-M32</f>
        <v>0</v>
      </c>
      <c r="N34" s="13"/>
    </row>
    <row r="35" spans="1:14" x14ac:dyDescent="0.25">
      <c r="A35" s="7" t="s">
        <v>214</v>
      </c>
      <c r="D35" s="19">
        <v>0</v>
      </c>
      <c r="E35" s="19">
        <v>-1</v>
      </c>
      <c r="F35" s="19">
        <v>-1</v>
      </c>
      <c r="G35" s="19">
        <v>-1</v>
      </c>
      <c r="H35" s="19">
        <v>-1</v>
      </c>
      <c r="I35" s="19">
        <v>-1</v>
      </c>
      <c r="J35" s="19">
        <v>-1</v>
      </c>
      <c r="K35" s="19">
        <v>-1</v>
      </c>
      <c r="L35" s="19">
        <v>-1</v>
      </c>
      <c r="M35" s="19">
        <v>-1</v>
      </c>
      <c r="N35" s="19">
        <v>-1</v>
      </c>
    </row>
    <row r="36" spans="1:14" x14ac:dyDescent="0.25">
      <c r="A36" s="6" t="s">
        <v>215</v>
      </c>
      <c r="D36" s="13">
        <v>1</v>
      </c>
      <c r="E36" s="13">
        <v>7</v>
      </c>
      <c r="F36" s="13">
        <v>9</v>
      </c>
      <c r="G36" s="13">
        <v>9</v>
      </c>
      <c r="H36" s="13">
        <v>10</v>
      </c>
      <c r="I36" s="13">
        <v>10</v>
      </c>
      <c r="J36" s="13">
        <v>11</v>
      </c>
      <c r="K36" s="13">
        <v>11</v>
      </c>
      <c r="L36" s="13">
        <v>11</v>
      </c>
      <c r="M36" s="13">
        <v>11</v>
      </c>
      <c r="N36" s="13">
        <v>10</v>
      </c>
    </row>
    <row r="37" spans="1:14" x14ac:dyDescent="0.25">
      <c r="A37" s="6"/>
      <c r="C37">
        <f>SUM(C32,C35)</f>
        <v>0</v>
      </c>
      <c r="D37" s="13">
        <f>SUM(D32,D35)</f>
        <v>1</v>
      </c>
      <c r="E37" s="13">
        <f>SUM(E32,E35)</f>
        <v>7</v>
      </c>
      <c r="F37" s="13">
        <f>SUM(F32,F35)</f>
        <v>9</v>
      </c>
      <c r="G37" s="13">
        <f>SUM(G32,G35)</f>
        <v>9</v>
      </c>
      <c r="H37" s="13">
        <f>SUM(H32,H35)</f>
        <v>10</v>
      </c>
      <c r="I37" s="13">
        <f>SUM(I32,I35)</f>
        <v>10</v>
      </c>
      <c r="J37" s="13">
        <f>SUM(J32,J35)</f>
        <v>11</v>
      </c>
      <c r="K37" s="13">
        <f>SUM(K32,K35)</f>
        <v>12</v>
      </c>
      <c r="L37" s="13">
        <f>SUM(L32,L35)</f>
        <v>11</v>
      </c>
      <c r="M37" s="13">
        <f>SUM(M32,M35)</f>
        <v>11</v>
      </c>
      <c r="N37" s="13"/>
    </row>
    <row r="38" spans="1:14" x14ac:dyDescent="0.25">
      <c r="A38" s="6"/>
      <c r="C38">
        <f>C37-C36</f>
        <v>0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1</v>
      </c>
      <c r="L38" s="13">
        <f>L37-L36</f>
        <v>0</v>
      </c>
      <c r="M38" s="13">
        <f>M37-M36</f>
        <v>0</v>
      </c>
      <c r="N38" s="13"/>
    </row>
    <row r="39" spans="1:14" x14ac:dyDescent="0.25">
      <c r="A39" s="7" t="s">
        <v>115</v>
      </c>
      <c r="C39" s="20">
        <v>0.11</v>
      </c>
      <c r="D39" s="23">
        <v>0.98740000000000006</v>
      </c>
      <c r="E39" s="23">
        <v>0.92530000000000001</v>
      </c>
      <c r="F39" s="23">
        <v>0.83360000000000001</v>
      </c>
      <c r="G39" s="24">
        <v>0.751</v>
      </c>
      <c r="H39" s="23">
        <v>0.67659999999999998</v>
      </c>
      <c r="I39" s="23">
        <v>0.60950000000000004</v>
      </c>
      <c r="J39" s="23">
        <v>0.54910000000000003</v>
      </c>
      <c r="K39" s="23">
        <v>0.49469999999999997</v>
      </c>
      <c r="L39" s="23">
        <v>0.44569999999999999</v>
      </c>
      <c r="M39" s="23">
        <v>0.40150000000000002</v>
      </c>
      <c r="N39" s="23">
        <v>0.36170000000000002</v>
      </c>
    </row>
    <row r="40" spans="1:14" x14ac:dyDescent="0.25">
      <c r="A40" s="6" t="s">
        <v>116</v>
      </c>
      <c r="D40" s="13">
        <v>1</v>
      </c>
      <c r="E40" s="13">
        <v>7</v>
      </c>
      <c r="F40" s="13">
        <v>7</v>
      </c>
      <c r="G40" s="13">
        <v>7</v>
      </c>
      <c r="H40" s="13">
        <v>6</v>
      </c>
      <c r="I40" s="13">
        <v>6</v>
      </c>
      <c r="J40" s="13">
        <v>6</v>
      </c>
      <c r="K40" s="13">
        <v>6</v>
      </c>
      <c r="L40" s="13">
        <v>5</v>
      </c>
      <c r="M40" s="13">
        <v>4</v>
      </c>
      <c r="N40" s="13">
        <v>4</v>
      </c>
    </row>
    <row r="41" spans="1:14" x14ac:dyDescent="0.25">
      <c r="A41" s="6"/>
      <c r="C41">
        <f>C36*C39</f>
        <v>0</v>
      </c>
      <c r="D41" s="13">
        <f>D36*D39</f>
        <v>0.98740000000000006</v>
      </c>
      <c r="E41" s="13">
        <f>E36*E39</f>
        <v>6.4771000000000001</v>
      </c>
      <c r="F41" s="13">
        <f>F36*F39</f>
        <v>7.5023999999999997</v>
      </c>
      <c r="G41" s="13">
        <f>G36*G39</f>
        <v>6.7590000000000003</v>
      </c>
      <c r="H41" s="13">
        <f>H36*H39</f>
        <v>6.766</v>
      </c>
      <c r="I41" s="13">
        <f>I36*I39</f>
        <v>6.0950000000000006</v>
      </c>
      <c r="J41" s="13">
        <f>J36*J39</f>
        <v>6.0401000000000007</v>
      </c>
      <c r="K41" s="13">
        <f>K36*K39</f>
        <v>5.4417</v>
      </c>
      <c r="L41" s="13">
        <f>L36*L39</f>
        <v>4.9026999999999994</v>
      </c>
      <c r="M41" s="13">
        <f>M36*M39</f>
        <v>4.4165000000000001</v>
      </c>
      <c r="N41" s="13"/>
    </row>
    <row r="42" spans="1:14" x14ac:dyDescent="0.25">
      <c r="A42" s="6"/>
      <c r="C42">
        <f>C41-C40</f>
        <v>0</v>
      </c>
      <c r="D42" s="13">
        <f>D41-D40</f>
        <v>-1.2599999999999945E-2</v>
      </c>
      <c r="E42" s="13">
        <f>E41-E40</f>
        <v>-0.52289999999999992</v>
      </c>
      <c r="F42" s="13">
        <f>F41-F40</f>
        <v>0.50239999999999974</v>
      </c>
      <c r="G42" s="13">
        <f>G41-G40</f>
        <v>-0.24099999999999966</v>
      </c>
      <c r="H42" s="13">
        <f>H41-H40</f>
        <v>0.76600000000000001</v>
      </c>
      <c r="I42" s="13">
        <f>I41-I40</f>
        <v>9.5000000000000639E-2</v>
      </c>
      <c r="J42" s="13">
        <f>J41-J40</f>
        <v>4.0100000000000691E-2</v>
      </c>
      <c r="K42" s="13">
        <f>K41-K40</f>
        <v>-0.55830000000000002</v>
      </c>
      <c r="L42" s="13">
        <f>L41-L40</f>
        <v>-9.7300000000000608E-2</v>
      </c>
      <c r="M42" s="13">
        <f>M41-M40</f>
        <v>0.41650000000000009</v>
      </c>
      <c r="N42" s="13"/>
    </row>
    <row r="43" spans="1:14" x14ac:dyDescent="0.25">
      <c r="A43" s="7" t="s">
        <v>216</v>
      </c>
      <c r="D43" s="10">
        <v>74</v>
      </c>
    </row>
    <row r="44" spans="1:14" x14ac:dyDescent="0.25">
      <c r="I44" s="7" t="s">
        <v>217</v>
      </c>
    </row>
    <row r="45" spans="1:14" x14ac:dyDescent="0.25">
      <c r="A45" s="6" t="s">
        <v>218</v>
      </c>
      <c r="D45" s="13">
        <v>74</v>
      </c>
      <c r="G45" s="10">
        <v>80</v>
      </c>
      <c r="H45" s="15">
        <v>0.02</v>
      </c>
      <c r="I45" s="15">
        <v>0.03</v>
      </c>
      <c r="J45" s="15">
        <v>0.04</v>
      </c>
      <c r="K45" s="15">
        <v>0.05</v>
      </c>
    </row>
    <row r="46" spans="1:14" x14ac:dyDescent="0.25">
      <c r="A46" s="7" t="s">
        <v>121</v>
      </c>
      <c r="C46" s="7" t="s">
        <v>122</v>
      </c>
      <c r="D46" s="10">
        <v>6</v>
      </c>
      <c r="G46" s="27">
        <v>20</v>
      </c>
      <c r="H46" s="23">
        <v>78.900000000000006</v>
      </c>
      <c r="I46" s="23">
        <v>80.3</v>
      </c>
      <c r="J46" s="23">
        <v>81.7</v>
      </c>
      <c r="K46" s="23">
        <v>83.3</v>
      </c>
    </row>
    <row r="47" spans="1:14" x14ac:dyDescent="0.25">
      <c r="A47" s="6" t="s">
        <v>219</v>
      </c>
      <c r="D47" s="13">
        <v>80</v>
      </c>
      <c r="G47" s="27">
        <v>25</v>
      </c>
      <c r="H47" s="23">
        <v>78.900000000000006</v>
      </c>
      <c r="I47" s="23">
        <v>80.3</v>
      </c>
      <c r="J47" s="23">
        <v>81.7</v>
      </c>
      <c r="K47" s="23">
        <v>83.3</v>
      </c>
    </row>
    <row r="48" spans="1:14" x14ac:dyDescent="0.25">
      <c r="F48" s="7" t="s">
        <v>220</v>
      </c>
      <c r="G48" s="27">
        <v>30</v>
      </c>
      <c r="H48" s="23">
        <v>78.900000000000006</v>
      </c>
      <c r="I48" s="23">
        <v>80.3</v>
      </c>
      <c r="J48" s="23">
        <v>81.7</v>
      </c>
      <c r="K48" s="23">
        <v>83.3</v>
      </c>
    </row>
    <row r="49" spans="1:14" x14ac:dyDescent="0.25">
      <c r="G49" s="27">
        <v>35</v>
      </c>
      <c r="H49" s="23">
        <v>78.900000000000006</v>
      </c>
      <c r="I49" s="23">
        <v>80.3</v>
      </c>
      <c r="J49" s="23">
        <v>81.7</v>
      </c>
      <c r="K49" s="23">
        <v>83.3</v>
      </c>
    </row>
    <row r="50" spans="1:14" x14ac:dyDescent="0.25">
      <c r="G50" s="27">
        <v>40</v>
      </c>
      <c r="H50" s="23">
        <v>78.900000000000006</v>
      </c>
      <c r="I50" s="23">
        <v>80.3</v>
      </c>
      <c r="J50" s="23">
        <v>81.7</v>
      </c>
      <c r="K50" s="23">
        <v>83.3</v>
      </c>
    </row>
    <row r="51" spans="1:14" x14ac:dyDescent="0.25">
      <c r="A51" s="9" t="s">
        <v>221</v>
      </c>
    </row>
    <row r="52" spans="1:14" x14ac:dyDescent="0.25">
      <c r="A52" s="7" t="s">
        <v>222</v>
      </c>
      <c r="D52" s="7" t="s">
        <v>223</v>
      </c>
      <c r="E52" s="20">
        <v>0.05</v>
      </c>
      <c r="F52" s="20">
        <v>0.05</v>
      </c>
      <c r="G52" s="20">
        <v>4.1000000000000002E-2</v>
      </c>
      <c r="H52" s="20">
        <v>5.8999999999999997E-2</v>
      </c>
      <c r="I52" s="20">
        <v>6.0999999999999999E-2</v>
      </c>
      <c r="J52" s="20">
        <v>6.3E-2</v>
      </c>
      <c r="K52" s="20">
        <v>6.4000000000000001E-2</v>
      </c>
      <c r="L52" s="20">
        <v>0.03</v>
      </c>
      <c r="M52" s="20">
        <v>0.03</v>
      </c>
      <c r="N52" s="20">
        <v>0.03</v>
      </c>
    </row>
    <row r="53" spans="1:14" x14ac:dyDescent="0.25">
      <c r="A53" s="7"/>
      <c r="D53" s="7"/>
      <c r="E53" s="20"/>
      <c r="F53" s="20"/>
      <c r="G53" s="20"/>
      <c r="H53" s="20"/>
      <c r="I53" s="20"/>
      <c r="J53" s="20"/>
      <c r="K53" s="20"/>
      <c r="L53" s="20"/>
      <c r="M53" s="20"/>
      <c r="N53" s="20"/>
    </row>
    <row r="54" spans="1:14" x14ac:dyDescent="0.25">
      <c r="A54" s="7"/>
      <c r="D54" s="7"/>
      <c r="E54" s="20"/>
      <c r="F54" s="20"/>
      <c r="G54" s="20"/>
      <c r="H54" s="20"/>
      <c r="I54" s="20"/>
      <c r="J54" s="20"/>
      <c r="K54" s="20"/>
      <c r="L54" s="20"/>
      <c r="M54" s="20"/>
      <c r="N54" s="20"/>
    </row>
    <row r="55" spans="1:14" x14ac:dyDescent="0.25">
      <c r="A55" s="7" t="s">
        <v>224</v>
      </c>
      <c r="D55" s="20">
        <v>0.49099999999999999</v>
      </c>
      <c r="E55" s="20">
        <v>0.48699999999999999</v>
      </c>
      <c r="F55" s="20">
        <v>0.52</v>
      </c>
      <c r="G55" s="20">
        <v>0.53600000000000003</v>
      </c>
      <c r="H55" s="20">
        <v>0.53600000000000003</v>
      </c>
      <c r="I55" s="20">
        <v>0.54900000000000004</v>
      </c>
      <c r="J55" s="20">
        <v>0.56100000000000005</v>
      </c>
      <c r="K55" s="20">
        <v>0.57199999999999995</v>
      </c>
      <c r="L55" s="20">
        <v>0.57199999999999995</v>
      </c>
      <c r="M55" s="20">
        <v>0.57199999999999995</v>
      </c>
      <c r="N55" s="20">
        <v>0.57199999999999995</v>
      </c>
    </row>
    <row r="56" spans="1:14" x14ac:dyDescent="0.25">
      <c r="A56" s="7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</row>
    <row r="57" spans="1:14" x14ac:dyDescent="0.25">
      <c r="A57" s="7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</row>
    <row r="58" spans="1:14" x14ac:dyDescent="0.25">
      <c r="A58" s="7" t="s">
        <v>107</v>
      </c>
      <c r="D58" s="20">
        <v>3.5999999999999997E-2</v>
      </c>
      <c r="E58" s="20">
        <v>3.4000000000000002E-2</v>
      </c>
      <c r="F58" s="20">
        <v>3.5000000000000003E-2</v>
      </c>
      <c r="G58" s="20">
        <v>0.05</v>
      </c>
      <c r="H58" s="20">
        <v>5.5E-2</v>
      </c>
      <c r="I58" s="20">
        <v>5.2999999999999999E-2</v>
      </c>
      <c r="J58" s="20">
        <v>5.0999999999999997E-2</v>
      </c>
      <c r="K58" s="20">
        <v>4.9000000000000002E-2</v>
      </c>
      <c r="L58" s="20">
        <v>4.9000000000000002E-2</v>
      </c>
      <c r="M58" s="20">
        <v>4.9000000000000002E-2</v>
      </c>
      <c r="N58" s="20">
        <v>4.9000000000000002E-2</v>
      </c>
    </row>
    <row r="59" spans="1:14" x14ac:dyDescent="0.25">
      <c r="A59" s="7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</row>
    <row r="60" spans="1:14" x14ac:dyDescent="0.25">
      <c r="A60" s="7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</row>
    <row r="61" spans="1:14" x14ac:dyDescent="0.25">
      <c r="A61" s="7" t="s">
        <v>225</v>
      </c>
      <c r="D61" s="20">
        <v>0.45500000000000002</v>
      </c>
      <c r="E61" s="20">
        <v>0.45300000000000001</v>
      </c>
      <c r="F61" s="20">
        <v>0.48499999999999999</v>
      </c>
      <c r="G61" s="20">
        <v>0.48599999999999999</v>
      </c>
      <c r="H61" s="20">
        <v>0.48</v>
      </c>
      <c r="I61" s="20">
        <v>0.496</v>
      </c>
      <c r="J61" s="20">
        <v>0.51</v>
      </c>
      <c r="K61" s="20">
        <v>0.52300000000000002</v>
      </c>
      <c r="L61" s="20">
        <v>0.52300000000000002</v>
      </c>
      <c r="M61" s="20">
        <v>0.52300000000000002</v>
      </c>
      <c r="N61" s="20">
        <v>0.52300000000000002</v>
      </c>
    </row>
    <row r="62" spans="1:14" x14ac:dyDescent="0.25">
      <c r="A62" s="7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</row>
    <row r="63" spans="1:14" x14ac:dyDescent="0.25">
      <c r="A63" s="7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</row>
    <row r="64" spans="1:14" x14ac:dyDescent="0.25">
      <c r="A64" s="7" t="s">
        <v>240</v>
      </c>
      <c r="D64" s="20">
        <v>3.5999999999999997E-2</v>
      </c>
      <c r="E64" s="20">
        <v>3.5999999999999997E-2</v>
      </c>
      <c r="F64" s="20">
        <v>3.5999999999999997E-2</v>
      </c>
      <c r="G64" s="20">
        <v>3.5999999999999997E-2</v>
      </c>
      <c r="H64" s="20">
        <v>3.5999999999999997E-2</v>
      </c>
      <c r="I64" s="20">
        <v>3.5999999999999997E-2</v>
      </c>
      <c r="J64" s="20">
        <v>3.5999999999999997E-2</v>
      </c>
      <c r="K64" s="20">
        <v>3.5999999999999997E-2</v>
      </c>
      <c r="L64" s="20">
        <v>3.5999999999999997E-2</v>
      </c>
      <c r="M64" s="20">
        <v>3.5999999999999997E-2</v>
      </c>
      <c r="N64" s="20">
        <v>3.5999999999999997E-2</v>
      </c>
    </row>
    <row r="65" spans="1:14" x14ac:dyDescent="0.25">
      <c r="A65" s="7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</row>
    <row r="66" spans="1:14" x14ac:dyDescent="0.25">
      <c r="A66" s="7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</row>
    <row r="67" spans="1:14" x14ac:dyDescent="0.25">
      <c r="A67" s="16" t="s">
        <v>127</v>
      </c>
    </row>
    <row r="68" spans="1:14" x14ac:dyDescent="0.25">
      <c r="A68" s="7" t="s">
        <v>227</v>
      </c>
    </row>
    <row r="69" spans="1:14" x14ac:dyDescent="0.25">
      <c r="A69" s="16" t="s">
        <v>61</v>
      </c>
    </row>
    <row r="70" spans="1:14" x14ac:dyDescent="0.25">
      <c r="A70" s="9" t="s">
        <v>62</v>
      </c>
      <c r="N70" s="32" t="s">
        <v>63</v>
      </c>
    </row>
    <row r="71" spans="1:14" x14ac:dyDescent="0.25">
      <c r="G71" s="5" t="s">
        <v>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M57"/>
  <sheetViews>
    <sheetView tabSelected="1" topLeftCell="A7" workbookViewId="0">
      <selection activeCell="F24" sqref="F24"/>
    </sheetView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263</v>
      </c>
    </row>
    <row r="3" spans="1:13" x14ac:dyDescent="0.25">
      <c r="A3" s="6" t="s">
        <v>9</v>
      </c>
    </row>
    <row r="4" spans="1:13" x14ac:dyDescent="0.25">
      <c r="A4" s="6" t="s">
        <v>262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40</v>
      </c>
      <c r="D8" s="10">
        <v>41</v>
      </c>
      <c r="E8" s="10">
        <v>43</v>
      </c>
      <c r="F8" s="10">
        <v>44</v>
      </c>
      <c r="G8" s="10">
        <v>45</v>
      </c>
      <c r="H8" s="10">
        <v>47</v>
      </c>
      <c r="I8" s="10">
        <v>48</v>
      </c>
      <c r="J8" s="10">
        <v>50</v>
      </c>
      <c r="K8" s="10">
        <v>51</v>
      </c>
      <c r="L8" s="10">
        <v>53</v>
      </c>
      <c r="M8" s="10">
        <v>54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40</v>
      </c>
      <c r="D10" s="10">
        <v>41</v>
      </c>
      <c r="E10" s="10">
        <v>43</v>
      </c>
      <c r="F10" s="10">
        <v>44</v>
      </c>
      <c r="G10" s="10">
        <v>45</v>
      </c>
      <c r="H10" s="10">
        <v>47</v>
      </c>
      <c r="I10" s="10">
        <v>48</v>
      </c>
      <c r="J10" s="10">
        <v>50</v>
      </c>
      <c r="K10" s="10">
        <v>51</v>
      </c>
      <c r="L10" s="10">
        <v>53</v>
      </c>
      <c r="M10" s="10">
        <v>54</v>
      </c>
    </row>
    <row r="11" spans="1:13" x14ac:dyDescent="0.25">
      <c r="A11" s="7"/>
      <c r="C11" s="10">
        <f>SUM(C8:C9)</f>
        <v>40</v>
      </c>
      <c r="D11" s="10">
        <f>SUM(D8:D9)</f>
        <v>41</v>
      </c>
      <c r="E11" s="10">
        <f>SUM(E8:E9)</f>
        <v>43</v>
      </c>
      <c r="F11" s="10">
        <f>SUM(F8:F9)</f>
        <v>44</v>
      </c>
      <c r="G11" s="10">
        <f>SUM(G8:G9)</f>
        <v>45</v>
      </c>
      <c r="H11" s="10">
        <f>SUM(H8:H9)</f>
        <v>47</v>
      </c>
      <c r="I11" s="10">
        <f>SUM(I8:I9)</f>
        <v>48</v>
      </c>
      <c r="J11" s="10">
        <f>SUM(J8:J9)</f>
        <v>50</v>
      </c>
      <c r="K11" s="10">
        <f>SUM(K8:K9)</f>
        <v>51</v>
      </c>
      <c r="L11" s="10">
        <f>SUM(L8:L9)</f>
        <v>53</v>
      </c>
      <c r="M11" s="10">
        <f>SUM(M8:M9)</f>
        <v>54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</row>
    <row r="13" spans="1:13" x14ac:dyDescent="0.25">
      <c r="A13" s="7" t="s">
        <v>206</v>
      </c>
      <c r="B13" s="7" t="s">
        <v>254</v>
      </c>
      <c r="C13" s="20">
        <v>0.66300000000000003</v>
      </c>
      <c r="D13" s="20">
        <v>0.59799999999999998</v>
      </c>
      <c r="E13" s="20">
        <v>0.53100000000000003</v>
      </c>
      <c r="F13" s="20">
        <v>0.46400000000000002</v>
      </c>
      <c r="G13" s="20">
        <v>0.39900000000000002</v>
      </c>
      <c r="H13" s="20">
        <v>0.33800000000000002</v>
      </c>
      <c r="I13" s="20">
        <v>0.28199999999999997</v>
      </c>
      <c r="J13" s="20">
        <v>0.23100000000000001</v>
      </c>
      <c r="K13" s="20">
        <v>0.185</v>
      </c>
      <c r="L13" s="20">
        <v>0.14599999999999999</v>
      </c>
      <c r="M13" s="20">
        <v>0.113</v>
      </c>
    </row>
    <row r="14" spans="1:13" x14ac:dyDescent="0.25">
      <c r="A14" s="7" t="s">
        <v>208</v>
      </c>
      <c r="C14" s="10">
        <v>27</v>
      </c>
      <c r="D14" s="10">
        <v>25</v>
      </c>
      <c r="E14" s="10">
        <v>23</v>
      </c>
      <c r="F14" s="10">
        <v>20</v>
      </c>
      <c r="G14" s="10">
        <v>18</v>
      </c>
      <c r="H14" s="10">
        <v>16</v>
      </c>
      <c r="I14" s="10">
        <v>14</v>
      </c>
      <c r="J14" s="10">
        <v>11</v>
      </c>
      <c r="K14" s="10">
        <v>9</v>
      </c>
      <c r="L14" s="10">
        <v>8</v>
      </c>
      <c r="M14" s="10">
        <v>6</v>
      </c>
    </row>
    <row r="15" spans="1:13" x14ac:dyDescent="0.25">
      <c r="A15" s="7"/>
      <c r="C15" s="10">
        <f>C10*C13</f>
        <v>26.520000000000003</v>
      </c>
      <c r="D15" s="10">
        <f>D10*D13</f>
        <v>24.518000000000001</v>
      </c>
      <c r="E15" s="10">
        <f>E10*E13</f>
        <v>22.833000000000002</v>
      </c>
      <c r="F15" s="10">
        <f>F10*F13</f>
        <v>20.416</v>
      </c>
      <c r="G15" s="10">
        <f>G10*G13</f>
        <v>17.955000000000002</v>
      </c>
      <c r="H15" s="10">
        <f>H10*H13</f>
        <v>15.886000000000001</v>
      </c>
      <c r="I15" s="10">
        <f>I10*I13</f>
        <v>13.535999999999998</v>
      </c>
      <c r="J15" s="10">
        <f>J10*J13</f>
        <v>11.55</v>
      </c>
      <c r="K15" s="10">
        <f>K10*K13</f>
        <v>9.4350000000000005</v>
      </c>
      <c r="L15" s="10">
        <f>L10*L13</f>
        <v>7.7379999999999995</v>
      </c>
      <c r="M15" s="10">
        <f>M10*M13</f>
        <v>6.1020000000000003</v>
      </c>
    </row>
    <row r="16" spans="1:13" x14ac:dyDescent="0.25">
      <c r="A16" s="7"/>
      <c r="C16" s="10">
        <f>C15-C14</f>
        <v>-0.47999999999999687</v>
      </c>
      <c r="D16" s="10">
        <f>D15-D14</f>
        <v>-0.48199999999999932</v>
      </c>
      <c r="E16" s="10">
        <f>E15-E14</f>
        <v>-0.16699999999999804</v>
      </c>
      <c r="F16" s="10">
        <f>F15-F14</f>
        <v>0.41600000000000037</v>
      </c>
      <c r="G16" s="10">
        <f>G15-G14</f>
        <v>-4.4999999999998153E-2</v>
      </c>
      <c r="H16" s="10">
        <f>H15-H14</f>
        <v>-0.11399999999999899</v>
      </c>
      <c r="I16" s="10">
        <f>I15-I14</f>
        <v>-0.46400000000000219</v>
      </c>
      <c r="J16" s="10">
        <f>J15-J14</f>
        <v>0.55000000000000071</v>
      </c>
      <c r="K16" s="10">
        <f>K15-K14</f>
        <v>0.4350000000000005</v>
      </c>
      <c r="L16" s="10">
        <f>L15-L14</f>
        <v>-0.26200000000000045</v>
      </c>
      <c r="M16" s="10">
        <f>M15-M14</f>
        <v>0.10200000000000031</v>
      </c>
    </row>
    <row r="17" spans="1:13" x14ac:dyDescent="0.25">
      <c r="A17" s="6" t="s">
        <v>205</v>
      </c>
      <c r="C17" s="13">
        <v>27</v>
      </c>
      <c r="D17" s="13">
        <v>25</v>
      </c>
      <c r="E17" s="13">
        <v>23</v>
      </c>
      <c r="F17" s="13">
        <v>20</v>
      </c>
      <c r="G17" s="13">
        <v>18</v>
      </c>
      <c r="H17" s="13">
        <v>16</v>
      </c>
      <c r="I17" s="13">
        <v>14</v>
      </c>
      <c r="J17" s="13">
        <v>11</v>
      </c>
      <c r="K17" s="13">
        <v>9</v>
      </c>
      <c r="L17" s="13">
        <v>8</v>
      </c>
      <c r="M17" s="13">
        <v>6</v>
      </c>
    </row>
    <row r="18" spans="1:13" x14ac:dyDescent="0.25">
      <c r="A18" s="6" t="s">
        <v>106</v>
      </c>
      <c r="C18" s="13">
        <v>15</v>
      </c>
      <c r="D18" s="13">
        <v>14</v>
      </c>
      <c r="E18" s="13">
        <v>13</v>
      </c>
      <c r="F18" s="13">
        <v>12</v>
      </c>
      <c r="G18" s="13">
        <v>10</v>
      </c>
      <c r="H18" s="13">
        <v>9</v>
      </c>
      <c r="I18" s="13">
        <v>8</v>
      </c>
      <c r="J18" s="13">
        <v>7</v>
      </c>
      <c r="K18" s="13">
        <v>5</v>
      </c>
      <c r="L18" s="13">
        <v>4</v>
      </c>
      <c r="M18" s="13">
        <v>4</v>
      </c>
    </row>
    <row r="19" spans="1:13" x14ac:dyDescent="0.25">
      <c r="A19" s="7" t="s">
        <v>107</v>
      </c>
      <c r="C19" s="19">
        <v>-1</v>
      </c>
      <c r="D19" s="19">
        <v>-1</v>
      </c>
      <c r="E19" s="19">
        <v>-1</v>
      </c>
      <c r="F19" s="19">
        <v>-1</v>
      </c>
      <c r="G19" s="19">
        <v>-1</v>
      </c>
      <c r="H19" s="19">
        <v>-1</v>
      </c>
      <c r="I19" s="19">
        <v>-1</v>
      </c>
      <c r="J19" s="19">
        <v>-1</v>
      </c>
      <c r="K19" s="19">
        <v>0</v>
      </c>
      <c r="L19" s="19">
        <v>0</v>
      </c>
      <c r="M19" s="19">
        <v>0</v>
      </c>
    </row>
    <row r="20" spans="1:13" x14ac:dyDescent="0.25">
      <c r="A20" s="6" t="s">
        <v>211</v>
      </c>
      <c r="C20" s="13">
        <v>14</v>
      </c>
      <c r="D20" s="13">
        <v>13</v>
      </c>
      <c r="E20" s="13">
        <v>12</v>
      </c>
      <c r="F20" s="13">
        <v>11</v>
      </c>
      <c r="G20" s="13">
        <v>9</v>
      </c>
      <c r="H20" s="13">
        <v>8</v>
      </c>
      <c r="I20" s="13">
        <v>7</v>
      </c>
      <c r="J20" s="13">
        <v>6</v>
      </c>
      <c r="K20" s="13">
        <v>5</v>
      </c>
      <c r="L20" s="13">
        <v>4</v>
      </c>
      <c r="M20" s="13">
        <v>3</v>
      </c>
    </row>
    <row r="21" spans="1:13" x14ac:dyDescent="0.25">
      <c r="A21" s="6"/>
      <c r="C21" s="13">
        <f>SUM(C18,C19)</f>
        <v>14</v>
      </c>
      <c r="D21" s="13">
        <f>SUM(D18,D19)</f>
        <v>13</v>
      </c>
      <c r="E21" s="13">
        <f>SUM(E18,E19)</f>
        <v>12</v>
      </c>
      <c r="F21" s="13">
        <f>SUM(F18,F19)</f>
        <v>11</v>
      </c>
      <c r="G21" s="13">
        <f>SUM(G18,G19)</f>
        <v>9</v>
      </c>
      <c r="H21" s="13">
        <f>SUM(H18,H19)</f>
        <v>8</v>
      </c>
      <c r="I21" s="13">
        <f>SUM(I18,I19)</f>
        <v>7</v>
      </c>
      <c r="J21" s="13">
        <f>SUM(J18,J19)</f>
        <v>6</v>
      </c>
      <c r="K21" s="13">
        <f>SUM(K18,K19)</f>
        <v>5</v>
      </c>
      <c r="L21" s="13">
        <f>SUM(L18,L19)</f>
        <v>4</v>
      </c>
      <c r="M21" s="13">
        <f>SUM(M18,M19)</f>
        <v>4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0</v>
      </c>
      <c r="F22" s="13">
        <f>F21-F20</f>
        <v>0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0</v>
      </c>
      <c r="K22" s="13">
        <f>K21-K20</f>
        <v>0</v>
      </c>
      <c r="L22" s="13">
        <f>L21-L20</f>
        <v>0</v>
      </c>
      <c r="M22" s="13">
        <f>M21-M20</f>
        <v>1</v>
      </c>
    </row>
    <row r="23" spans="1:13" x14ac:dyDescent="0.25">
      <c r="A23" s="7" t="s">
        <v>210</v>
      </c>
      <c r="B23" s="20">
        <v>1.4999999999999999E-2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</row>
    <row r="24" spans="1:13" x14ac:dyDescent="0.25">
      <c r="A24" s="7"/>
      <c r="B24" s="20"/>
      <c r="C24" s="19">
        <f>C10*B23</f>
        <v>0.6</v>
      </c>
      <c r="D24" s="19">
        <f>D10*B23</f>
        <v>0.61499999999999999</v>
      </c>
      <c r="E24" s="19">
        <f>E10*B23</f>
        <v>0.64500000000000002</v>
      </c>
      <c r="F24" s="19">
        <f>F10*B23</f>
        <v>0.65999999999999992</v>
      </c>
      <c r="G24" s="19">
        <f>G10*B23</f>
        <v>0.67499999999999993</v>
      </c>
      <c r="H24" s="19">
        <f>H10*B23</f>
        <v>0.70499999999999996</v>
      </c>
      <c r="I24" s="19">
        <f>I10*B23</f>
        <v>0.72</v>
      </c>
      <c r="J24" s="19">
        <f>J10*B23</f>
        <v>0.75</v>
      </c>
      <c r="K24" s="19">
        <f>K10*B23</f>
        <v>0.76500000000000001</v>
      </c>
      <c r="L24" s="19">
        <f>L10*B23</f>
        <v>0.79499999999999993</v>
      </c>
      <c r="M24" s="19">
        <f>M10*B23</f>
        <v>0.80999999999999994</v>
      </c>
    </row>
    <row r="25" spans="1:13" x14ac:dyDescent="0.25">
      <c r="A25" s="7"/>
      <c r="B25" s="20"/>
      <c r="C25" s="19">
        <f>C24-C23</f>
        <v>0.6</v>
      </c>
      <c r="D25" s="19">
        <f>D24-D23</f>
        <v>0.61499999999999999</v>
      </c>
      <c r="E25" s="19">
        <f>E24-E23</f>
        <v>0.64500000000000002</v>
      </c>
      <c r="F25" s="19">
        <f>F24-F23</f>
        <v>0.65999999999999992</v>
      </c>
      <c r="G25" s="19">
        <f>G24-G23</f>
        <v>0.67499999999999993</v>
      </c>
      <c r="H25" s="19">
        <f>H24-H23</f>
        <v>0.70499999999999996</v>
      </c>
      <c r="I25" s="19">
        <f>I24-I23</f>
        <v>0.72</v>
      </c>
      <c r="J25" s="19">
        <f>J24-J23</f>
        <v>0.75</v>
      </c>
      <c r="K25" s="19">
        <f>K24-K23</f>
        <v>0.76500000000000001</v>
      </c>
      <c r="L25" s="19">
        <f>L24-L23</f>
        <v>0.79499999999999993</v>
      </c>
      <c r="M25" s="19">
        <f>M24-M23</f>
        <v>0.80999999999999994</v>
      </c>
    </row>
    <row r="26" spans="1:13" x14ac:dyDescent="0.25">
      <c r="A26" s="6" t="s">
        <v>108</v>
      </c>
      <c r="C26" s="13">
        <v>14</v>
      </c>
      <c r="D26" s="13">
        <v>13</v>
      </c>
      <c r="E26" s="13">
        <v>12</v>
      </c>
      <c r="F26" s="13">
        <v>10</v>
      </c>
      <c r="G26" s="13">
        <v>9</v>
      </c>
      <c r="H26" s="13">
        <v>8</v>
      </c>
      <c r="I26" s="13">
        <v>7</v>
      </c>
      <c r="J26" s="13">
        <v>6</v>
      </c>
      <c r="K26" s="13">
        <v>5</v>
      </c>
      <c r="L26" s="13">
        <v>4</v>
      </c>
      <c r="M26" s="13">
        <v>3</v>
      </c>
    </row>
    <row r="27" spans="1:13" x14ac:dyDescent="0.25">
      <c r="A27" s="6"/>
      <c r="C27" s="13">
        <f>SUM(C20,C23)</f>
        <v>14</v>
      </c>
      <c r="D27" s="13">
        <f>SUM(D20,D23)</f>
        <v>13</v>
      </c>
      <c r="E27" s="13">
        <f>SUM(E20,E23)</f>
        <v>12</v>
      </c>
      <c r="F27" s="13">
        <f>SUM(F20,F23)</f>
        <v>11</v>
      </c>
      <c r="G27" s="13">
        <f>SUM(G20,G23)</f>
        <v>9</v>
      </c>
      <c r="H27" s="13">
        <f>SUM(H20,H23)</f>
        <v>8</v>
      </c>
      <c r="I27" s="13">
        <f>SUM(I20,I23)</f>
        <v>7</v>
      </c>
      <c r="J27" s="13">
        <f>SUM(J20,J23)</f>
        <v>6</v>
      </c>
      <c r="K27" s="13">
        <f>SUM(K20,K23)</f>
        <v>5</v>
      </c>
      <c r="L27" s="13">
        <f>SUM(L20,L23)</f>
        <v>4</v>
      </c>
      <c r="M27" s="13">
        <f>SUM(M20,M23)</f>
        <v>3</v>
      </c>
    </row>
    <row r="28" spans="1:13" x14ac:dyDescent="0.25">
      <c r="A28" s="6"/>
      <c r="C28" s="13">
        <f>C27-C26</f>
        <v>0</v>
      </c>
      <c r="D28" s="13">
        <f>D27-D26</f>
        <v>0</v>
      </c>
      <c r="E28" s="13">
        <f>E27-E26</f>
        <v>0</v>
      </c>
      <c r="F28" s="13">
        <f>F27-F26</f>
        <v>1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0</v>
      </c>
      <c r="L28" s="13">
        <f>L27-L26</f>
        <v>0</v>
      </c>
      <c r="M28" s="13">
        <f>M27-M26</f>
        <v>0</v>
      </c>
    </row>
    <row r="29" spans="1:13" x14ac:dyDescent="0.25">
      <c r="A29" s="7" t="s">
        <v>212</v>
      </c>
      <c r="B29" s="20">
        <v>0.218</v>
      </c>
      <c r="C29" s="19">
        <v>-3</v>
      </c>
      <c r="D29" s="19">
        <v>-3</v>
      </c>
      <c r="E29" s="19">
        <v>-3</v>
      </c>
      <c r="F29" s="19">
        <v>-2</v>
      </c>
      <c r="G29" s="19">
        <v>-2</v>
      </c>
      <c r="H29" s="19">
        <v>-2</v>
      </c>
      <c r="I29" s="19">
        <v>-2</v>
      </c>
      <c r="J29" s="19">
        <v>-1</v>
      </c>
      <c r="K29" s="19">
        <v>-1</v>
      </c>
      <c r="L29" s="19">
        <v>-1</v>
      </c>
      <c r="M29" s="19">
        <v>-1</v>
      </c>
    </row>
    <row r="30" spans="1:13" x14ac:dyDescent="0.25">
      <c r="A30" s="7"/>
      <c r="B30" s="20"/>
      <c r="C30" s="19">
        <f>C26*B29</f>
        <v>3.052</v>
      </c>
      <c r="D30" s="19">
        <f>D26*B29</f>
        <v>2.8340000000000001</v>
      </c>
      <c r="E30" s="19">
        <f>E26*B29</f>
        <v>2.6160000000000001</v>
      </c>
      <c r="F30" s="19">
        <f>F26*B29</f>
        <v>2.1800000000000002</v>
      </c>
      <c r="G30" s="19">
        <f>G26*B29</f>
        <v>1.962</v>
      </c>
      <c r="H30" s="19">
        <f>H26*B29</f>
        <v>1.744</v>
      </c>
      <c r="I30" s="19">
        <f>I26*B29</f>
        <v>1.526</v>
      </c>
      <c r="J30" s="19">
        <f>J26*B29</f>
        <v>1.3080000000000001</v>
      </c>
      <c r="K30" s="19">
        <f>K26*B29</f>
        <v>1.0900000000000001</v>
      </c>
      <c r="L30" s="19">
        <f>L26*B29</f>
        <v>0.872</v>
      </c>
      <c r="M30" s="19">
        <f>M26*B29</f>
        <v>0.65400000000000003</v>
      </c>
    </row>
    <row r="31" spans="1:13" x14ac:dyDescent="0.25">
      <c r="A31" s="7"/>
      <c r="B31" s="20"/>
      <c r="C31" s="19">
        <f>C30-C29</f>
        <v>6.0519999999999996</v>
      </c>
      <c r="D31" s="19">
        <f>D30-D29</f>
        <v>5.8339999999999996</v>
      </c>
      <c r="E31" s="19">
        <f>E30-E29</f>
        <v>5.6159999999999997</v>
      </c>
      <c r="F31" s="19">
        <f>F30-F29</f>
        <v>4.18</v>
      </c>
      <c r="G31" s="19">
        <f>G30-G29</f>
        <v>3.9619999999999997</v>
      </c>
      <c r="H31" s="19">
        <f>H30-H29</f>
        <v>3.7439999999999998</v>
      </c>
      <c r="I31" s="19">
        <f>I30-I29</f>
        <v>3.5259999999999998</v>
      </c>
      <c r="J31" s="19">
        <f>J30-J29</f>
        <v>2.3079999999999998</v>
      </c>
      <c r="K31" s="19">
        <f>K30-K29</f>
        <v>2.09</v>
      </c>
      <c r="L31" s="19">
        <f>L30-L29</f>
        <v>1.8719999999999999</v>
      </c>
      <c r="M31" s="19">
        <f>M30-M29</f>
        <v>1.6539999999999999</v>
      </c>
    </row>
    <row r="32" spans="1:13" x14ac:dyDescent="0.25">
      <c r="A32" s="6" t="s">
        <v>213</v>
      </c>
      <c r="C32" s="13">
        <v>11</v>
      </c>
      <c r="D32" s="13">
        <v>10</v>
      </c>
      <c r="E32" s="13">
        <v>9</v>
      </c>
      <c r="F32" s="13">
        <v>8</v>
      </c>
      <c r="G32" s="13">
        <v>7</v>
      </c>
      <c r="H32" s="13">
        <v>6</v>
      </c>
      <c r="I32" s="13">
        <v>5</v>
      </c>
      <c r="J32" s="13">
        <v>5</v>
      </c>
      <c r="K32" s="13">
        <v>4</v>
      </c>
      <c r="L32" s="13">
        <v>3</v>
      </c>
      <c r="M32" s="13">
        <v>2</v>
      </c>
    </row>
    <row r="33" spans="1:13" x14ac:dyDescent="0.25">
      <c r="A33" s="6"/>
      <c r="C33" s="13">
        <f>SUM(C26,C29)</f>
        <v>11</v>
      </c>
      <c r="D33" s="13">
        <f>SUM(D26,D29)</f>
        <v>10</v>
      </c>
      <c r="E33" s="13">
        <f>SUM(E26,E29)</f>
        <v>9</v>
      </c>
      <c r="F33" s="13">
        <f>SUM(F26,F29)</f>
        <v>8</v>
      </c>
      <c r="G33" s="13">
        <f>SUM(G26,G29)</f>
        <v>7</v>
      </c>
      <c r="H33" s="13">
        <f>SUM(H26,H29)</f>
        <v>6</v>
      </c>
      <c r="I33" s="13">
        <f>SUM(I26,I29)</f>
        <v>5</v>
      </c>
      <c r="J33" s="13">
        <f>SUM(J26,J29)</f>
        <v>5</v>
      </c>
      <c r="K33" s="13">
        <f>SUM(K26,K29)</f>
        <v>4</v>
      </c>
      <c r="L33" s="13">
        <f>SUM(L26,L29)</f>
        <v>3</v>
      </c>
      <c r="M33" s="13">
        <f>SUM(M26,M29)</f>
        <v>2</v>
      </c>
    </row>
    <row r="34" spans="1:13" x14ac:dyDescent="0.25">
      <c r="A34" s="6"/>
      <c r="C34" s="13">
        <f>C33-C32</f>
        <v>0</v>
      </c>
      <c r="D34" s="13">
        <f>D33-D32</f>
        <v>0</v>
      </c>
      <c r="E34" s="13">
        <f>E33-E32</f>
        <v>0</v>
      </c>
      <c r="F34" s="13">
        <f>F33-F32</f>
        <v>0</v>
      </c>
      <c r="G34" s="13">
        <f>G33-G32</f>
        <v>0</v>
      </c>
      <c r="H34" s="13">
        <f>H33-H32</f>
        <v>0</v>
      </c>
      <c r="I34" s="13">
        <f>I33-I32</f>
        <v>0</v>
      </c>
      <c r="J34" s="13">
        <f>J33-J32</f>
        <v>0</v>
      </c>
      <c r="K34" s="13">
        <f>K33-K32</f>
        <v>0</v>
      </c>
      <c r="L34" s="13">
        <f>L33-L32</f>
        <v>0</v>
      </c>
      <c r="M34" s="13">
        <f>M33-M32</f>
        <v>0</v>
      </c>
    </row>
    <row r="35" spans="1:13" x14ac:dyDescent="0.25">
      <c r="A35" s="7" t="s">
        <v>214</v>
      </c>
      <c r="C35" s="19">
        <v>-1</v>
      </c>
      <c r="D35" s="19">
        <v>-1</v>
      </c>
      <c r="E35" s="19">
        <v>-1</v>
      </c>
      <c r="F35" s="19">
        <v>-1</v>
      </c>
      <c r="G35" s="19">
        <v>-1</v>
      </c>
      <c r="H35" s="19">
        <v>-1</v>
      </c>
      <c r="I35" s="19">
        <v>0</v>
      </c>
      <c r="J35" s="19">
        <v>0</v>
      </c>
      <c r="K35" s="19">
        <v>0</v>
      </c>
      <c r="L35" s="19">
        <v>0</v>
      </c>
      <c r="M35" s="19">
        <v>0</v>
      </c>
    </row>
    <row r="36" spans="1:13" x14ac:dyDescent="0.25">
      <c r="A36" s="6" t="s">
        <v>215</v>
      </c>
      <c r="C36" s="13">
        <v>10</v>
      </c>
      <c r="D36" s="13">
        <v>9</v>
      </c>
      <c r="E36" s="13">
        <v>8</v>
      </c>
      <c r="F36" s="13">
        <v>7</v>
      </c>
      <c r="G36" s="13">
        <v>7</v>
      </c>
      <c r="H36" s="13">
        <v>6</v>
      </c>
      <c r="I36" s="13">
        <v>5</v>
      </c>
      <c r="J36" s="13">
        <v>4</v>
      </c>
      <c r="K36" s="13">
        <v>3</v>
      </c>
      <c r="L36" s="13">
        <v>3</v>
      </c>
      <c r="M36" s="13">
        <v>2</v>
      </c>
    </row>
    <row r="37" spans="1:13" x14ac:dyDescent="0.25">
      <c r="A37" s="6"/>
      <c r="C37" s="13">
        <f>SUM(C32,C35)</f>
        <v>10</v>
      </c>
      <c r="D37" s="13">
        <f>SUM(D32,D35)</f>
        <v>9</v>
      </c>
      <c r="E37" s="13">
        <f>SUM(E32,E35)</f>
        <v>8</v>
      </c>
      <c r="F37" s="13">
        <f>SUM(F32,F35)</f>
        <v>7</v>
      </c>
      <c r="G37" s="13">
        <f>SUM(G32,G35)</f>
        <v>6</v>
      </c>
      <c r="H37" s="13">
        <f>SUM(H32,H35)</f>
        <v>5</v>
      </c>
      <c r="I37" s="13">
        <f>SUM(I32,I35)</f>
        <v>5</v>
      </c>
      <c r="J37" s="13">
        <f>SUM(J32,J35)</f>
        <v>5</v>
      </c>
      <c r="K37" s="13">
        <f>SUM(K32,K35)</f>
        <v>4</v>
      </c>
      <c r="L37" s="13">
        <f>SUM(L32,L35)</f>
        <v>3</v>
      </c>
      <c r="M37" s="13">
        <f>SUM(M32,M35)</f>
        <v>2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-1</v>
      </c>
      <c r="H38" s="13">
        <f>H37-H36</f>
        <v>-1</v>
      </c>
      <c r="I38" s="13">
        <f>I37-I36</f>
        <v>0</v>
      </c>
      <c r="J38" s="13">
        <f>J37-J36</f>
        <v>1</v>
      </c>
      <c r="K38" s="13">
        <f>K37-K36</f>
        <v>1</v>
      </c>
      <c r="L38" s="13">
        <f>L37-L36</f>
        <v>0</v>
      </c>
      <c r="M38" s="13">
        <f>M37-M36</f>
        <v>0</v>
      </c>
    </row>
    <row r="39" spans="1:13" x14ac:dyDescent="0.25">
      <c r="A39" s="7" t="s">
        <v>115</v>
      </c>
      <c r="B39" s="20">
        <v>0.11</v>
      </c>
      <c r="C39" s="23">
        <v>0.32590000000000002</v>
      </c>
      <c r="D39" s="23">
        <v>0.29360000000000003</v>
      </c>
      <c r="E39" s="23">
        <v>0.26450000000000001</v>
      </c>
      <c r="F39" s="23">
        <v>0.23830000000000001</v>
      </c>
      <c r="G39" s="23">
        <v>0.2147</v>
      </c>
      <c r="H39" s="23">
        <v>0.19339999999999999</v>
      </c>
      <c r="I39" s="23">
        <v>0.17419999999999999</v>
      </c>
      <c r="J39" s="24">
        <v>0.157</v>
      </c>
      <c r="K39" s="23">
        <v>0.1414</v>
      </c>
      <c r="L39" s="23">
        <v>0.12740000000000001</v>
      </c>
      <c r="M39" s="23">
        <v>0.1148</v>
      </c>
    </row>
    <row r="40" spans="1:13" x14ac:dyDescent="0.25">
      <c r="A40" s="6" t="s">
        <v>116</v>
      </c>
      <c r="C40" s="13">
        <v>3</v>
      </c>
      <c r="D40" s="13">
        <v>3</v>
      </c>
      <c r="E40" s="13">
        <v>2</v>
      </c>
      <c r="F40" s="13">
        <v>2</v>
      </c>
      <c r="G40" s="13">
        <v>1</v>
      </c>
      <c r="H40" s="13">
        <v>1</v>
      </c>
      <c r="I40" s="13">
        <v>1</v>
      </c>
      <c r="J40" s="13">
        <v>1</v>
      </c>
      <c r="K40" s="13">
        <v>0</v>
      </c>
      <c r="L40" s="13">
        <v>0</v>
      </c>
      <c r="M40" s="13">
        <v>0</v>
      </c>
    </row>
    <row r="41" spans="1:13" x14ac:dyDescent="0.25">
      <c r="A41" s="6"/>
      <c r="C41" s="13">
        <f>C36*C39</f>
        <v>3.2590000000000003</v>
      </c>
      <c r="D41" s="13">
        <f>D36*D39</f>
        <v>2.6424000000000003</v>
      </c>
      <c r="E41" s="13">
        <f>E36*E39</f>
        <v>2.1160000000000001</v>
      </c>
      <c r="F41" s="13">
        <f>F36*F39</f>
        <v>1.6681000000000001</v>
      </c>
      <c r="G41" s="13">
        <f>G36*G39</f>
        <v>1.5028999999999999</v>
      </c>
      <c r="H41" s="13">
        <f>H36*H39</f>
        <v>1.1603999999999999</v>
      </c>
      <c r="I41" s="13">
        <f>I36*I39</f>
        <v>0.871</v>
      </c>
      <c r="J41" s="13">
        <f>J36*J39</f>
        <v>0.628</v>
      </c>
      <c r="K41" s="13">
        <f>K36*K39</f>
        <v>0.42420000000000002</v>
      </c>
      <c r="L41" s="13">
        <f>L36*L39</f>
        <v>0.38220000000000004</v>
      </c>
      <c r="M41" s="13">
        <f>M36*M39</f>
        <v>0.2296</v>
      </c>
    </row>
    <row r="42" spans="1:13" x14ac:dyDescent="0.25">
      <c r="A42" s="6"/>
      <c r="C42" s="13">
        <f>C41-C40</f>
        <v>0.25900000000000034</v>
      </c>
      <c r="D42" s="13">
        <f>D41-D40</f>
        <v>-0.3575999999999997</v>
      </c>
      <c r="E42" s="13">
        <f>E41-E40</f>
        <v>0.1160000000000001</v>
      </c>
      <c r="F42" s="13">
        <f>F41-F40</f>
        <v>-0.33189999999999986</v>
      </c>
      <c r="G42" s="13">
        <f>G41-G40</f>
        <v>0.5028999999999999</v>
      </c>
      <c r="H42" s="13">
        <f>H41-H40</f>
        <v>0.16039999999999988</v>
      </c>
      <c r="I42" s="13">
        <f>I41-I40</f>
        <v>-0.129</v>
      </c>
      <c r="J42" s="13">
        <f>J41-J40</f>
        <v>-0.372</v>
      </c>
      <c r="K42" s="13">
        <f>K41-K40</f>
        <v>0.42420000000000002</v>
      </c>
      <c r="L42" s="13">
        <f>L41-L40</f>
        <v>0.38220000000000004</v>
      </c>
      <c r="M42" s="13">
        <f>M41-M40</f>
        <v>0.2296</v>
      </c>
    </row>
    <row r="43" spans="1:13" x14ac:dyDescent="0.25">
      <c r="A43" s="9" t="s">
        <v>221</v>
      </c>
    </row>
    <row r="44" spans="1:13" x14ac:dyDescent="0.25">
      <c r="A44" s="7" t="s">
        <v>222</v>
      </c>
      <c r="C44" s="20">
        <v>0.03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  <c r="L44" s="20">
        <v>0.03</v>
      </c>
      <c r="M44" s="20">
        <v>0.03</v>
      </c>
    </row>
    <row r="45" spans="1:13" x14ac:dyDescent="0.25">
      <c r="A45" s="7" t="s">
        <v>224</v>
      </c>
      <c r="C45" s="20">
        <v>0.57199999999999995</v>
      </c>
      <c r="D45" s="20">
        <v>0.57199999999999995</v>
      </c>
      <c r="E45" s="20">
        <v>0.57199999999999995</v>
      </c>
      <c r="F45" s="20">
        <v>0.57199999999999995</v>
      </c>
      <c r="G45" s="20">
        <v>0.57199999999999995</v>
      </c>
      <c r="H45" s="20">
        <v>0.57199999999999995</v>
      </c>
      <c r="I45" s="20">
        <v>0.57199999999999995</v>
      </c>
      <c r="J45" s="20">
        <v>0.57199999999999995</v>
      </c>
      <c r="K45" s="20">
        <v>0.57199999999999995</v>
      </c>
      <c r="L45" s="20">
        <v>0.57199999999999995</v>
      </c>
      <c r="M45" s="20">
        <v>0.57199999999999995</v>
      </c>
    </row>
    <row r="46" spans="1:13" x14ac:dyDescent="0.25">
      <c r="A46" s="7" t="s">
        <v>107</v>
      </c>
      <c r="C46" s="20">
        <v>4.9000000000000002E-2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  <c r="L46" s="20">
        <v>4.9000000000000002E-2</v>
      </c>
      <c r="M46" s="20">
        <v>4.9000000000000002E-2</v>
      </c>
    </row>
    <row r="47" spans="1:13" x14ac:dyDescent="0.25">
      <c r="A47" s="7" t="s">
        <v>225</v>
      </c>
      <c r="C47" s="20">
        <v>0.52300000000000002</v>
      </c>
      <c r="D47" s="20">
        <v>0.52300000000000002</v>
      </c>
      <c r="E47" s="20">
        <v>0.52300000000000002</v>
      </c>
      <c r="F47" s="20">
        <v>0.52300000000000002</v>
      </c>
      <c r="G47" s="20">
        <v>0.52300000000000002</v>
      </c>
      <c r="H47" s="20">
        <v>0.52300000000000002</v>
      </c>
      <c r="I47" s="20">
        <v>0.52300000000000002</v>
      </c>
      <c r="J47" s="20">
        <v>0.52300000000000002</v>
      </c>
      <c r="K47" s="20">
        <v>0.52300000000000002</v>
      </c>
      <c r="L47" s="20">
        <v>0.52300000000000002</v>
      </c>
      <c r="M47" s="20">
        <v>0.52300000000000002</v>
      </c>
    </row>
    <row r="48" spans="1:13" x14ac:dyDescent="0.25">
      <c r="A48" s="7" t="s">
        <v>240</v>
      </c>
      <c r="C48" s="20">
        <v>3.5999999999999997E-2</v>
      </c>
      <c r="D48" s="20">
        <v>3.5999999999999997E-2</v>
      </c>
      <c r="E48" s="20">
        <v>3.5999999999999997E-2</v>
      </c>
      <c r="F48" s="20">
        <v>3.5999999999999997E-2</v>
      </c>
      <c r="G48" s="20">
        <v>3.5999999999999997E-2</v>
      </c>
      <c r="H48" s="20">
        <v>3.5999999999999997E-2</v>
      </c>
      <c r="I48" s="20">
        <v>3.5999999999999997E-2</v>
      </c>
      <c r="J48" s="20">
        <v>3.5999999999999997E-2</v>
      </c>
      <c r="K48" s="20">
        <v>3.5999999999999997E-2</v>
      </c>
      <c r="L48" s="20">
        <v>3.5999999999999997E-2</v>
      </c>
      <c r="M48" s="20">
        <v>3.5999999999999997E-2</v>
      </c>
    </row>
    <row r="49" spans="1:13" x14ac:dyDescent="0.25">
      <c r="A49" s="16" t="s">
        <v>127</v>
      </c>
    </row>
    <row r="50" spans="1:13" x14ac:dyDescent="0.25">
      <c r="A50" s="7" t="s">
        <v>227</v>
      </c>
    </row>
    <row r="51" spans="1:13" x14ac:dyDescent="0.25">
      <c r="A51" s="16" t="s">
        <v>61</v>
      </c>
    </row>
    <row r="52" spans="1:13" x14ac:dyDescent="0.25">
      <c r="A52" s="9" t="s">
        <v>62</v>
      </c>
      <c r="M52" s="32" t="s">
        <v>63</v>
      </c>
    </row>
    <row r="53" spans="1:13" x14ac:dyDescent="0.25">
      <c r="A53" s="9"/>
      <c r="M53" s="32"/>
    </row>
    <row r="54" spans="1:13" x14ac:dyDescent="0.25">
      <c r="A54" s="9"/>
      <c r="M54" s="32"/>
    </row>
    <row r="55" spans="1:13" x14ac:dyDescent="0.25">
      <c r="G55" s="5" t="s">
        <v>6</v>
      </c>
    </row>
    <row r="56" spans="1:13" x14ac:dyDescent="0.25">
      <c r="G56" s="5"/>
    </row>
    <row r="57" spans="1:13" x14ac:dyDescent="0.25">
      <c r="G57" s="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M57"/>
  <sheetViews>
    <sheetView topLeftCell="A7"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5" t="s">
        <v>1</v>
      </c>
      <c r="M2" s="7" t="s">
        <v>264</v>
      </c>
    </row>
    <row r="3" spans="1:13" x14ac:dyDescent="0.25">
      <c r="A3" s="5" t="s">
        <v>9</v>
      </c>
    </row>
    <row r="4" spans="1:13" x14ac:dyDescent="0.25">
      <c r="A4" s="6" t="s">
        <v>262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56</v>
      </c>
      <c r="D8" s="10">
        <v>57</v>
      </c>
      <c r="E8" s="10">
        <v>59</v>
      </c>
      <c r="F8" s="10">
        <v>61</v>
      </c>
      <c r="G8" s="10">
        <v>63</v>
      </c>
      <c r="H8" s="10">
        <v>65</v>
      </c>
      <c r="I8" s="10">
        <v>67</v>
      </c>
      <c r="J8" s="10">
        <v>69</v>
      </c>
      <c r="K8" s="10">
        <v>71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56</v>
      </c>
      <c r="D10" s="10">
        <v>57</v>
      </c>
      <c r="E10" s="10">
        <v>59</v>
      </c>
      <c r="F10" s="10">
        <v>61</v>
      </c>
      <c r="G10" s="10">
        <v>63</v>
      </c>
      <c r="H10" s="10">
        <v>65</v>
      </c>
      <c r="I10" s="10">
        <v>67</v>
      </c>
      <c r="J10" s="10">
        <v>69</v>
      </c>
      <c r="K10" s="10">
        <v>71</v>
      </c>
    </row>
    <row r="11" spans="1:13" x14ac:dyDescent="0.25">
      <c r="A11" s="7"/>
      <c r="C11" s="10">
        <f>SUM(C8:C9)</f>
        <v>56</v>
      </c>
      <c r="D11" s="10">
        <f>SUM(D8:D9)</f>
        <v>57</v>
      </c>
      <c r="E11" s="10">
        <f>SUM(E8:E9)</f>
        <v>59</v>
      </c>
      <c r="F11" s="10">
        <f>SUM(F8:F9)</f>
        <v>61</v>
      </c>
      <c r="G11" s="10">
        <f>SUM(G8:G9)</f>
        <v>63</v>
      </c>
      <c r="H11" s="10">
        <f>SUM(H8:H9)</f>
        <v>65</v>
      </c>
      <c r="I11" s="10">
        <f>SUM(I8:I9)</f>
        <v>67</v>
      </c>
      <c r="J11" s="10">
        <f>SUM(J8:J9)</f>
        <v>69</v>
      </c>
      <c r="K11" s="10">
        <f>SUM(K8:K9)</f>
        <v>71</v>
      </c>
      <c r="L11">
        <f>SUM(L8:L9)</f>
        <v>0</v>
      </c>
      <c r="M11">
        <f>SUM(M8:M9)</f>
        <v>0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206</v>
      </c>
      <c r="B13" s="7" t="s">
        <v>254</v>
      </c>
      <c r="C13" s="20">
        <v>8.5999999999999993E-2</v>
      </c>
      <c r="D13" s="20">
        <v>6.4000000000000001E-2</v>
      </c>
      <c r="E13" s="20">
        <v>4.7E-2</v>
      </c>
      <c r="F13" s="20">
        <v>3.3000000000000002E-2</v>
      </c>
      <c r="G13" s="20">
        <v>2.3E-2</v>
      </c>
      <c r="H13" s="20">
        <v>1.6E-2</v>
      </c>
      <c r="I13" s="20">
        <v>1.0999999999999999E-2</v>
      </c>
      <c r="J13" s="20">
        <v>7.0000000000000001E-3</v>
      </c>
      <c r="K13" s="20">
        <v>5.0000000000000001E-3</v>
      </c>
    </row>
    <row r="14" spans="1:13" x14ac:dyDescent="0.25">
      <c r="A14" s="7" t="s">
        <v>208</v>
      </c>
      <c r="C14" s="10">
        <v>5</v>
      </c>
      <c r="D14" s="10">
        <v>4</v>
      </c>
      <c r="E14" s="10">
        <v>3</v>
      </c>
      <c r="F14" s="10">
        <v>2</v>
      </c>
      <c r="G14" s="10">
        <v>1</v>
      </c>
      <c r="H14" s="10">
        <v>1</v>
      </c>
      <c r="I14" s="10">
        <v>1</v>
      </c>
      <c r="J14" s="10">
        <v>0</v>
      </c>
      <c r="K14" s="10">
        <v>0</v>
      </c>
    </row>
    <row r="15" spans="1:13" x14ac:dyDescent="0.25">
      <c r="A15" s="7"/>
      <c r="C15" s="10">
        <f>C10*C13</f>
        <v>4.8159999999999998</v>
      </c>
      <c r="D15" s="10">
        <f>D10*D13</f>
        <v>3.6480000000000001</v>
      </c>
      <c r="E15" s="10">
        <f>E10*E13</f>
        <v>2.7730000000000001</v>
      </c>
      <c r="F15" s="10">
        <f>F10*F13</f>
        <v>2.0129999999999999</v>
      </c>
      <c r="G15" s="10">
        <f>G10*G13</f>
        <v>1.4490000000000001</v>
      </c>
      <c r="H15" s="10">
        <f>H10*H13</f>
        <v>1.04</v>
      </c>
      <c r="I15" s="10">
        <f>I10*I13</f>
        <v>0.73699999999999999</v>
      </c>
      <c r="J15" s="10">
        <f>J10*J13</f>
        <v>0.48299999999999998</v>
      </c>
      <c r="K15" s="10">
        <f>K10*K13</f>
        <v>0.35499999999999998</v>
      </c>
      <c r="L15">
        <f>L10*L13</f>
        <v>0</v>
      </c>
      <c r="M15">
        <f>M10*M13</f>
        <v>0</v>
      </c>
    </row>
    <row r="16" spans="1:13" x14ac:dyDescent="0.25">
      <c r="A16" s="7"/>
      <c r="C16" s="10">
        <f>C15-C14</f>
        <v>-0.18400000000000016</v>
      </c>
      <c r="D16" s="10">
        <f>D15-D14</f>
        <v>-0.35199999999999987</v>
      </c>
      <c r="E16" s="10">
        <f>E15-E14</f>
        <v>-0.22699999999999987</v>
      </c>
      <c r="F16" s="10">
        <f>F15-F14</f>
        <v>1.2999999999999901E-2</v>
      </c>
      <c r="G16" s="10">
        <f>G15-G14</f>
        <v>0.44900000000000007</v>
      </c>
      <c r="H16" s="10">
        <f>H15-H14</f>
        <v>4.0000000000000036E-2</v>
      </c>
      <c r="I16" s="10">
        <f>I15-I14</f>
        <v>-0.26300000000000001</v>
      </c>
      <c r="J16" s="10">
        <f>J15-J14</f>
        <v>0.48299999999999998</v>
      </c>
      <c r="K16" s="10">
        <f>K15-K14</f>
        <v>0.35499999999999998</v>
      </c>
      <c r="L16">
        <f>L15-L14</f>
        <v>0</v>
      </c>
      <c r="M16">
        <f>M15-M14</f>
        <v>0</v>
      </c>
    </row>
    <row r="17" spans="1:13" x14ac:dyDescent="0.25">
      <c r="A17" s="6" t="s">
        <v>205</v>
      </c>
      <c r="C17" s="13">
        <v>5</v>
      </c>
      <c r="D17" s="13">
        <v>4</v>
      </c>
      <c r="E17" s="13">
        <v>3</v>
      </c>
      <c r="F17" s="13">
        <v>2</v>
      </c>
      <c r="G17" s="13">
        <v>1</v>
      </c>
      <c r="H17" s="13">
        <v>1</v>
      </c>
      <c r="I17" s="13">
        <v>1</v>
      </c>
      <c r="J17" s="13">
        <v>0</v>
      </c>
      <c r="K17" s="13">
        <v>0</v>
      </c>
    </row>
    <row r="18" spans="1:13" x14ac:dyDescent="0.25">
      <c r="A18" s="6" t="s">
        <v>106</v>
      </c>
      <c r="C18" s="13">
        <v>3</v>
      </c>
      <c r="D18" s="13">
        <v>2</v>
      </c>
      <c r="E18" s="13">
        <v>2</v>
      </c>
      <c r="F18" s="13">
        <v>1</v>
      </c>
      <c r="G18" s="13">
        <v>1</v>
      </c>
      <c r="H18" s="13">
        <v>1</v>
      </c>
      <c r="I18" s="13">
        <v>0</v>
      </c>
      <c r="J18" s="13">
        <v>0</v>
      </c>
      <c r="K18" s="13">
        <v>0</v>
      </c>
    </row>
    <row r="19" spans="1:13" x14ac:dyDescent="0.25">
      <c r="A19" s="7" t="s">
        <v>107</v>
      </c>
      <c r="C19" s="19">
        <v>0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</row>
    <row r="20" spans="1:13" x14ac:dyDescent="0.25">
      <c r="A20" s="6" t="s">
        <v>211</v>
      </c>
      <c r="C20" s="13">
        <v>3</v>
      </c>
      <c r="D20" s="13">
        <v>2</v>
      </c>
      <c r="E20" s="13">
        <v>1</v>
      </c>
      <c r="F20" s="13">
        <v>1</v>
      </c>
      <c r="G20" s="13">
        <v>1</v>
      </c>
      <c r="H20" s="13">
        <v>1</v>
      </c>
      <c r="I20" s="13">
        <v>0</v>
      </c>
      <c r="J20" s="13">
        <v>0</v>
      </c>
      <c r="K20" s="13">
        <v>0</v>
      </c>
    </row>
    <row r="21" spans="1:13" x14ac:dyDescent="0.25">
      <c r="A21" s="6"/>
      <c r="C21" s="13">
        <f>SUM(C18,C19)</f>
        <v>3</v>
      </c>
      <c r="D21" s="13">
        <f>SUM(D18,D19)</f>
        <v>2</v>
      </c>
      <c r="E21" s="13">
        <f>SUM(E18,E19)</f>
        <v>2</v>
      </c>
      <c r="F21" s="13">
        <f>SUM(F18,F19)</f>
        <v>1</v>
      </c>
      <c r="G21" s="13">
        <f>SUM(G18,G19)</f>
        <v>1</v>
      </c>
      <c r="H21" s="13">
        <f>SUM(H18,H19)</f>
        <v>1</v>
      </c>
      <c r="I21" s="13">
        <f>SUM(I18,I19)</f>
        <v>0</v>
      </c>
      <c r="J21" s="13">
        <f>SUM(J18,J19)</f>
        <v>0</v>
      </c>
      <c r="K21" s="13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1</v>
      </c>
      <c r="F22" s="13">
        <f>F21-F20</f>
        <v>0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0</v>
      </c>
      <c r="K22" s="13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210</v>
      </c>
      <c r="B23" s="20">
        <v>1.4999999999999999E-2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</row>
    <row r="24" spans="1:13" x14ac:dyDescent="0.25">
      <c r="A24" s="7"/>
      <c r="B24" s="20"/>
      <c r="C24" s="19">
        <f>C10*B23</f>
        <v>0.84</v>
      </c>
      <c r="D24" s="19">
        <f>D10*B23</f>
        <v>0.85499999999999998</v>
      </c>
      <c r="E24" s="19">
        <f>E10*B23</f>
        <v>0.88500000000000001</v>
      </c>
      <c r="F24" s="19">
        <f>F10*B23</f>
        <v>0.91499999999999992</v>
      </c>
      <c r="G24" s="19">
        <f>G10*B23</f>
        <v>0.94499999999999995</v>
      </c>
      <c r="H24" s="19">
        <f>H10*B23</f>
        <v>0.97499999999999998</v>
      </c>
      <c r="I24" s="19">
        <f>I10*B23</f>
        <v>1.0049999999999999</v>
      </c>
      <c r="J24" s="19">
        <f>J10*B23</f>
        <v>1.0349999999999999</v>
      </c>
      <c r="K24" s="19">
        <f>K10*B23</f>
        <v>1.0649999999999999</v>
      </c>
      <c r="L24">
        <f>L10*B23</f>
        <v>0</v>
      </c>
      <c r="M24">
        <f>M10*B23</f>
        <v>0</v>
      </c>
    </row>
    <row r="25" spans="1:13" x14ac:dyDescent="0.25">
      <c r="A25" s="7"/>
      <c r="B25" s="20"/>
      <c r="C25" s="19">
        <f>C24-C23</f>
        <v>0.84</v>
      </c>
      <c r="D25" s="19">
        <f>D24-D23</f>
        <v>0.85499999999999998</v>
      </c>
      <c r="E25" s="19">
        <f>E24-E23</f>
        <v>0.88500000000000001</v>
      </c>
      <c r="F25" s="19">
        <f>F24-F23</f>
        <v>0.91499999999999992</v>
      </c>
      <c r="G25" s="19">
        <f>G24-G23</f>
        <v>0.94499999999999995</v>
      </c>
      <c r="H25" s="19">
        <f>H24-H23</f>
        <v>0.97499999999999998</v>
      </c>
      <c r="I25" s="19">
        <f>I24-I23</f>
        <v>1.0049999999999999</v>
      </c>
      <c r="J25" s="19">
        <f>J24-J23</f>
        <v>1.0349999999999999</v>
      </c>
      <c r="K25" s="19">
        <f>K24-K23</f>
        <v>1.0649999999999999</v>
      </c>
      <c r="L25">
        <f>L24-L23</f>
        <v>0</v>
      </c>
      <c r="M25">
        <f>M24-M23</f>
        <v>0</v>
      </c>
    </row>
    <row r="26" spans="1:13" x14ac:dyDescent="0.25">
      <c r="A26" s="6" t="s">
        <v>108</v>
      </c>
      <c r="C26" s="13">
        <v>2</v>
      </c>
      <c r="D26" s="13">
        <v>2</v>
      </c>
      <c r="E26" s="13">
        <v>1</v>
      </c>
      <c r="F26" s="13">
        <v>1</v>
      </c>
      <c r="G26" s="13">
        <v>1</v>
      </c>
      <c r="H26" s="13">
        <v>1</v>
      </c>
      <c r="I26" s="13">
        <v>0</v>
      </c>
      <c r="J26" s="13">
        <v>0</v>
      </c>
      <c r="K26" s="13">
        <v>0</v>
      </c>
    </row>
    <row r="27" spans="1:13" x14ac:dyDescent="0.25">
      <c r="A27" s="6"/>
      <c r="C27" s="13">
        <f>SUM(C20,C23)</f>
        <v>3</v>
      </c>
      <c r="D27" s="13">
        <f>SUM(D20,D23)</f>
        <v>2</v>
      </c>
      <c r="E27" s="13">
        <f>SUM(E20,E23)</f>
        <v>1</v>
      </c>
      <c r="F27" s="13">
        <f>SUM(F20,F23)</f>
        <v>1</v>
      </c>
      <c r="G27" s="13">
        <f>SUM(G20,G23)</f>
        <v>1</v>
      </c>
      <c r="H27" s="13">
        <f>SUM(H20,H23)</f>
        <v>1</v>
      </c>
      <c r="I27" s="13">
        <f>SUM(I20,I23)</f>
        <v>0</v>
      </c>
      <c r="J27" s="13">
        <f>SUM(J20,J23)</f>
        <v>0</v>
      </c>
      <c r="K27" s="13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6"/>
      <c r="C28" s="13">
        <f>C27-C26</f>
        <v>1</v>
      </c>
      <c r="D28" s="13">
        <f>D27-D26</f>
        <v>0</v>
      </c>
      <c r="E28" s="13">
        <f>E27-E26</f>
        <v>0</v>
      </c>
      <c r="F28" s="13">
        <f>F27-F26</f>
        <v>0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212</v>
      </c>
      <c r="B29" s="20">
        <v>0.218</v>
      </c>
      <c r="C29" s="19">
        <v>-1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</row>
    <row r="30" spans="1:13" x14ac:dyDescent="0.25">
      <c r="A30" s="7"/>
      <c r="B30" s="20"/>
      <c r="C30" s="19">
        <f>C26*B29</f>
        <v>0.436</v>
      </c>
      <c r="D30" s="19">
        <f>D26*B29</f>
        <v>0.436</v>
      </c>
      <c r="E30" s="19">
        <f>E26*B29</f>
        <v>0.218</v>
      </c>
      <c r="F30" s="19">
        <f>F26*B29</f>
        <v>0.218</v>
      </c>
      <c r="G30" s="19">
        <f>G26*B29</f>
        <v>0.218</v>
      </c>
      <c r="H30" s="19">
        <f>H26*B29</f>
        <v>0.218</v>
      </c>
      <c r="I30" s="19">
        <f>I26*B29</f>
        <v>0</v>
      </c>
      <c r="J30" s="19">
        <f>J26*B29</f>
        <v>0</v>
      </c>
      <c r="K30" s="19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B31" s="20"/>
      <c r="C31" s="19">
        <f>C30-C29</f>
        <v>1.4359999999999999</v>
      </c>
      <c r="D31" s="19">
        <f>D30-D29</f>
        <v>0.436</v>
      </c>
      <c r="E31" s="19">
        <f>E30-E29</f>
        <v>0.218</v>
      </c>
      <c r="F31" s="19">
        <f>F30-F29</f>
        <v>0.218</v>
      </c>
      <c r="G31" s="19">
        <f>G30-G29</f>
        <v>0.218</v>
      </c>
      <c r="H31" s="19">
        <f>H30-H29</f>
        <v>0.218</v>
      </c>
      <c r="I31" s="19">
        <f>I30-I29</f>
        <v>0</v>
      </c>
      <c r="J31" s="19">
        <f>J30-J29</f>
        <v>0</v>
      </c>
      <c r="K31" s="19">
        <f>K30-K29</f>
        <v>0</v>
      </c>
      <c r="L31">
        <f>L30-L29</f>
        <v>0</v>
      </c>
      <c r="M31">
        <f>M30-M29</f>
        <v>0</v>
      </c>
    </row>
    <row r="32" spans="1:13" x14ac:dyDescent="0.25">
      <c r="A32" s="6" t="s">
        <v>213</v>
      </c>
      <c r="C32" s="13">
        <v>2</v>
      </c>
      <c r="D32" s="13">
        <v>1</v>
      </c>
      <c r="E32" s="13">
        <v>1</v>
      </c>
      <c r="F32" s="13">
        <v>1</v>
      </c>
      <c r="G32" s="13">
        <v>1</v>
      </c>
      <c r="H32" s="13">
        <v>0</v>
      </c>
      <c r="I32" s="13">
        <v>0</v>
      </c>
      <c r="J32" s="13">
        <v>0</v>
      </c>
      <c r="K32" s="13">
        <v>0</v>
      </c>
    </row>
    <row r="33" spans="1:13" x14ac:dyDescent="0.25">
      <c r="A33" s="6"/>
      <c r="C33" s="13">
        <f>SUM(C26,C29)</f>
        <v>1</v>
      </c>
      <c r="D33" s="13">
        <f>SUM(D26,D29)</f>
        <v>2</v>
      </c>
      <c r="E33" s="13">
        <f>SUM(E26,E29)</f>
        <v>1</v>
      </c>
      <c r="F33" s="13">
        <f>SUM(F26,F29)</f>
        <v>1</v>
      </c>
      <c r="G33" s="13">
        <f>SUM(G26,G29)</f>
        <v>1</v>
      </c>
      <c r="H33" s="13">
        <f>SUM(H26,H29)</f>
        <v>1</v>
      </c>
      <c r="I33" s="13">
        <f>SUM(I26,I29)</f>
        <v>0</v>
      </c>
      <c r="J33" s="13">
        <f>SUM(J26,J29)</f>
        <v>0</v>
      </c>
      <c r="K33" s="1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6"/>
      <c r="C34" s="13">
        <f>C33-C32</f>
        <v>-1</v>
      </c>
      <c r="D34" s="13">
        <f>D33-D32</f>
        <v>1</v>
      </c>
      <c r="E34" s="13">
        <f>E33-E32</f>
        <v>0</v>
      </c>
      <c r="F34" s="13">
        <f>F33-F32</f>
        <v>0</v>
      </c>
      <c r="G34" s="13">
        <f>G33-G32</f>
        <v>0</v>
      </c>
      <c r="H34" s="13">
        <f>H33-H32</f>
        <v>1</v>
      </c>
      <c r="I34" s="13">
        <f>I33-I32</f>
        <v>0</v>
      </c>
      <c r="J34" s="13">
        <f>J33-J32</f>
        <v>0</v>
      </c>
      <c r="K34" s="13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214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</row>
    <row r="36" spans="1:13" x14ac:dyDescent="0.25">
      <c r="A36" s="6" t="s">
        <v>215</v>
      </c>
      <c r="C36" s="13">
        <v>2</v>
      </c>
      <c r="D36" s="13">
        <v>1</v>
      </c>
      <c r="E36" s="13">
        <v>1</v>
      </c>
      <c r="F36" s="13">
        <v>1</v>
      </c>
      <c r="G36" s="13">
        <v>1</v>
      </c>
      <c r="H36" s="13">
        <v>0</v>
      </c>
      <c r="I36" s="13">
        <v>0</v>
      </c>
      <c r="J36" s="13">
        <v>0</v>
      </c>
      <c r="K36" s="13">
        <v>0</v>
      </c>
    </row>
    <row r="37" spans="1:13" x14ac:dyDescent="0.25">
      <c r="A37" s="6"/>
      <c r="C37" s="13">
        <f>SUM(C32,C35)</f>
        <v>2</v>
      </c>
      <c r="D37" s="13">
        <f>SUM(D32,D35)</f>
        <v>1</v>
      </c>
      <c r="E37" s="13">
        <f>SUM(E32,E35)</f>
        <v>1</v>
      </c>
      <c r="F37" s="13">
        <f>SUM(F32,F35)</f>
        <v>1</v>
      </c>
      <c r="G37" s="13">
        <f>SUM(G32,G35)</f>
        <v>1</v>
      </c>
      <c r="H37" s="13">
        <f>SUM(H32,H35)</f>
        <v>0</v>
      </c>
      <c r="I37" s="13">
        <f>SUM(I32,I35)</f>
        <v>0</v>
      </c>
      <c r="J37" s="13">
        <f>SUM(J32,J35)</f>
        <v>0</v>
      </c>
      <c r="K37" s="13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115</v>
      </c>
      <c r="B39" s="20">
        <v>0.11</v>
      </c>
      <c r="C39" s="23">
        <v>0.10340000000000001</v>
      </c>
      <c r="D39" s="23">
        <v>9.3100000000000002E-2</v>
      </c>
      <c r="E39" s="23">
        <v>8.3900000000000002E-2</v>
      </c>
      <c r="F39" s="23">
        <v>7.5600000000000001E-2</v>
      </c>
      <c r="G39" s="23">
        <v>6.8099999999999994E-2</v>
      </c>
      <c r="H39" s="23">
        <v>6.1400000000000003E-2</v>
      </c>
      <c r="I39" s="23">
        <v>5.5300000000000002E-2</v>
      </c>
      <c r="J39" s="23">
        <v>4.9799999999999997E-2</v>
      </c>
      <c r="K39" s="23">
        <v>4.4900000000000002E-2</v>
      </c>
    </row>
    <row r="40" spans="1:13" x14ac:dyDescent="0.25">
      <c r="A40" s="6" t="s">
        <v>116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</row>
    <row r="41" spans="1:13" x14ac:dyDescent="0.25">
      <c r="A41" s="6"/>
      <c r="C41" s="13">
        <f>C36*C39</f>
        <v>0.20680000000000001</v>
      </c>
      <c r="D41" s="13">
        <f>D36*D39</f>
        <v>9.3100000000000002E-2</v>
      </c>
      <c r="E41" s="13">
        <f>E36*E39</f>
        <v>8.3900000000000002E-2</v>
      </c>
      <c r="F41" s="13">
        <f>F36*F39</f>
        <v>7.5600000000000001E-2</v>
      </c>
      <c r="G41" s="13">
        <f>G36*G39</f>
        <v>6.8099999999999994E-2</v>
      </c>
      <c r="H41" s="13">
        <f>H36*H39</f>
        <v>0</v>
      </c>
      <c r="I41" s="13">
        <f>I36*I39</f>
        <v>0</v>
      </c>
      <c r="J41" s="13">
        <f>J36*J39</f>
        <v>0</v>
      </c>
      <c r="K41" s="13">
        <f>K36*K39</f>
        <v>0</v>
      </c>
      <c r="L41">
        <f>L36*L39</f>
        <v>0</v>
      </c>
      <c r="M41">
        <f>M36*M39</f>
        <v>0</v>
      </c>
    </row>
    <row r="42" spans="1:13" x14ac:dyDescent="0.25">
      <c r="A42" s="6"/>
      <c r="C42" s="13">
        <f>C41-C40</f>
        <v>0.20680000000000001</v>
      </c>
      <c r="D42" s="13">
        <f>D41-D40</f>
        <v>9.3100000000000002E-2</v>
      </c>
      <c r="E42" s="13">
        <f>E41-E40</f>
        <v>8.3900000000000002E-2</v>
      </c>
      <c r="F42" s="13">
        <f>F41-F40</f>
        <v>7.5600000000000001E-2</v>
      </c>
      <c r="G42" s="13">
        <f>G41-G40</f>
        <v>6.8099999999999994E-2</v>
      </c>
      <c r="H42" s="13">
        <f>H41-H40</f>
        <v>0</v>
      </c>
      <c r="I42" s="13">
        <f>I41-I40</f>
        <v>0</v>
      </c>
      <c r="J42" s="13">
        <f>J41-J40</f>
        <v>0</v>
      </c>
      <c r="K42" s="13">
        <f>K41-K40</f>
        <v>0</v>
      </c>
      <c r="L42">
        <f>L41-L40</f>
        <v>0</v>
      </c>
      <c r="M42">
        <f>M41-M40</f>
        <v>0</v>
      </c>
    </row>
    <row r="43" spans="1:13" x14ac:dyDescent="0.25">
      <c r="A43" s="9" t="s">
        <v>221</v>
      </c>
    </row>
    <row r="44" spans="1:13" x14ac:dyDescent="0.25">
      <c r="A44" s="7" t="s">
        <v>222</v>
      </c>
      <c r="C44" s="20">
        <v>0.03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</row>
    <row r="45" spans="1:13" x14ac:dyDescent="0.25">
      <c r="A45" s="7" t="s">
        <v>224</v>
      </c>
      <c r="C45" s="20">
        <v>0.57199999999999995</v>
      </c>
      <c r="D45" s="20">
        <v>0.57199999999999995</v>
      </c>
      <c r="E45" s="20">
        <v>0.57199999999999995</v>
      </c>
      <c r="F45" s="20">
        <v>0.57199999999999995</v>
      </c>
      <c r="G45" s="20">
        <v>0.57199999999999995</v>
      </c>
      <c r="H45" s="20">
        <v>0.57199999999999995</v>
      </c>
      <c r="I45" s="20">
        <v>0.57199999999999995</v>
      </c>
      <c r="J45" s="20">
        <v>0.57199999999999995</v>
      </c>
      <c r="K45" s="20">
        <v>0.57199999999999995</v>
      </c>
    </row>
    <row r="46" spans="1:13" x14ac:dyDescent="0.25">
      <c r="A46" s="7" t="s">
        <v>107</v>
      </c>
      <c r="C46" s="20">
        <v>4.9000000000000002E-2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</row>
    <row r="47" spans="1:13" x14ac:dyDescent="0.25">
      <c r="A47" s="7" t="s">
        <v>225</v>
      </c>
      <c r="C47" s="20">
        <v>0.52300000000000002</v>
      </c>
      <c r="D47" s="20">
        <v>0.52300000000000002</v>
      </c>
      <c r="E47" s="20">
        <v>0.52300000000000002</v>
      </c>
      <c r="F47" s="20">
        <v>0.52300000000000002</v>
      </c>
      <c r="G47" s="20">
        <v>0.52300000000000002</v>
      </c>
      <c r="H47" s="20">
        <v>0.52300000000000002</v>
      </c>
      <c r="I47" s="20">
        <v>0.52300000000000002</v>
      </c>
      <c r="J47" s="20">
        <v>0.52300000000000002</v>
      </c>
      <c r="K47" s="20">
        <v>0.52300000000000002</v>
      </c>
    </row>
    <row r="48" spans="1:13" x14ac:dyDescent="0.25">
      <c r="A48" s="7" t="s">
        <v>240</v>
      </c>
      <c r="C48" s="20">
        <v>3.5999999999999997E-2</v>
      </c>
      <c r="D48" s="20">
        <v>3.5999999999999997E-2</v>
      </c>
      <c r="E48" s="20">
        <v>3.5999999999999997E-2</v>
      </c>
      <c r="F48" s="20">
        <v>3.5999999999999997E-2</v>
      </c>
      <c r="G48" s="20">
        <v>3.5999999999999997E-2</v>
      </c>
      <c r="H48" s="20">
        <v>3.5999999999999997E-2</v>
      </c>
      <c r="I48" s="20">
        <v>3.5999999999999997E-2</v>
      </c>
      <c r="J48" s="20">
        <v>3.5999999999999997E-2</v>
      </c>
      <c r="K48" s="20">
        <v>3.5999999999999997E-2</v>
      </c>
    </row>
    <row r="49" spans="1:13" x14ac:dyDescent="0.25">
      <c r="A49" s="16" t="s">
        <v>127</v>
      </c>
    </row>
    <row r="50" spans="1:13" x14ac:dyDescent="0.25">
      <c r="A50" s="7" t="s">
        <v>227</v>
      </c>
    </row>
    <row r="51" spans="1:13" x14ac:dyDescent="0.25">
      <c r="A51" s="16" t="s">
        <v>61</v>
      </c>
    </row>
    <row r="52" spans="1:13" x14ac:dyDescent="0.25">
      <c r="A52" s="9" t="s">
        <v>62</v>
      </c>
      <c r="M52" s="32" t="s">
        <v>63</v>
      </c>
    </row>
    <row r="53" spans="1:13" x14ac:dyDescent="0.25">
      <c r="A53" s="9"/>
      <c r="M53" s="32"/>
    </row>
    <row r="54" spans="1:13" x14ac:dyDescent="0.25">
      <c r="A54" s="9"/>
      <c r="M54" s="32"/>
    </row>
    <row r="55" spans="1:13" x14ac:dyDescent="0.25">
      <c r="G55" s="5" t="s">
        <v>6</v>
      </c>
    </row>
    <row r="56" spans="1:13" x14ac:dyDescent="0.25">
      <c r="G56" s="5"/>
    </row>
    <row r="57" spans="1:13" x14ac:dyDescent="0.25">
      <c r="G57" s="5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M71"/>
  <sheetViews>
    <sheetView topLeftCell="A10" workbookViewId="0">
      <selection activeCell="E24" sqref="E24"/>
    </sheetView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265</v>
      </c>
    </row>
    <row r="3" spans="1:13" x14ac:dyDescent="0.25">
      <c r="A3" s="6" t="s">
        <v>9</v>
      </c>
    </row>
    <row r="4" spans="1:13" x14ac:dyDescent="0.25">
      <c r="A4" s="6" t="s">
        <v>266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28</v>
      </c>
      <c r="D8" s="10">
        <v>116</v>
      </c>
      <c r="E8" s="10">
        <v>119</v>
      </c>
      <c r="F8" s="10">
        <v>122</v>
      </c>
      <c r="G8" s="10">
        <v>123</v>
      </c>
      <c r="H8" s="10">
        <v>128</v>
      </c>
      <c r="I8" s="10">
        <v>132</v>
      </c>
      <c r="J8" s="10">
        <v>137</v>
      </c>
      <c r="K8" s="10">
        <v>141</v>
      </c>
      <c r="L8" s="10">
        <v>145</v>
      </c>
      <c r="M8" s="10">
        <v>149</v>
      </c>
    </row>
    <row r="9" spans="1:13" x14ac:dyDescent="0.25">
      <c r="A9" s="7" t="s">
        <v>204</v>
      </c>
      <c r="C9" s="19">
        <v>-20</v>
      </c>
      <c r="D9" s="19">
        <v>-13</v>
      </c>
      <c r="E9" s="19">
        <v>0</v>
      </c>
    </row>
    <row r="10" spans="1:13" x14ac:dyDescent="0.25">
      <c r="A10" s="7" t="s">
        <v>253</v>
      </c>
      <c r="C10" s="10">
        <v>8</v>
      </c>
      <c r="D10" s="10">
        <v>103</v>
      </c>
      <c r="E10" s="10">
        <v>119</v>
      </c>
      <c r="F10" s="10">
        <v>122</v>
      </c>
      <c r="G10" s="10">
        <v>123</v>
      </c>
      <c r="H10" s="10">
        <v>128</v>
      </c>
      <c r="I10" s="10">
        <v>132</v>
      </c>
      <c r="J10" s="10">
        <v>137</v>
      </c>
      <c r="K10" s="10">
        <v>141</v>
      </c>
      <c r="L10" s="10">
        <v>145</v>
      </c>
      <c r="M10" s="10">
        <v>149</v>
      </c>
    </row>
    <row r="11" spans="1:13" x14ac:dyDescent="0.25">
      <c r="A11" s="7"/>
      <c r="C11" s="10">
        <f>SUM(C8:C9)</f>
        <v>8</v>
      </c>
      <c r="D11" s="10">
        <f>SUM(D8:D9)</f>
        <v>103</v>
      </c>
      <c r="E11" s="10">
        <f>SUM(E8:E9)</f>
        <v>119</v>
      </c>
      <c r="F11" s="10">
        <f>SUM(F8:F9)</f>
        <v>122</v>
      </c>
      <c r="G11" s="10">
        <f>SUM(G8:G9)</f>
        <v>123</v>
      </c>
      <c r="H11" s="10">
        <f>SUM(H8:H9)</f>
        <v>128</v>
      </c>
      <c r="I11" s="10">
        <f>SUM(I8:I9)</f>
        <v>132</v>
      </c>
      <c r="J11" s="10">
        <f>SUM(J8:J9)</f>
        <v>137</v>
      </c>
      <c r="K11" s="10">
        <f>SUM(K8:K9)</f>
        <v>141</v>
      </c>
      <c r="L11" s="10">
        <f>SUM(L8:L9)</f>
        <v>145</v>
      </c>
      <c r="M11" s="10">
        <f>SUM(M8:M9)</f>
        <v>149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</row>
    <row r="13" spans="1:13" x14ac:dyDescent="0.25">
      <c r="A13" s="7" t="s">
        <v>206</v>
      </c>
      <c r="B13" s="7" t="s">
        <v>207</v>
      </c>
      <c r="C13" s="20">
        <v>1</v>
      </c>
      <c r="D13" s="20">
        <v>1</v>
      </c>
      <c r="E13" s="20">
        <v>1</v>
      </c>
      <c r="F13" s="20">
        <v>0.999</v>
      </c>
      <c r="G13" s="20">
        <v>0.997</v>
      </c>
      <c r="H13" s="20">
        <v>0.99299999999999999</v>
      </c>
      <c r="I13" s="20">
        <v>0.98799999999999999</v>
      </c>
      <c r="J13" s="20">
        <v>0.98</v>
      </c>
      <c r="K13" s="20">
        <v>0.97</v>
      </c>
      <c r="L13" s="20">
        <v>0.95599999999999996</v>
      </c>
      <c r="M13" s="20">
        <v>0.93899999999999995</v>
      </c>
    </row>
    <row r="14" spans="1:13" x14ac:dyDescent="0.25">
      <c r="A14" s="7" t="s">
        <v>208</v>
      </c>
      <c r="C14" s="10">
        <v>8</v>
      </c>
      <c r="D14" s="10">
        <v>103</v>
      </c>
      <c r="E14" s="10">
        <v>119</v>
      </c>
      <c r="F14" s="10">
        <v>121</v>
      </c>
      <c r="G14" s="10">
        <v>123</v>
      </c>
      <c r="H14" s="10">
        <v>127</v>
      </c>
      <c r="I14" s="10">
        <v>131</v>
      </c>
      <c r="J14" s="10">
        <v>134</v>
      </c>
      <c r="K14" s="10">
        <v>137</v>
      </c>
      <c r="L14" s="10">
        <v>139</v>
      </c>
      <c r="M14" s="10">
        <v>140</v>
      </c>
    </row>
    <row r="15" spans="1:13" x14ac:dyDescent="0.25">
      <c r="A15" s="7"/>
      <c r="C15" s="10">
        <f>C10*C13</f>
        <v>8</v>
      </c>
      <c r="D15" s="10">
        <f>D10*D13</f>
        <v>103</v>
      </c>
      <c r="E15" s="10">
        <f>E10*E13</f>
        <v>119</v>
      </c>
      <c r="F15" s="10">
        <f>F10*F13</f>
        <v>121.878</v>
      </c>
      <c r="G15" s="10">
        <f>G10*G13</f>
        <v>122.631</v>
      </c>
      <c r="H15" s="10">
        <f>H10*H13</f>
        <v>127.104</v>
      </c>
      <c r="I15" s="10">
        <f>I10*I13</f>
        <v>130.416</v>
      </c>
      <c r="J15" s="10">
        <f>J10*J13</f>
        <v>134.26</v>
      </c>
      <c r="K15" s="10">
        <f>K10*K13</f>
        <v>136.77000000000001</v>
      </c>
      <c r="L15" s="10">
        <f>L10*L13</f>
        <v>138.62</v>
      </c>
      <c r="M15" s="10">
        <f>M10*M13</f>
        <v>139.911</v>
      </c>
    </row>
    <row r="16" spans="1:13" x14ac:dyDescent="0.25">
      <c r="A16" s="7"/>
      <c r="C16" s="10">
        <f>C15-C14</f>
        <v>0</v>
      </c>
      <c r="D16" s="10">
        <f>D15-D14</f>
        <v>0</v>
      </c>
      <c r="E16" s="10">
        <f>E15-E14</f>
        <v>0</v>
      </c>
      <c r="F16" s="10">
        <f>F15-F14</f>
        <v>0.87800000000000011</v>
      </c>
      <c r="G16" s="10">
        <f>G15-G14</f>
        <v>-0.36899999999999977</v>
      </c>
      <c r="H16" s="10">
        <f>H15-H14</f>
        <v>0.1039999999999992</v>
      </c>
      <c r="I16" s="10">
        <f>I15-I14</f>
        <v>-0.58400000000000318</v>
      </c>
      <c r="J16" s="10">
        <f>J15-J14</f>
        <v>0.25999999999999091</v>
      </c>
      <c r="K16" s="10">
        <f>K15-K14</f>
        <v>-0.22999999999998977</v>
      </c>
      <c r="L16" s="10">
        <f>L15-L14</f>
        <v>-0.37999999999999545</v>
      </c>
      <c r="M16" s="10">
        <f>M15-M14</f>
        <v>-8.8999999999998636E-2</v>
      </c>
    </row>
    <row r="17" spans="1:13" x14ac:dyDescent="0.25">
      <c r="A17" s="6" t="s">
        <v>205</v>
      </c>
      <c r="C17" s="13">
        <v>8</v>
      </c>
      <c r="D17" s="13">
        <v>103</v>
      </c>
      <c r="E17" s="13">
        <v>119</v>
      </c>
      <c r="F17" s="13">
        <v>121</v>
      </c>
      <c r="G17" s="13">
        <v>123</v>
      </c>
      <c r="H17" s="13">
        <v>127</v>
      </c>
      <c r="I17" s="13">
        <v>131</v>
      </c>
      <c r="J17" s="13">
        <v>134</v>
      </c>
      <c r="K17" s="13">
        <v>137</v>
      </c>
      <c r="L17" s="13">
        <v>139</v>
      </c>
      <c r="M17" s="13">
        <v>140</v>
      </c>
    </row>
    <row r="18" spans="1:13" x14ac:dyDescent="0.25">
      <c r="A18" s="6" t="s">
        <v>106</v>
      </c>
      <c r="C18" s="13">
        <v>2</v>
      </c>
      <c r="D18" s="13">
        <v>33</v>
      </c>
      <c r="E18" s="13">
        <v>41</v>
      </c>
      <c r="F18" s="13">
        <v>43</v>
      </c>
      <c r="G18" s="13">
        <v>43</v>
      </c>
      <c r="H18" s="13">
        <v>46</v>
      </c>
      <c r="I18" s="13">
        <v>49</v>
      </c>
      <c r="J18" s="13">
        <v>51</v>
      </c>
      <c r="K18" s="13">
        <v>52</v>
      </c>
      <c r="L18" s="13">
        <v>53</v>
      </c>
      <c r="M18" s="13">
        <v>53</v>
      </c>
    </row>
    <row r="19" spans="1:13" x14ac:dyDescent="0.25">
      <c r="A19" s="7" t="s">
        <v>107</v>
      </c>
      <c r="C19" s="19">
        <v>0</v>
      </c>
      <c r="D19" s="19">
        <v>-3</v>
      </c>
      <c r="E19" s="19">
        <v>-4</v>
      </c>
      <c r="F19" s="19">
        <v>-6</v>
      </c>
      <c r="G19" s="19">
        <v>-7</v>
      </c>
      <c r="H19" s="19">
        <v>-7</v>
      </c>
      <c r="I19" s="19">
        <v>-7</v>
      </c>
      <c r="J19" s="19">
        <v>-7</v>
      </c>
      <c r="K19" s="19">
        <v>-7</v>
      </c>
      <c r="L19" s="19">
        <v>-7</v>
      </c>
      <c r="M19" s="19">
        <v>-7</v>
      </c>
    </row>
    <row r="20" spans="1:13" x14ac:dyDescent="0.25">
      <c r="A20" s="6" t="s">
        <v>211</v>
      </c>
      <c r="C20" s="13">
        <v>2</v>
      </c>
      <c r="D20" s="13">
        <v>29</v>
      </c>
      <c r="E20" s="13">
        <v>37</v>
      </c>
      <c r="F20" s="13">
        <v>37</v>
      </c>
      <c r="G20" s="13">
        <v>36</v>
      </c>
      <c r="H20" s="13">
        <v>39</v>
      </c>
      <c r="I20" s="13">
        <v>42</v>
      </c>
      <c r="J20" s="13">
        <v>44</v>
      </c>
      <c r="K20" s="13">
        <v>45</v>
      </c>
      <c r="L20" s="13">
        <v>46</v>
      </c>
      <c r="M20" s="13">
        <v>47</v>
      </c>
    </row>
    <row r="21" spans="1:13" x14ac:dyDescent="0.25">
      <c r="A21" s="6"/>
      <c r="C21" s="13">
        <f>SUM(C18,C19)</f>
        <v>2</v>
      </c>
      <c r="D21" s="13">
        <f>SUM(D18,D19)</f>
        <v>30</v>
      </c>
      <c r="E21" s="13">
        <f>SUM(E18,E19)</f>
        <v>37</v>
      </c>
      <c r="F21" s="13">
        <f>SUM(F18,F19)</f>
        <v>37</v>
      </c>
      <c r="G21" s="13">
        <f>SUM(G18,G19)</f>
        <v>36</v>
      </c>
      <c r="H21" s="13">
        <f>SUM(H18,H19)</f>
        <v>39</v>
      </c>
      <c r="I21" s="13">
        <f>SUM(I18,I19)</f>
        <v>42</v>
      </c>
      <c r="J21" s="13">
        <f>SUM(J18,J19)</f>
        <v>44</v>
      </c>
      <c r="K21" s="13">
        <f>SUM(K18,K19)</f>
        <v>45</v>
      </c>
      <c r="L21" s="13">
        <f>SUM(L18,L19)</f>
        <v>46</v>
      </c>
      <c r="M21" s="13">
        <f>SUM(M18,M19)</f>
        <v>46</v>
      </c>
    </row>
    <row r="22" spans="1:13" x14ac:dyDescent="0.25">
      <c r="A22" s="6"/>
      <c r="C22" s="13">
        <f>C21-C20</f>
        <v>0</v>
      </c>
      <c r="D22" s="13">
        <f>D21-D20</f>
        <v>1</v>
      </c>
      <c r="E22" s="13">
        <f>E21-E20</f>
        <v>0</v>
      </c>
      <c r="F22" s="13">
        <f>F21-F20</f>
        <v>0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0</v>
      </c>
      <c r="K22" s="13">
        <f>K21-K20</f>
        <v>0</v>
      </c>
      <c r="L22" s="13">
        <f>L21-L20</f>
        <v>0</v>
      </c>
      <c r="M22" s="13">
        <f>M21-M20</f>
        <v>-1</v>
      </c>
    </row>
    <row r="23" spans="1:13" x14ac:dyDescent="0.25">
      <c r="A23" s="7" t="s">
        <v>210</v>
      </c>
      <c r="B23" s="20">
        <v>1.4999999999999999E-2</v>
      </c>
      <c r="C23" s="19">
        <v>0</v>
      </c>
      <c r="D23" s="19">
        <v>-2</v>
      </c>
      <c r="E23" s="19">
        <v>-2</v>
      </c>
      <c r="F23" s="19">
        <v>-2</v>
      </c>
      <c r="G23" s="19">
        <v>-2</v>
      </c>
      <c r="H23" s="19">
        <v>-2</v>
      </c>
      <c r="I23" s="19">
        <v>-2</v>
      </c>
      <c r="J23" s="19">
        <v>-2</v>
      </c>
      <c r="K23" s="19">
        <v>-2</v>
      </c>
      <c r="L23" s="19">
        <v>-2</v>
      </c>
      <c r="M23" s="19">
        <v>-2</v>
      </c>
    </row>
    <row r="24" spans="1:13" x14ac:dyDescent="0.25">
      <c r="A24" s="7"/>
      <c r="B24" s="20"/>
      <c r="C24" s="19">
        <f>C10*B23</f>
        <v>0.12</v>
      </c>
      <c r="D24" s="19">
        <f>D10*B23</f>
        <v>1.5449999999999999</v>
      </c>
      <c r="E24" s="19">
        <f>E10*B23</f>
        <v>1.7849999999999999</v>
      </c>
      <c r="F24" s="19">
        <f>F10*B23</f>
        <v>1.8299999999999998</v>
      </c>
      <c r="G24" s="19">
        <f>G10*B23</f>
        <v>1.845</v>
      </c>
      <c r="H24" s="19">
        <f>H10*B23</f>
        <v>1.92</v>
      </c>
      <c r="I24" s="19">
        <f>I10*B23</f>
        <v>1.98</v>
      </c>
      <c r="J24" s="19">
        <f>J10*B23</f>
        <v>2.0549999999999997</v>
      </c>
      <c r="K24" s="19">
        <f>K10*B23</f>
        <v>2.1149999999999998</v>
      </c>
      <c r="L24" s="19">
        <f>L10*B23</f>
        <v>2.1749999999999998</v>
      </c>
      <c r="M24" s="19">
        <f>M10*B23</f>
        <v>2.2349999999999999</v>
      </c>
    </row>
    <row r="25" spans="1:13" x14ac:dyDescent="0.25">
      <c r="A25" s="7"/>
      <c r="B25" s="20"/>
      <c r="C25" s="19">
        <f>C24-C23</f>
        <v>0.12</v>
      </c>
      <c r="D25" s="19">
        <f>D24-D23</f>
        <v>3.5449999999999999</v>
      </c>
      <c r="E25" s="19">
        <f>E24-E23</f>
        <v>3.7850000000000001</v>
      </c>
      <c r="F25" s="19">
        <f>F24-F23</f>
        <v>3.83</v>
      </c>
      <c r="G25" s="19">
        <f>G24-G23</f>
        <v>3.8449999999999998</v>
      </c>
      <c r="H25" s="19">
        <f>H24-H23</f>
        <v>3.92</v>
      </c>
      <c r="I25" s="19">
        <f>I24-I23</f>
        <v>3.98</v>
      </c>
      <c r="J25" s="19">
        <f>J24-J23</f>
        <v>4.0549999999999997</v>
      </c>
      <c r="K25" s="19">
        <f>K24-K23</f>
        <v>4.1150000000000002</v>
      </c>
      <c r="L25" s="19">
        <f>L24-L23</f>
        <v>4.1749999999999998</v>
      </c>
      <c r="M25" s="19">
        <f>M24-M23</f>
        <v>4.2349999999999994</v>
      </c>
    </row>
    <row r="26" spans="1:13" x14ac:dyDescent="0.25">
      <c r="A26" s="6" t="s">
        <v>108</v>
      </c>
      <c r="C26" s="13">
        <v>2</v>
      </c>
      <c r="D26" s="13">
        <v>28</v>
      </c>
      <c r="E26" s="13">
        <v>35</v>
      </c>
      <c r="F26" s="13">
        <v>35</v>
      </c>
      <c r="G26" s="13">
        <v>35</v>
      </c>
      <c r="H26" s="13">
        <v>37</v>
      </c>
      <c r="I26" s="13">
        <v>40</v>
      </c>
      <c r="J26" s="13">
        <v>42</v>
      </c>
      <c r="K26" s="13">
        <v>43</v>
      </c>
      <c r="L26" s="13">
        <v>44</v>
      </c>
      <c r="M26" s="13">
        <v>44</v>
      </c>
    </row>
    <row r="27" spans="1:13" x14ac:dyDescent="0.25">
      <c r="A27" s="6"/>
      <c r="C27" s="13">
        <f>SUM(C20,C23)</f>
        <v>2</v>
      </c>
      <c r="D27" s="13">
        <f>SUM(D20,D23)</f>
        <v>27</v>
      </c>
      <c r="E27" s="13">
        <f>SUM(E20,E23)</f>
        <v>35</v>
      </c>
      <c r="F27" s="13">
        <f>SUM(F20,F23)</f>
        <v>35</v>
      </c>
      <c r="G27" s="13">
        <f>SUM(G20,G23)</f>
        <v>34</v>
      </c>
      <c r="H27" s="13">
        <f>SUM(H20,H23)</f>
        <v>37</v>
      </c>
      <c r="I27" s="13">
        <f>SUM(I20,I23)</f>
        <v>40</v>
      </c>
      <c r="J27" s="13">
        <f>SUM(J20,J23)</f>
        <v>42</v>
      </c>
      <c r="K27" s="13">
        <f>SUM(K20,K23)</f>
        <v>43</v>
      </c>
      <c r="L27" s="13">
        <f>SUM(L20,L23)</f>
        <v>44</v>
      </c>
      <c r="M27" s="13">
        <f>SUM(M20,M23)</f>
        <v>45</v>
      </c>
    </row>
    <row r="28" spans="1:13" x14ac:dyDescent="0.25">
      <c r="A28" s="6"/>
      <c r="C28" s="13">
        <f>C27-C26</f>
        <v>0</v>
      </c>
      <c r="D28" s="13">
        <f>D27-D26</f>
        <v>-1</v>
      </c>
      <c r="E28" s="13">
        <f>E27-E26</f>
        <v>0</v>
      </c>
      <c r="F28" s="13">
        <f>F27-F26</f>
        <v>0</v>
      </c>
      <c r="G28" s="13">
        <f>G27-G26</f>
        <v>-1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0</v>
      </c>
      <c r="L28" s="13">
        <f>L27-L26</f>
        <v>0</v>
      </c>
      <c r="M28" s="13">
        <f>M27-M26</f>
        <v>1</v>
      </c>
    </row>
    <row r="29" spans="1:13" x14ac:dyDescent="0.25">
      <c r="A29" s="7" t="s">
        <v>212</v>
      </c>
      <c r="B29" s="20">
        <v>0.218</v>
      </c>
      <c r="C29" s="31">
        <v>0</v>
      </c>
      <c r="D29" s="19">
        <v>-6</v>
      </c>
      <c r="E29" s="19">
        <v>-8</v>
      </c>
      <c r="F29" s="19">
        <v>-8</v>
      </c>
      <c r="G29" s="19">
        <v>-8</v>
      </c>
      <c r="H29" s="19">
        <v>-8</v>
      </c>
      <c r="I29" s="19">
        <v>-9</v>
      </c>
      <c r="J29" s="19">
        <v>-9</v>
      </c>
      <c r="K29" s="19">
        <v>-9</v>
      </c>
      <c r="L29" s="19">
        <v>-10</v>
      </c>
      <c r="M29" s="19">
        <v>-10</v>
      </c>
    </row>
    <row r="30" spans="1:13" x14ac:dyDescent="0.25">
      <c r="A30" s="7"/>
      <c r="B30" s="20"/>
      <c r="C30" s="31">
        <f>C26*B29</f>
        <v>0.436</v>
      </c>
      <c r="D30" s="19">
        <f>D26*B29</f>
        <v>6.1040000000000001</v>
      </c>
      <c r="E30" s="19">
        <f>E26*B29</f>
        <v>7.63</v>
      </c>
      <c r="F30" s="19">
        <f>F26*B29</f>
        <v>7.63</v>
      </c>
      <c r="G30" s="19">
        <f>G26*B29</f>
        <v>7.63</v>
      </c>
      <c r="H30" s="19">
        <f>H26*B29</f>
        <v>8.0660000000000007</v>
      </c>
      <c r="I30" s="19">
        <f>I26*B29</f>
        <v>8.7200000000000006</v>
      </c>
      <c r="J30" s="19">
        <f>J26*B29</f>
        <v>9.1560000000000006</v>
      </c>
      <c r="K30" s="19">
        <f>K26*B29</f>
        <v>9.3740000000000006</v>
      </c>
      <c r="L30" s="19">
        <f>L26*B29</f>
        <v>9.5920000000000005</v>
      </c>
      <c r="M30" s="19">
        <f>M26*B29</f>
        <v>9.5920000000000005</v>
      </c>
    </row>
    <row r="31" spans="1:13" x14ac:dyDescent="0.25">
      <c r="A31" s="7"/>
      <c r="B31" s="20"/>
      <c r="C31" s="31">
        <f>C30-C29</f>
        <v>0.436</v>
      </c>
      <c r="D31" s="19">
        <f>D30-D29</f>
        <v>12.103999999999999</v>
      </c>
      <c r="E31" s="19">
        <f>E30-E29</f>
        <v>15.629999999999999</v>
      </c>
      <c r="F31" s="19">
        <f>F30-F29</f>
        <v>15.629999999999999</v>
      </c>
      <c r="G31" s="19">
        <f>G30-G29</f>
        <v>15.629999999999999</v>
      </c>
      <c r="H31" s="19">
        <f>H30-H29</f>
        <v>16.066000000000003</v>
      </c>
      <c r="I31" s="19">
        <f>I30-I29</f>
        <v>17.72</v>
      </c>
      <c r="J31" s="19">
        <f>J30-J29</f>
        <v>18.155999999999999</v>
      </c>
      <c r="K31" s="19">
        <f>K30-K29</f>
        <v>18.374000000000002</v>
      </c>
      <c r="L31" s="19">
        <f>L30-L29</f>
        <v>19.591999999999999</v>
      </c>
      <c r="M31" s="19">
        <f>M30-M29</f>
        <v>19.591999999999999</v>
      </c>
    </row>
    <row r="32" spans="1:13" x14ac:dyDescent="0.25">
      <c r="A32" s="6" t="s">
        <v>213</v>
      </c>
      <c r="C32" s="13">
        <v>2</v>
      </c>
      <c r="D32" s="13">
        <v>22</v>
      </c>
      <c r="E32" s="13">
        <v>27</v>
      </c>
      <c r="F32" s="13">
        <v>27</v>
      </c>
      <c r="G32" s="13">
        <v>27</v>
      </c>
      <c r="H32" s="13">
        <v>29</v>
      </c>
      <c r="I32" s="13">
        <v>31</v>
      </c>
      <c r="J32" s="13">
        <v>33</v>
      </c>
      <c r="K32" s="13">
        <v>34</v>
      </c>
      <c r="L32" s="13">
        <v>34</v>
      </c>
      <c r="M32" s="13">
        <v>35</v>
      </c>
    </row>
    <row r="33" spans="1:13" x14ac:dyDescent="0.25">
      <c r="A33" s="6"/>
      <c r="C33" s="13">
        <f>SUM(C26,C29)</f>
        <v>2</v>
      </c>
      <c r="D33" s="13">
        <f>SUM(D26,D29)</f>
        <v>22</v>
      </c>
      <c r="E33" s="13">
        <f>SUM(E26,E29)</f>
        <v>27</v>
      </c>
      <c r="F33" s="13">
        <f>SUM(F26,F29)</f>
        <v>27</v>
      </c>
      <c r="G33" s="13">
        <f>SUM(G26,G29)</f>
        <v>27</v>
      </c>
      <c r="H33" s="13">
        <f>SUM(H26,H29)</f>
        <v>29</v>
      </c>
      <c r="I33" s="13">
        <f>SUM(I26,I29)</f>
        <v>31</v>
      </c>
      <c r="J33" s="13">
        <f>SUM(J26,J29)</f>
        <v>33</v>
      </c>
      <c r="K33" s="13">
        <f>SUM(K26,K29)</f>
        <v>34</v>
      </c>
      <c r="L33" s="13">
        <f>SUM(L26,L29)</f>
        <v>34</v>
      </c>
      <c r="M33" s="13">
        <f>SUM(M26,M29)</f>
        <v>34</v>
      </c>
    </row>
    <row r="34" spans="1:13" x14ac:dyDescent="0.25">
      <c r="A34" s="6"/>
      <c r="C34" s="13">
        <f>C33-C32</f>
        <v>0</v>
      </c>
      <c r="D34" s="13">
        <f>D33-D32</f>
        <v>0</v>
      </c>
      <c r="E34" s="13">
        <f>E33-E32</f>
        <v>0</v>
      </c>
      <c r="F34" s="13">
        <f>F33-F32</f>
        <v>0</v>
      </c>
      <c r="G34" s="13">
        <f>G33-G32</f>
        <v>0</v>
      </c>
      <c r="H34" s="13">
        <f>H33-H32</f>
        <v>0</v>
      </c>
      <c r="I34" s="13">
        <f>I33-I32</f>
        <v>0</v>
      </c>
      <c r="J34" s="13">
        <f>J33-J32</f>
        <v>0</v>
      </c>
      <c r="K34" s="13">
        <f>K33-K32</f>
        <v>0</v>
      </c>
      <c r="L34" s="13">
        <f>L33-L32</f>
        <v>0</v>
      </c>
      <c r="M34" s="13">
        <f>M33-M32</f>
        <v>-1</v>
      </c>
    </row>
    <row r="35" spans="1:13" x14ac:dyDescent="0.25">
      <c r="A35" s="7" t="s">
        <v>214</v>
      </c>
      <c r="C35" s="19">
        <v>0</v>
      </c>
      <c r="D35" s="19">
        <v>-5</v>
      </c>
      <c r="E35" s="19">
        <v>-5</v>
      </c>
      <c r="F35" s="19">
        <v>-6</v>
      </c>
      <c r="G35" s="19">
        <v>-6</v>
      </c>
      <c r="H35" s="19">
        <v>-6</v>
      </c>
      <c r="I35" s="19">
        <v>-6</v>
      </c>
      <c r="J35" s="19">
        <v>-6</v>
      </c>
      <c r="K35" s="19">
        <v>-6</v>
      </c>
      <c r="L35" s="19">
        <v>-6</v>
      </c>
      <c r="M35" s="19">
        <v>-6</v>
      </c>
    </row>
    <row r="36" spans="1:13" x14ac:dyDescent="0.25">
      <c r="A36" s="6" t="s">
        <v>215</v>
      </c>
      <c r="C36" s="13">
        <v>1</v>
      </c>
      <c r="D36" s="13">
        <v>17</v>
      </c>
      <c r="E36" s="13">
        <v>22</v>
      </c>
      <c r="F36" s="13">
        <v>22</v>
      </c>
      <c r="G36" s="13">
        <v>21</v>
      </c>
      <c r="H36" s="13">
        <v>23</v>
      </c>
      <c r="I36" s="13">
        <v>25</v>
      </c>
      <c r="J36" s="13">
        <v>27</v>
      </c>
      <c r="K36" s="13">
        <v>28</v>
      </c>
      <c r="L36" s="13">
        <v>28</v>
      </c>
      <c r="M36" s="13">
        <v>28</v>
      </c>
    </row>
    <row r="37" spans="1:13" x14ac:dyDescent="0.25">
      <c r="A37" s="6"/>
      <c r="C37" s="13">
        <f>SUM(C32,C35)</f>
        <v>2</v>
      </c>
      <c r="D37" s="13">
        <f>SUM(D32,D35)</f>
        <v>17</v>
      </c>
      <c r="E37" s="13">
        <f>SUM(E32,E35)</f>
        <v>22</v>
      </c>
      <c r="F37" s="13">
        <f>SUM(F32,F35)</f>
        <v>21</v>
      </c>
      <c r="G37" s="13">
        <f>SUM(G32,G35)</f>
        <v>21</v>
      </c>
      <c r="H37" s="13">
        <f>SUM(H32,H35)</f>
        <v>23</v>
      </c>
      <c r="I37" s="13">
        <f>SUM(I32,I35)</f>
        <v>25</v>
      </c>
      <c r="J37" s="13">
        <f>SUM(J32,J35)</f>
        <v>27</v>
      </c>
      <c r="K37" s="13">
        <f>SUM(K32,K35)</f>
        <v>28</v>
      </c>
      <c r="L37" s="13">
        <f>SUM(L32,L35)</f>
        <v>28</v>
      </c>
      <c r="M37" s="13">
        <f>SUM(M32,M35)</f>
        <v>29</v>
      </c>
    </row>
    <row r="38" spans="1:13" x14ac:dyDescent="0.25">
      <c r="A38" s="6"/>
      <c r="C38" s="13">
        <f>C37-C36</f>
        <v>1</v>
      </c>
      <c r="D38" s="13">
        <f>D37-D36</f>
        <v>0</v>
      </c>
      <c r="E38" s="13">
        <f>E37-E36</f>
        <v>0</v>
      </c>
      <c r="F38" s="13">
        <f>F37-F36</f>
        <v>-1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0</v>
      </c>
      <c r="L38" s="13">
        <f>L37-L36</f>
        <v>0</v>
      </c>
      <c r="M38" s="13">
        <f>M37-M36</f>
        <v>1</v>
      </c>
    </row>
    <row r="39" spans="1:13" x14ac:dyDescent="0.25">
      <c r="A39" s="7" t="s">
        <v>115</v>
      </c>
      <c r="B39" s="20">
        <v>0.11</v>
      </c>
      <c r="C39" s="23">
        <v>0.98740000000000006</v>
      </c>
      <c r="D39" s="23">
        <v>0.92530000000000001</v>
      </c>
      <c r="E39" s="23">
        <v>0.83360000000000001</v>
      </c>
      <c r="F39" s="24">
        <v>0.751</v>
      </c>
      <c r="G39" s="23">
        <v>0.67659999999999998</v>
      </c>
      <c r="H39" s="23">
        <v>0.60950000000000004</v>
      </c>
      <c r="I39" s="23">
        <v>0.54910000000000003</v>
      </c>
      <c r="J39" s="23">
        <v>0.49469999999999997</v>
      </c>
      <c r="K39" s="23">
        <v>0.44569999999999999</v>
      </c>
      <c r="L39" s="23">
        <v>0.40150000000000002</v>
      </c>
      <c r="M39" s="23">
        <v>0.36170000000000002</v>
      </c>
    </row>
    <row r="40" spans="1:13" x14ac:dyDescent="0.25">
      <c r="A40" s="6" t="s">
        <v>116</v>
      </c>
      <c r="C40" s="13">
        <v>1</v>
      </c>
      <c r="D40" s="13">
        <v>16</v>
      </c>
      <c r="E40" s="13">
        <v>18</v>
      </c>
      <c r="F40" s="13">
        <v>16</v>
      </c>
      <c r="G40" s="13">
        <v>14</v>
      </c>
      <c r="H40" s="13">
        <v>14</v>
      </c>
      <c r="I40" s="13">
        <v>14</v>
      </c>
      <c r="J40" s="13">
        <v>13</v>
      </c>
      <c r="K40" s="13">
        <v>12</v>
      </c>
      <c r="L40" s="13">
        <v>11</v>
      </c>
      <c r="M40" s="13">
        <v>10</v>
      </c>
    </row>
    <row r="41" spans="1:13" x14ac:dyDescent="0.25">
      <c r="A41" s="6"/>
      <c r="C41" s="13">
        <f>C36*C39</f>
        <v>0.98740000000000006</v>
      </c>
      <c r="D41" s="13">
        <f>D36*D39</f>
        <v>15.7301</v>
      </c>
      <c r="E41" s="13">
        <f>E36*E39</f>
        <v>18.339200000000002</v>
      </c>
      <c r="F41" s="13">
        <f>F36*F39</f>
        <v>16.521999999999998</v>
      </c>
      <c r="G41" s="13">
        <f>G36*G39</f>
        <v>14.208599999999999</v>
      </c>
      <c r="H41" s="13">
        <f>H36*H39</f>
        <v>14.018500000000001</v>
      </c>
      <c r="I41" s="13">
        <f>I36*I39</f>
        <v>13.727500000000001</v>
      </c>
      <c r="J41" s="13">
        <f>J36*J39</f>
        <v>13.3569</v>
      </c>
      <c r="K41" s="13">
        <f>K36*K39</f>
        <v>12.4796</v>
      </c>
      <c r="L41" s="13">
        <f>L36*L39</f>
        <v>11.242000000000001</v>
      </c>
      <c r="M41" s="13">
        <f>M36*M39</f>
        <v>10.127600000000001</v>
      </c>
    </row>
    <row r="42" spans="1:13" x14ac:dyDescent="0.25">
      <c r="A42" s="6"/>
      <c r="C42" s="13">
        <f>C41-C40</f>
        <v>-1.2599999999999945E-2</v>
      </c>
      <c r="D42" s="13">
        <f>D41-D40</f>
        <v>-0.26989999999999981</v>
      </c>
      <c r="E42" s="13">
        <f>E41-E40</f>
        <v>0.33920000000000172</v>
      </c>
      <c r="F42" s="13">
        <f>F41-F40</f>
        <v>0.52199999999999847</v>
      </c>
      <c r="G42" s="13">
        <f>G41-G40</f>
        <v>0.20859999999999879</v>
      </c>
      <c r="H42" s="13">
        <f>H41-H40</f>
        <v>1.8500000000001293E-2</v>
      </c>
      <c r="I42" s="13">
        <f>I41-I40</f>
        <v>-0.27249999999999908</v>
      </c>
      <c r="J42" s="13">
        <f>J41-J40</f>
        <v>0.35689999999999955</v>
      </c>
      <c r="K42" s="13">
        <f>K41-K40</f>
        <v>0.47959999999999958</v>
      </c>
      <c r="L42" s="13">
        <f>L41-L40</f>
        <v>0.24200000000000088</v>
      </c>
      <c r="M42" s="13">
        <f>M41-M40</f>
        <v>0.12760000000000105</v>
      </c>
    </row>
    <row r="43" spans="1:13" x14ac:dyDescent="0.25">
      <c r="A43" s="7" t="s">
        <v>216</v>
      </c>
      <c r="C43" s="10">
        <v>212</v>
      </c>
    </row>
    <row r="44" spans="1:13" x14ac:dyDescent="0.25">
      <c r="H44" s="7" t="s">
        <v>217</v>
      </c>
    </row>
    <row r="45" spans="1:13" x14ac:dyDescent="0.25">
      <c r="A45" s="6" t="s">
        <v>218</v>
      </c>
      <c r="C45" s="13">
        <v>212</v>
      </c>
      <c r="F45" s="10">
        <v>230</v>
      </c>
      <c r="G45" s="15">
        <v>0.02</v>
      </c>
      <c r="H45" s="15">
        <v>0.03</v>
      </c>
      <c r="I45" s="15">
        <v>0.04</v>
      </c>
      <c r="J45" s="15">
        <v>0.05</v>
      </c>
    </row>
    <row r="46" spans="1:13" x14ac:dyDescent="0.25">
      <c r="A46" s="7" t="s">
        <v>121</v>
      </c>
      <c r="B46" s="7" t="s">
        <v>122</v>
      </c>
      <c r="C46" s="10">
        <v>18</v>
      </c>
      <c r="F46" s="27">
        <v>20</v>
      </c>
      <c r="G46" s="23">
        <v>225.3</v>
      </c>
      <c r="H46" s="23">
        <v>232.6</v>
      </c>
      <c r="I46" s="23">
        <v>240.6</v>
      </c>
      <c r="J46" s="23">
        <v>249.4</v>
      </c>
    </row>
    <row r="47" spans="1:13" x14ac:dyDescent="0.25">
      <c r="A47" s="6" t="s">
        <v>219</v>
      </c>
      <c r="C47" s="13">
        <v>230</v>
      </c>
      <c r="F47" s="27">
        <v>25</v>
      </c>
      <c r="G47" s="23">
        <v>225.3</v>
      </c>
      <c r="H47" s="23">
        <v>232.6</v>
      </c>
      <c r="I47" s="23">
        <v>240.6</v>
      </c>
      <c r="J47" s="23">
        <v>249.4</v>
      </c>
    </row>
    <row r="48" spans="1:13" x14ac:dyDescent="0.25">
      <c r="E48" s="7" t="s">
        <v>220</v>
      </c>
      <c r="F48" s="27">
        <v>30</v>
      </c>
      <c r="G48" s="23">
        <v>225.3</v>
      </c>
      <c r="H48" s="23">
        <v>232.6</v>
      </c>
      <c r="I48" s="23">
        <v>240.6</v>
      </c>
      <c r="J48" s="23">
        <v>249.4</v>
      </c>
    </row>
    <row r="49" spans="1:13" x14ac:dyDescent="0.25">
      <c r="F49" s="27">
        <v>35</v>
      </c>
      <c r="G49" s="23">
        <v>225.3</v>
      </c>
      <c r="H49" s="23">
        <v>232.6</v>
      </c>
      <c r="I49" s="23">
        <v>240.6</v>
      </c>
      <c r="J49" s="23">
        <v>249.4</v>
      </c>
    </row>
    <row r="50" spans="1:13" x14ac:dyDescent="0.25">
      <c r="F50" s="27">
        <v>40</v>
      </c>
      <c r="G50" s="23">
        <v>225.3</v>
      </c>
      <c r="H50" s="23">
        <v>232.6</v>
      </c>
      <c r="I50" s="23">
        <v>240.6</v>
      </c>
      <c r="J50" s="23">
        <v>249.4</v>
      </c>
    </row>
    <row r="51" spans="1:13" x14ac:dyDescent="0.25">
      <c r="A51" s="9" t="s">
        <v>221</v>
      </c>
    </row>
    <row r="52" spans="1:13" x14ac:dyDescent="0.25">
      <c r="A52" s="7" t="s">
        <v>222</v>
      </c>
      <c r="C52" s="7" t="s">
        <v>223</v>
      </c>
      <c r="D52" s="20">
        <v>1.2E-2</v>
      </c>
      <c r="E52" s="20">
        <v>2.9000000000000001E-2</v>
      </c>
      <c r="F52" s="20">
        <v>2.1000000000000001E-2</v>
      </c>
      <c r="G52" s="20">
        <v>1.4999999999999999E-2</v>
      </c>
      <c r="H52" s="20">
        <v>3.5999999999999997E-2</v>
      </c>
      <c r="I52" s="20">
        <v>3.5000000000000003E-2</v>
      </c>
      <c r="J52" s="20">
        <v>3.3000000000000002E-2</v>
      </c>
      <c r="K52" s="20">
        <v>0.03</v>
      </c>
      <c r="L52" s="20">
        <v>0.03</v>
      </c>
      <c r="M52" s="20">
        <v>0.03</v>
      </c>
    </row>
    <row r="53" spans="1:13" x14ac:dyDescent="0.25">
      <c r="A53" s="7"/>
      <c r="C53" s="7"/>
      <c r="D53" s="20"/>
      <c r="E53" s="20"/>
      <c r="F53" s="20"/>
      <c r="G53" s="20"/>
      <c r="H53" s="20"/>
      <c r="I53" s="20"/>
      <c r="J53" s="20"/>
      <c r="K53" s="20"/>
      <c r="L53" s="20"/>
      <c r="M53" s="20"/>
    </row>
    <row r="54" spans="1:13" x14ac:dyDescent="0.25">
      <c r="A54" s="7"/>
      <c r="C54" s="7"/>
      <c r="D54" s="20"/>
      <c r="E54" s="20"/>
      <c r="F54" s="20"/>
      <c r="G54" s="20"/>
      <c r="H54" s="20"/>
      <c r="I54" s="20"/>
      <c r="J54" s="20"/>
      <c r="K54" s="20"/>
      <c r="L54" s="20"/>
      <c r="M54" s="20"/>
    </row>
    <row r="55" spans="1:13" x14ac:dyDescent="0.25">
      <c r="A55" s="7" t="s">
        <v>224</v>
      </c>
      <c r="C55" s="20">
        <v>0.32300000000000001</v>
      </c>
      <c r="D55" s="20">
        <v>0.31900000000000001</v>
      </c>
      <c r="E55" s="20">
        <v>0.34200000000000003</v>
      </c>
      <c r="F55" s="20">
        <v>0.35199999999999998</v>
      </c>
      <c r="G55" s="20">
        <v>0.35099999999999998</v>
      </c>
      <c r="H55" s="20">
        <v>0.36199999999999999</v>
      </c>
      <c r="I55" s="20">
        <v>0.371</v>
      </c>
      <c r="J55" s="20">
        <v>0.38100000000000001</v>
      </c>
      <c r="K55" s="20">
        <v>0.38100000000000001</v>
      </c>
      <c r="L55" s="20">
        <v>0.38100000000000001</v>
      </c>
      <c r="M55" s="20">
        <v>0.38100000000000001</v>
      </c>
    </row>
    <row r="56" spans="1:13" x14ac:dyDescent="0.25">
      <c r="A56" s="7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 t="s">
        <v>107</v>
      </c>
      <c r="C58" s="20">
        <v>3.5999999999999997E-2</v>
      </c>
      <c r="D58" s="20">
        <v>3.4000000000000002E-2</v>
      </c>
      <c r="E58" s="20">
        <v>3.5000000000000003E-2</v>
      </c>
      <c r="F58" s="20">
        <v>0.05</v>
      </c>
      <c r="G58" s="20">
        <v>5.5E-2</v>
      </c>
      <c r="H58" s="20">
        <v>5.2999999999999999E-2</v>
      </c>
      <c r="I58" s="20">
        <v>5.0999999999999997E-2</v>
      </c>
      <c r="J58" s="20">
        <v>4.9000000000000002E-2</v>
      </c>
      <c r="K58" s="20">
        <v>4.9000000000000002E-2</v>
      </c>
      <c r="L58" s="20">
        <v>4.9000000000000002E-2</v>
      </c>
      <c r="M58" s="20">
        <v>4.9000000000000002E-2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</row>
    <row r="61" spans="1:13" x14ac:dyDescent="0.25">
      <c r="A61" s="7" t="s">
        <v>225</v>
      </c>
      <c r="C61" s="20">
        <v>0.28699999999999998</v>
      </c>
      <c r="D61" s="20">
        <v>0.28599999999999998</v>
      </c>
      <c r="E61" s="20">
        <v>0.307</v>
      </c>
      <c r="F61" s="20">
        <v>0.30199999999999999</v>
      </c>
      <c r="G61" s="20">
        <v>0.29599999999999999</v>
      </c>
      <c r="H61" s="20">
        <v>0.309</v>
      </c>
      <c r="I61" s="20">
        <v>0.32100000000000001</v>
      </c>
      <c r="J61" s="20">
        <v>0.33200000000000002</v>
      </c>
      <c r="K61" s="20">
        <v>0.33200000000000002</v>
      </c>
      <c r="L61" s="20">
        <v>0.33200000000000002</v>
      </c>
      <c r="M61" s="20">
        <v>0.33200000000000002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240</v>
      </c>
      <c r="C64" s="20">
        <v>4.5999999999999999E-2</v>
      </c>
      <c r="D64" s="20">
        <v>4.5999999999999999E-2</v>
      </c>
      <c r="E64" s="20">
        <v>4.5999999999999999E-2</v>
      </c>
      <c r="F64" s="20">
        <v>4.5999999999999999E-2</v>
      </c>
      <c r="G64" s="20">
        <v>4.5999999999999999E-2</v>
      </c>
      <c r="H64" s="20">
        <v>4.5999999999999999E-2</v>
      </c>
      <c r="I64" s="20">
        <v>4.5999999999999999E-2</v>
      </c>
      <c r="J64" s="20">
        <v>4.5999999999999999E-2</v>
      </c>
      <c r="K64" s="20">
        <v>4.5999999999999999E-2</v>
      </c>
      <c r="L64" s="20">
        <v>4.5999999999999999E-2</v>
      </c>
      <c r="M64" s="20">
        <v>4.5999999999999999E-2</v>
      </c>
    </row>
    <row r="65" spans="1:13" x14ac:dyDescent="0.25">
      <c r="A65" s="7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16" t="s">
        <v>127</v>
      </c>
    </row>
    <row r="68" spans="1:13" x14ac:dyDescent="0.25">
      <c r="A68" s="7" t="s">
        <v>227</v>
      </c>
    </row>
    <row r="69" spans="1:13" x14ac:dyDescent="0.25">
      <c r="A69" s="16" t="s">
        <v>61</v>
      </c>
    </row>
    <row r="70" spans="1:13" x14ac:dyDescent="0.25">
      <c r="A70" s="9" t="s">
        <v>62</v>
      </c>
      <c r="M70" s="32" t="s">
        <v>63</v>
      </c>
    </row>
    <row r="71" spans="1:13" x14ac:dyDescent="0.25">
      <c r="E71" s="5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M57"/>
  <sheetViews>
    <sheetView topLeftCell="A13" workbookViewId="0">
      <selection activeCell="F24" sqref="F24"/>
    </sheetView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267</v>
      </c>
    </row>
    <row r="3" spans="1:13" x14ac:dyDescent="0.25">
      <c r="A3" s="6" t="s">
        <v>9</v>
      </c>
    </row>
    <row r="4" spans="1:13" x14ac:dyDescent="0.25">
      <c r="A4" s="6" t="s">
        <v>266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154</v>
      </c>
      <c r="D8" s="10">
        <v>158</v>
      </c>
      <c r="E8" s="10">
        <v>163</v>
      </c>
      <c r="F8" s="10">
        <v>168</v>
      </c>
      <c r="G8" s="10">
        <v>173</v>
      </c>
      <c r="H8" s="10">
        <v>178</v>
      </c>
      <c r="I8" s="10">
        <v>184</v>
      </c>
      <c r="J8" s="10">
        <v>189</v>
      </c>
      <c r="K8" s="10">
        <v>195</v>
      </c>
      <c r="L8" s="10">
        <v>201</v>
      </c>
      <c r="M8" s="10">
        <v>207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154</v>
      </c>
      <c r="D10" s="10">
        <v>158</v>
      </c>
      <c r="E10" s="10">
        <v>163</v>
      </c>
      <c r="F10" s="10">
        <v>168</v>
      </c>
      <c r="G10" s="10">
        <v>173</v>
      </c>
      <c r="H10" s="10">
        <v>178</v>
      </c>
      <c r="I10" s="10">
        <v>184</v>
      </c>
      <c r="J10" s="10">
        <v>189</v>
      </c>
      <c r="K10" s="10">
        <v>195</v>
      </c>
      <c r="L10" s="10">
        <v>201</v>
      </c>
      <c r="M10" s="10">
        <v>207</v>
      </c>
    </row>
    <row r="11" spans="1:13" x14ac:dyDescent="0.25">
      <c r="A11" s="7"/>
      <c r="C11" s="10">
        <f>SUM(C8:C9)</f>
        <v>154</v>
      </c>
      <c r="D11" s="10">
        <f>SUM(D8:D9)</f>
        <v>158</v>
      </c>
      <c r="E11" s="10">
        <f>SUM(E8:E9)</f>
        <v>163</v>
      </c>
      <c r="F11" s="10">
        <f>SUM(F8:F9)</f>
        <v>168</v>
      </c>
      <c r="G11" s="10">
        <f>SUM(G8:G9)</f>
        <v>173</v>
      </c>
      <c r="H11" s="10">
        <f>SUM(H8:H9)</f>
        <v>178</v>
      </c>
      <c r="I11" s="10">
        <f>SUM(I8:I9)</f>
        <v>184</v>
      </c>
      <c r="J11" s="10">
        <f>SUM(J8:J9)</f>
        <v>189</v>
      </c>
      <c r="K11" s="10">
        <f>SUM(K8:K9)</f>
        <v>195</v>
      </c>
      <c r="L11" s="10">
        <f>SUM(L8:L9)</f>
        <v>201</v>
      </c>
      <c r="M11" s="10">
        <f>SUM(M8:M9)</f>
        <v>207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</row>
    <row r="13" spans="1:13" x14ac:dyDescent="0.25">
      <c r="A13" s="7" t="s">
        <v>206</v>
      </c>
      <c r="B13" s="7" t="s">
        <v>207</v>
      </c>
      <c r="C13" s="20">
        <v>0.91900000000000004</v>
      </c>
      <c r="D13" s="20">
        <v>0.89500000000000002</v>
      </c>
      <c r="E13" s="20">
        <v>0.86799999999999999</v>
      </c>
      <c r="F13" s="20">
        <v>0.83699999999999997</v>
      </c>
      <c r="G13" s="20">
        <v>0.80200000000000005</v>
      </c>
      <c r="H13" s="20">
        <v>0.76300000000000001</v>
      </c>
      <c r="I13" s="20">
        <v>0.72199999999999998</v>
      </c>
      <c r="J13" s="20">
        <v>0.67800000000000005</v>
      </c>
      <c r="K13" s="20">
        <v>0.63200000000000001</v>
      </c>
      <c r="L13" s="20">
        <v>0.58499999999999996</v>
      </c>
      <c r="M13" s="20">
        <v>0.53600000000000003</v>
      </c>
    </row>
    <row r="14" spans="1:13" x14ac:dyDescent="0.25">
      <c r="A14" s="7" t="s">
        <v>208</v>
      </c>
      <c r="C14" s="10">
        <v>141</v>
      </c>
      <c r="D14" s="10">
        <v>142</v>
      </c>
      <c r="E14" s="10">
        <v>142</v>
      </c>
      <c r="F14" s="10">
        <v>141</v>
      </c>
      <c r="G14" s="10">
        <v>139</v>
      </c>
      <c r="H14" s="10">
        <v>136</v>
      </c>
      <c r="I14" s="10">
        <v>133</v>
      </c>
      <c r="J14" s="10">
        <v>128</v>
      </c>
      <c r="K14" s="10">
        <v>123</v>
      </c>
      <c r="L14" s="10">
        <v>117</v>
      </c>
      <c r="M14" s="10">
        <v>111</v>
      </c>
    </row>
    <row r="15" spans="1:13" x14ac:dyDescent="0.25">
      <c r="A15" s="7"/>
      <c r="C15" s="10">
        <f>C10*C13</f>
        <v>141.52600000000001</v>
      </c>
      <c r="D15" s="10">
        <f>D10*D13</f>
        <v>141.41</v>
      </c>
      <c r="E15" s="10">
        <f>E10*E13</f>
        <v>141.48400000000001</v>
      </c>
      <c r="F15" s="10">
        <f>F10*F13</f>
        <v>140.61599999999999</v>
      </c>
      <c r="G15" s="10">
        <f>G10*G13</f>
        <v>138.74600000000001</v>
      </c>
      <c r="H15" s="10">
        <f>H10*H13</f>
        <v>135.81399999999999</v>
      </c>
      <c r="I15" s="10">
        <f>I10*I13</f>
        <v>132.84799999999998</v>
      </c>
      <c r="J15" s="10">
        <f>J10*J13</f>
        <v>128.142</v>
      </c>
      <c r="K15" s="10">
        <f>K10*K13</f>
        <v>123.24</v>
      </c>
      <c r="L15" s="10">
        <f>L10*L13</f>
        <v>117.58499999999999</v>
      </c>
      <c r="M15" s="10">
        <f>M10*M13</f>
        <v>110.95200000000001</v>
      </c>
    </row>
    <row r="16" spans="1:13" x14ac:dyDescent="0.25">
      <c r="A16" s="7"/>
      <c r="C16" s="10">
        <f>C15-C14</f>
        <v>0.52600000000001046</v>
      </c>
      <c r="D16" s="10">
        <f>D15-D14</f>
        <v>-0.59000000000000341</v>
      </c>
      <c r="E16" s="10">
        <f>E15-E14</f>
        <v>-0.51599999999999113</v>
      </c>
      <c r="F16" s="10">
        <f>F15-F14</f>
        <v>-0.38400000000001455</v>
      </c>
      <c r="G16" s="10">
        <f>G15-G14</f>
        <v>-0.25399999999999068</v>
      </c>
      <c r="H16" s="10">
        <f>H15-H14</f>
        <v>-0.18600000000000705</v>
      </c>
      <c r="I16" s="10">
        <f>I15-I14</f>
        <v>-0.15200000000001523</v>
      </c>
      <c r="J16" s="10">
        <f>J15-J14</f>
        <v>0.14199999999999591</v>
      </c>
      <c r="K16" s="10">
        <f>K15-K14</f>
        <v>0.23999999999999488</v>
      </c>
      <c r="L16" s="10">
        <f>L15-L14</f>
        <v>0.58499999999999375</v>
      </c>
      <c r="M16" s="10">
        <f>M15-M14</f>
        <v>-4.7999999999987608E-2</v>
      </c>
    </row>
    <row r="17" spans="1:13" x14ac:dyDescent="0.25">
      <c r="A17" s="6" t="s">
        <v>205</v>
      </c>
      <c r="C17" s="13">
        <v>141</v>
      </c>
      <c r="D17" s="13">
        <v>142</v>
      </c>
      <c r="E17" s="13">
        <v>142</v>
      </c>
      <c r="F17" s="13">
        <v>141</v>
      </c>
      <c r="G17" s="13">
        <v>139</v>
      </c>
      <c r="H17" s="13">
        <v>136</v>
      </c>
      <c r="I17" s="13">
        <v>133</v>
      </c>
      <c r="J17" s="13">
        <v>128</v>
      </c>
      <c r="K17" s="13">
        <v>123</v>
      </c>
      <c r="L17" s="13">
        <v>117</v>
      </c>
      <c r="M17" s="13">
        <v>111</v>
      </c>
    </row>
    <row r="18" spans="1:13" x14ac:dyDescent="0.25">
      <c r="A18" s="6" t="s">
        <v>106</v>
      </c>
      <c r="C18" s="13">
        <v>54</v>
      </c>
      <c r="D18" s="13">
        <v>54</v>
      </c>
      <c r="E18" s="13">
        <v>54</v>
      </c>
      <c r="F18" s="13">
        <v>54</v>
      </c>
      <c r="G18" s="13">
        <v>53</v>
      </c>
      <c r="H18" s="13">
        <v>52</v>
      </c>
      <c r="I18" s="13">
        <v>50</v>
      </c>
      <c r="J18" s="13">
        <v>49</v>
      </c>
      <c r="K18" s="13">
        <v>47</v>
      </c>
      <c r="L18" s="13">
        <v>45</v>
      </c>
      <c r="M18" s="13">
        <v>42</v>
      </c>
    </row>
    <row r="19" spans="1:13" x14ac:dyDescent="0.25">
      <c r="A19" s="7" t="s">
        <v>107</v>
      </c>
      <c r="C19" s="19">
        <v>-7</v>
      </c>
      <c r="D19" s="19">
        <v>-7</v>
      </c>
      <c r="E19" s="19">
        <v>-7</v>
      </c>
      <c r="F19" s="19">
        <v>-7</v>
      </c>
      <c r="G19" s="19">
        <v>-7</v>
      </c>
      <c r="H19" s="19">
        <v>-7</v>
      </c>
      <c r="I19" s="19">
        <v>-6</v>
      </c>
      <c r="J19" s="19">
        <v>-6</v>
      </c>
      <c r="K19" s="19">
        <v>-6</v>
      </c>
      <c r="L19" s="19">
        <v>-6</v>
      </c>
      <c r="M19" s="19">
        <v>-5</v>
      </c>
    </row>
    <row r="20" spans="1:13" x14ac:dyDescent="0.25">
      <c r="A20" s="6" t="s">
        <v>211</v>
      </c>
      <c r="C20" s="13">
        <v>47</v>
      </c>
      <c r="D20" s="13">
        <v>47</v>
      </c>
      <c r="E20" s="13">
        <v>47</v>
      </c>
      <c r="F20" s="13">
        <v>47</v>
      </c>
      <c r="G20" s="13">
        <v>46</v>
      </c>
      <c r="H20" s="13">
        <v>45</v>
      </c>
      <c r="I20" s="13">
        <v>44</v>
      </c>
      <c r="J20" s="13">
        <v>43</v>
      </c>
      <c r="K20" s="13">
        <v>41</v>
      </c>
      <c r="L20" s="13">
        <v>39</v>
      </c>
      <c r="M20" s="13">
        <v>37</v>
      </c>
    </row>
    <row r="21" spans="1:13" x14ac:dyDescent="0.25">
      <c r="A21" s="6"/>
      <c r="C21" s="13">
        <f>SUM(C18,C19)</f>
        <v>47</v>
      </c>
      <c r="D21" s="13">
        <f>SUM(D18,D19)</f>
        <v>47</v>
      </c>
      <c r="E21" s="13">
        <f>SUM(E18,E19)</f>
        <v>47</v>
      </c>
      <c r="F21" s="13">
        <f>SUM(F18,F19)</f>
        <v>47</v>
      </c>
      <c r="G21" s="13">
        <f>SUM(G18,G19)</f>
        <v>46</v>
      </c>
      <c r="H21" s="13">
        <f>SUM(H18,H19)</f>
        <v>45</v>
      </c>
      <c r="I21" s="13">
        <f>SUM(I18,I19)</f>
        <v>44</v>
      </c>
      <c r="J21" s="13">
        <f>SUM(J18,J19)</f>
        <v>43</v>
      </c>
      <c r="K21" s="13">
        <f>SUM(K18,K19)</f>
        <v>41</v>
      </c>
      <c r="L21" s="13">
        <f>SUM(L18,L19)</f>
        <v>39</v>
      </c>
      <c r="M21" s="13">
        <f>SUM(M18,M19)</f>
        <v>37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0</v>
      </c>
      <c r="F22" s="13">
        <f>F21-F20</f>
        <v>0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0</v>
      </c>
      <c r="K22" s="13">
        <f>K21-K20</f>
        <v>0</v>
      </c>
      <c r="L22" s="13">
        <f>L21-L20</f>
        <v>0</v>
      </c>
      <c r="M22" s="13">
        <f>M21-M20</f>
        <v>0</v>
      </c>
    </row>
    <row r="23" spans="1:13" x14ac:dyDescent="0.25">
      <c r="A23" s="7" t="s">
        <v>210</v>
      </c>
      <c r="B23" s="20">
        <v>1.4999999999999999E-2</v>
      </c>
      <c r="C23" s="19">
        <v>-2</v>
      </c>
      <c r="D23" s="19">
        <v>-2</v>
      </c>
      <c r="E23" s="19">
        <v>-2</v>
      </c>
      <c r="F23" s="19">
        <v>-2</v>
      </c>
      <c r="G23" s="19">
        <v>-2</v>
      </c>
      <c r="H23" s="19">
        <v>-2</v>
      </c>
      <c r="I23" s="19">
        <v>-2</v>
      </c>
      <c r="J23" s="19">
        <v>-2</v>
      </c>
      <c r="K23" s="19">
        <v>-2</v>
      </c>
      <c r="L23" s="19">
        <v>-2</v>
      </c>
      <c r="M23" s="19">
        <v>-2</v>
      </c>
    </row>
    <row r="24" spans="1:13" x14ac:dyDescent="0.25">
      <c r="A24" s="7"/>
      <c r="B24" s="20"/>
      <c r="C24" s="19">
        <f>C10*B23</f>
        <v>2.31</v>
      </c>
      <c r="D24" s="19">
        <f>D10*B23</f>
        <v>2.37</v>
      </c>
      <c r="E24" s="19">
        <f>E10*B23</f>
        <v>2.4449999999999998</v>
      </c>
      <c r="F24" s="19">
        <f>F10*B23</f>
        <v>2.52</v>
      </c>
      <c r="G24" s="19">
        <f>G10*B23</f>
        <v>2.5949999999999998</v>
      </c>
      <c r="H24" s="19">
        <f>H10*B23</f>
        <v>2.67</v>
      </c>
      <c r="I24" s="19">
        <f>I10*B23</f>
        <v>2.76</v>
      </c>
      <c r="J24" s="19">
        <f>J10*B23</f>
        <v>2.835</v>
      </c>
      <c r="K24" s="19">
        <f>K10*B23</f>
        <v>2.9249999999999998</v>
      </c>
      <c r="L24" s="19">
        <f>L10*B23</f>
        <v>3.0149999999999997</v>
      </c>
      <c r="M24" s="19">
        <f>M10*B23</f>
        <v>3.105</v>
      </c>
    </row>
    <row r="25" spans="1:13" x14ac:dyDescent="0.25">
      <c r="A25" s="7"/>
      <c r="B25" s="20"/>
      <c r="C25" s="19">
        <f>C24-C23</f>
        <v>4.3100000000000005</v>
      </c>
      <c r="D25" s="19">
        <f>D24-D23</f>
        <v>4.37</v>
      </c>
      <c r="E25" s="19">
        <f>E24-E23</f>
        <v>4.4450000000000003</v>
      </c>
      <c r="F25" s="19">
        <f>F24-F23</f>
        <v>4.5199999999999996</v>
      </c>
      <c r="G25" s="19">
        <f>G24-G23</f>
        <v>4.5949999999999998</v>
      </c>
      <c r="H25" s="19">
        <f>H24-H23</f>
        <v>4.67</v>
      </c>
      <c r="I25" s="19">
        <f>I24-I23</f>
        <v>4.76</v>
      </c>
      <c r="J25" s="19">
        <f>J24-J23</f>
        <v>4.835</v>
      </c>
      <c r="K25" s="19">
        <f>K24-K23</f>
        <v>4.9249999999999998</v>
      </c>
      <c r="L25" s="19">
        <f>L24-L23</f>
        <v>5.0149999999999997</v>
      </c>
      <c r="M25" s="19">
        <f>M24-M23</f>
        <v>5.1050000000000004</v>
      </c>
    </row>
    <row r="26" spans="1:13" x14ac:dyDescent="0.25">
      <c r="A26" s="6" t="s">
        <v>108</v>
      </c>
      <c r="C26" s="13">
        <v>45</v>
      </c>
      <c r="D26" s="13">
        <v>45</v>
      </c>
      <c r="E26" s="13">
        <v>45</v>
      </c>
      <c r="F26" s="13">
        <v>45</v>
      </c>
      <c r="G26" s="13">
        <v>44</v>
      </c>
      <c r="H26" s="13">
        <v>43</v>
      </c>
      <c r="I26" s="13">
        <v>42</v>
      </c>
      <c r="J26" s="13">
        <v>41</v>
      </c>
      <c r="K26" s="13">
        <v>39</v>
      </c>
      <c r="L26" s="13">
        <v>37</v>
      </c>
      <c r="M26" s="13">
        <v>35</v>
      </c>
    </row>
    <row r="27" spans="1:13" x14ac:dyDescent="0.25">
      <c r="A27" s="6"/>
      <c r="C27" s="13">
        <f>SUM(C20,C23)</f>
        <v>45</v>
      </c>
      <c r="D27" s="13">
        <f>SUM(D20,D23)</f>
        <v>45</v>
      </c>
      <c r="E27" s="13">
        <f>SUM(E20,E23)</f>
        <v>45</v>
      </c>
      <c r="F27" s="13">
        <f>SUM(F20,F23)</f>
        <v>45</v>
      </c>
      <c r="G27" s="13">
        <f>SUM(G20,G23)</f>
        <v>44</v>
      </c>
      <c r="H27" s="13">
        <f>SUM(H20,H23)</f>
        <v>43</v>
      </c>
      <c r="I27" s="13">
        <f>SUM(I20,I23)</f>
        <v>42</v>
      </c>
      <c r="J27" s="13">
        <f>SUM(J20,J23)</f>
        <v>41</v>
      </c>
      <c r="K27" s="13">
        <f>SUM(K20,K23)</f>
        <v>39</v>
      </c>
      <c r="L27" s="13">
        <f>SUM(L20,L23)</f>
        <v>37</v>
      </c>
      <c r="M27" s="13">
        <f>SUM(M20,M23)</f>
        <v>35</v>
      </c>
    </row>
    <row r="28" spans="1:13" x14ac:dyDescent="0.25">
      <c r="A28" s="6"/>
      <c r="C28" s="13">
        <f>C27-C26</f>
        <v>0</v>
      </c>
      <c r="D28" s="13">
        <f>D27-D26</f>
        <v>0</v>
      </c>
      <c r="E28" s="13">
        <f>E27-E26</f>
        <v>0</v>
      </c>
      <c r="F28" s="13">
        <f>F27-F26</f>
        <v>0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0</v>
      </c>
      <c r="L28" s="13">
        <f>L27-L26</f>
        <v>0</v>
      </c>
      <c r="M28" s="13">
        <f>M27-M26</f>
        <v>0</v>
      </c>
    </row>
    <row r="29" spans="1:13" x14ac:dyDescent="0.25">
      <c r="A29" s="7" t="s">
        <v>212</v>
      </c>
      <c r="B29" s="20">
        <v>0.218</v>
      </c>
      <c r="C29" s="19">
        <v>-10</v>
      </c>
      <c r="D29" s="19">
        <v>-10</v>
      </c>
      <c r="E29" s="19">
        <v>-10</v>
      </c>
      <c r="F29" s="19">
        <v>-10</v>
      </c>
      <c r="G29" s="19">
        <v>-10</v>
      </c>
      <c r="H29" s="19">
        <v>-9</v>
      </c>
      <c r="I29" s="19">
        <v>-9</v>
      </c>
      <c r="J29" s="19">
        <v>-9</v>
      </c>
      <c r="K29" s="19">
        <v>-9</v>
      </c>
      <c r="L29" s="19">
        <v>-8</v>
      </c>
      <c r="M29" s="19">
        <v>-8</v>
      </c>
    </row>
    <row r="30" spans="1:13" x14ac:dyDescent="0.25">
      <c r="A30" s="7"/>
      <c r="B30" s="20"/>
      <c r="C30" s="19">
        <f>C26*B29</f>
        <v>9.81</v>
      </c>
      <c r="D30" s="19">
        <f>D26*B29</f>
        <v>9.81</v>
      </c>
      <c r="E30" s="19">
        <f>E26*B29</f>
        <v>9.81</v>
      </c>
      <c r="F30" s="19">
        <f>F26*B29</f>
        <v>9.81</v>
      </c>
      <c r="G30" s="19">
        <f>G26*B29</f>
        <v>9.5920000000000005</v>
      </c>
      <c r="H30" s="19">
        <f>H26*B29</f>
        <v>9.3740000000000006</v>
      </c>
      <c r="I30" s="19">
        <f>I26*B29</f>
        <v>9.1560000000000006</v>
      </c>
      <c r="J30" s="19">
        <f>J26*B29</f>
        <v>8.9380000000000006</v>
      </c>
      <c r="K30" s="19">
        <f>K26*B29</f>
        <v>8.5020000000000007</v>
      </c>
      <c r="L30" s="19">
        <f>L26*B29</f>
        <v>8.0660000000000007</v>
      </c>
      <c r="M30" s="19">
        <f>M26*B29</f>
        <v>7.63</v>
      </c>
    </row>
    <row r="31" spans="1:13" x14ac:dyDescent="0.25">
      <c r="A31" s="7"/>
      <c r="B31" s="20"/>
      <c r="C31" s="19">
        <f>C30-C29</f>
        <v>19.810000000000002</v>
      </c>
      <c r="D31" s="19">
        <f>D30-D29</f>
        <v>19.810000000000002</v>
      </c>
      <c r="E31" s="19">
        <f>E30-E29</f>
        <v>19.810000000000002</v>
      </c>
      <c r="F31" s="19">
        <f>F30-F29</f>
        <v>19.810000000000002</v>
      </c>
      <c r="G31" s="19">
        <f>G30-G29</f>
        <v>19.591999999999999</v>
      </c>
      <c r="H31" s="19">
        <f>H30-H29</f>
        <v>18.374000000000002</v>
      </c>
      <c r="I31" s="19">
        <f>I30-I29</f>
        <v>18.155999999999999</v>
      </c>
      <c r="J31" s="19">
        <f>J30-J29</f>
        <v>17.938000000000002</v>
      </c>
      <c r="K31" s="19">
        <f>K30-K29</f>
        <v>17.502000000000002</v>
      </c>
      <c r="L31" s="19">
        <f>L30-L29</f>
        <v>16.066000000000003</v>
      </c>
      <c r="M31" s="19">
        <f>M30-M29</f>
        <v>15.629999999999999</v>
      </c>
    </row>
    <row r="32" spans="1:13" x14ac:dyDescent="0.25">
      <c r="A32" s="6" t="s">
        <v>213</v>
      </c>
      <c r="C32" s="13">
        <v>35</v>
      </c>
      <c r="D32" s="13">
        <v>35</v>
      </c>
      <c r="E32" s="13">
        <v>35</v>
      </c>
      <c r="F32" s="13">
        <v>35</v>
      </c>
      <c r="G32" s="13">
        <v>34</v>
      </c>
      <c r="H32" s="13">
        <v>34</v>
      </c>
      <c r="I32" s="13">
        <v>33</v>
      </c>
      <c r="J32" s="13">
        <v>32</v>
      </c>
      <c r="K32" s="13">
        <v>31</v>
      </c>
      <c r="L32" s="13">
        <v>29</v>
      </c>
      <c r="M32" s="13">
        <v>27</v>
      </c>
    </row>
    <row r="33" spans="1:13" x14ac:dyDescent="0.25">
      <c r="A33" s="6"/>
      <c r="C33" s="13">
        <f>SUM(C26,C29)</f>
        <v>35</v>
      </c>
      <c r="D33" s="13">
        <f>SUM(D26,D29)</f>
        <v>35</v>
      </c>
      <c r="E33" s="13">
        <f>SUM(E26,E29)</f>
        <v>35</v>
      </c>
      <c r="F33" s="13">
        <f>SUM(F26,F29)</f>
        <v>35</v>
      </c>
      <c r="G33" s="13">
        <f>SUM(G26,G29)</f>
        <v>34</v>
      </c>
      <c r="H33" s="13">
        <f>SUM(H26,H29)</f>
        <v>34</v>
      </c>
      <c r="I33" s="13">
        <f>SUM(I26,I29)</f>
        <v>33</v>
      </c>
      <c r="J33" s="13">
        <f>SUM(J26,J29)</f>
        <v>32</v>
      </c>
      <c r="K33" s="13">
        <f>SUM(K26,K29)</f>
        <v>30</v>
      </c>
      <c r="L33" s="13">
        <f>SUM(L26,L29)</f>
        <v>29</v>
      </c>
      <c r="M33" s="13">
        <f>SUM(M26,M29)</f>
        <v>27</v>
      </c>
    </row>
    <row r="34" spans="1:13" x14ac:dyDescent="0.25">
      <c r="A34" s="6"/>
      <c r="C34" s="13">
        <f>C33-C32</f>
        <v>0</v>
      </c>
      <c r="D34" s="13">
        <f>D33-D32</f>
        <v>0</v>
      </c>
      <c r="E34" s="13">
        <f>E33-E32</f>
        <v>0</v>
      </c>
      <c r="F34" s="13">
        <f>F33-F32</f>
        <v>0</v>
      </c>
      <c r="G34" s="13">
        <f>G33-G32</f>
        <v>0</v>
      </c>
      <c r="H34" s="13">
        <f>H33-H32</f>
        <v>0</v>
      </c>
      <c r="I34" s="13">
        <f>I33-I32</f>
        <v>0</v>
      </c>
      <c r="J34" s="13">
        <f>J33-J32</f>
        <v>0</v>
      </c>
      <c r="K34" s="13">
        <f>K33-K32</f>
        <v>-1</v>
      </c>
      <c r="L34" s="13">
        <f>L33-L32</f>
        <v>0</v>
      </c>
      <c r="M34" s="13">
        <f>M33-M32</f>
        <v>0</v>
      </c>
    </row>
    <row r="35" spans="1:13" x14ac:dyDescent="0.25">
      <c r="A35" s="7" t="s">
        <v>214</v>
      </c>
      <c r="C35" s="19">
        <v>-6</v>
      </c>
      <c r="D35" s="19">
        <v>-7</v>
      </c>
      <c r="E35" s="19">
        <v>-6</v>
      </c>
      <c r="F35" s="19">
        <v>-6</v>
      </c>
      <c r="G35" s="19">
        <v>-6</v>
      </c>
      <c r="H35" s="19">
        <v>-6</v>
      </c>
      <c r="I35" s="19">
        <v>-6</v>
      </c>
      <c r="J35" s="19">
        <v>-6</v>
      </c>
      <c r="K35" s="19">
        <v>-6</v>
      </c>
      <c r="L35" s="19">
        <v>-5</v>
      </c>
      <c r="M35" s="19">
        <v>-5</v>
      </c>
    </row>
    <row r="36" spans="1:13" x14ac:dyDescent="0.25">
      <c r="A36" s="6" t="s">
        <v>215</v>
      </c>
      <c r="C36" s="13">
        <v>29</v>
      </c>
      <c r="D36" s="13">
        <v>29</v>
      </c>
      <c r="E36" s="13">
        <v>29</v>
      </c>
      <c r="F36" s="13">
        <v>28</v>
      </c>
      <c r="G36" s="13">
        <v>28</v>
      </c>
      <c r="H36" s="13">
        <v>27</v>
      </c>
      <c r="I36" s="13">
        <v>27</v>
      </c>
      <c r="J36" s="13">
        <v>26</v>
      </c>
      <c r="K36" s="13">
        <v>25</v>
      </c>
      <c r="L36" s="13">
        <v>24</v>
      </c>
      <c r="M36" s="13">
        <v>22</v>
      </c>
    </row>
    <row r="37" spans="1:13" x14ac:dyDescent="0.25">
      <c r="A37" s="6"/>
      <c r="C37" s="13">
        <f>SUM(C32,C35)</f>
        <v>29</v>
      </c>
      <c r="D37" s="13">
        <f>SUM(D32,D35)</f>
        <v>28</v>
      </c>
      <c r="E37" s="13">
        <f>SUM(E32,E35)</f>
        <v>29</v>
      </c>
      <c r="F37" s="13">
        <f>SUM(F32,F35)</f>
        <v>29</v>
      </c>
      <c r="G37" s="13">
        <f>SUM(G32,G35)</f>
        <v>28</v>
      </c>
      <c r="H37" s="13">
        <f>SUM(H32,H35)</f>
        <v>28</v>
      </c>
      <c r="I37" s="13">
        <f>SUM(I32,I35)</f>
        <v>27</v>
      </c>
      <c r="J37" s="13">
        <f>SUM(J32,J35)</f>
        <v>26</v>
      </c>
      <c r="K37" s="13">
        <f>SUM(K32,K35)</f>
        <v>25</v>
      </c>
      <c r="L37" s="13">
        <f>SUM(L32,L35)</f>
        <v>24</v>
      </c>
      <c r="M37" s="13">
        <f>SUM(M32,M35)</f>
        <v>22</v>
      </c>
    </row>
    <row r="38" spans="1:13" x14ac:dyDescent="0.25">
      <c r="A38" s="6"/>
      <c r="C38" s="13">
        <f>C37-C36</f>
        <v>0</v>
      </c>
      <c r="D38" s="13">
        <f>D37-D36</f>
        <v>-1</v>
      </c>
      <c r="E38" s="13">
        <f>E37-E36</f>
        <v>0</v>
      </c>
      <c r="F38" s="13">
        <f>F37-F36</f>
        <v>1</v>
      </c>
      <c r="G38" s="13">
        <f>G37-G36</f>
        <v>0</v>
      </c>
      <c r="H38" s="13">
        <f>H37-H36</f>
        <v>1</v>
      </c>
      <c r="I38" s="13">
        <f>I37-I36</f>
        <v>0</v>
      </c>
      <c r="J38" s="13">
        <f>J37-J36</f>
        <v>0</v>
      </c>
      <c r="K38" s="13">
        <f>K37-K36</f>
        <v>0</v>
      </c>
      <c r="L38" s="13">
        <f>L37-L36</f>
        <v>0</v>
      </c>
      <c r="M38" s="13">
        <f>M37-M36</f>
        <v>0</v>
      </c>
    </row>
    <row r="39" spans="1:13" x14ac:dyDescent="0.25">
      <c r="A39" s="7" t="s">
        <v>115</v>
      </c>
      <c r="B39" s="20">
        <v>0.11</v>
      </c>
      <c r="C39" s="23">
        <v>0.32590000000000002</v>
      </c>
      <c r="D39" s="23">
        <v>0.29360000000000003</v>
      </c>
      <c r="E39" s="23">
        <v>0.26450000000000001</v>
      </c>
      <c r="F39" s="23">
        <v>0.23830000000000001</v>
      </c>
      <c r="G39" s="23">
        <v>0.2147</v>
      </c>
      <c r="H39" s="23">
        <v>0.19339999999999999</v>
      </c>
      <c r="I39" s="23">
        <v>0.17419999999999999</v>
      </c>
      <c r="J39" s="24">
        <v>0.157</v>
      </c>
      <c r="K39" s="23">
        <v>0.1414</v>
      </c>
      <c r="L39" s="23">
        <v>0.12740000000000001</v>
      </c>
      <c r="M39" s="23">
        <v>0.1148</v>
      </c>
    </row>
    <row r="40" spans="1:13" x14ac:dyDescent="0.25">
      <c r="A40" s="6" t="s">
        <v>116</v>
      </c>
      <c r="C40" s="13">
        <v>9</v>
      </c>
      <c r="D40" s="13">
        <v>8</v>
      </c>
      <c r="E40" s="13">
        <v>8</v>
      </c>
      <c r="F40" s="13">
        <v>7</v>
      </c>
      <c r="G40" s="13">
        <v>6</v>
      </c>
      <c r="H40" s="13">
        <v>5</v>
      </c>
      <c r="I40" s="13">
        <v>5</v>
      </c>
      <c r="J40" s="13">
        <v>4</v>
      </c>
      <c r="K40" s="13">
        <v>4</v>
      </c>
      <c r="L40" s="13">
        <v>3</v>
      </c>
      <c r="M40" s="13">
        <v>3</v>
      </c>
    </row>
    <row r="41" spans="1:13" x14ac:dyDescent="0.25">
      <c r="A41" s="6"/>
      <c r="C41" s="13">
        <f>C36*C39</f>
        <v>9.4511000000000003</v>
      </c>
      <c r="D41" s="13">
        <f>D36*D39</f>
        <v>8.5144000000000002</v>
      </c>
      <c r="E41" s="13">
        <f>E36*E39</f>
        <v>7.6705000000000005</v>
      </c>
      <c r="F41" s="13">
        <f>F36*F39</f>
        <v>6.6724000000000006</v>
      </c>
      <c r="G41" s="13">
        <f>G36*G39</f>
        <v>6.0115999999999996</v>
      </c>
      <c r="H41" s="13">
        <f>H36*H39</f>
        <v>5.2218</v>
      </c>
      <c r="I41" s="13">
        <f>I36*I39</f>
        <v>4.7034000000000002</v>
      </c>
      <c r="J41" s="13">
        <f>J36*J39</f>
        <v>4.0819999999999999</v>
      </c>
      <c r="K41" s="13">
        <f>K36*K39</f>
        <v>3.5350000000000001</v>
      </c>
      <c r="L41" s="13">
        <f>L36*L39</f>
        <v>3.0576000000000003</v>
      </c>
      <c r="M41" s="13">
        <f>M36*M39</f>
        <v>2.5255999999999998</v>
      </c>
    </row>
    <row r="42" spans="1:13" x14ac:dyDescent="0.25">
      <c r="A42" s="6"/>
      <c r="C42" s="13">
        <f>C41-C40</f>
        <v>0.45110000000000028</v>
      </c>
      <c r="D42" s="13">
        <f>D41-D40</f>
        <v>0.51440000000000019</v>
      </c>
      <c r="E42" s="13">
        <f>E41-E40</f>
        <v>-0.32949999999999946</v>
      </c>
      <c r="F42" s="13">
        <f>F41-F40</f>
        <v>-0.32759999999999945</v>
      </c>
      <c r="G42" s="13">
        <f>G41-G40</f>
        <v>1.1599999999999611E-2</v>
      </c>
      <c r="H42" s="13">
        <f>H41-H40</f>
        <v>0.2218</v>
      </c>
      <c r="I42" s="13">
        <f>I41-I40</f>
        <v>-0.29659999999999975</v>
      </c>
      <c r="J42" s="13">
        <f>J41-J40</f>
        <v>8.1999999999999851E-2</v>
      </c>
      <c r="K42" s="13">
        <f>K41-K40</f>
        <v>-0.46499999999999986</v>
      </c>
      <c r="L42" s="13">
        <f>L41-L40</f>
        <v>5.7600000000000318E-2</v>
      </c>
      <c r="M42" s="13">
        <f>M41-M40</f>
        <v>-0.47440000000000015</v>
      </c>
    </row>
    <row r="43" spans="1:13" x14ac:dyDescent="0.25">
      <c r="A43" s="9" t="s">
        <v>221</v>
      </c>
    </row>
    <row r="44" spans="1:13" x14ac:dyDescent="0.25">
      <c r="A44" s="7" t="s">
        <v>222</v>
      </c>
      <c r="C44" s="20">
        <v>0.03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  <c r="L44" s="20">
        <v>0.03</v>
      </c>
      <c r="M44" s="20">
        <v>0.03</v>
      </c>
    </row>
    <row r="45" spans="1:13" x14ac:dyDescent="0.25">
      <c r="A45" s="7" t="s">
        <v>224</v>
      </c>
      <c r="C45" s="20">
        <v>0.38100000000000001</v>
      </c>
      <c r="D45" s="20">
        <v>0.38100000000000001</v>
      </c>
      <c r="E45" s="20">
        <v>0.38100000000000001</v>
      </c>
      <c r="F45" s="20">
        <v>0.38100000000000001</v>
      </c>
      <c r="G45" s="20">
        <v>0.38100000000000001</v>
      </c>
      <c r="H45" s="20">
        <v>0.38100000000000001</v>
      </c>
      <c r="I45" s="20">
        <v>0.38100000000000001</v>
      </c>
      <c r="J45" s="20">
        <v>0.38100000000000001</v>
      </c>
      <c r="K45" s="20">
        <v>0.38100000000000001</v>
      </c>
      <c r="L45" s="20">
        <v>0.38100000000000001</v>
      </c>
      <c r="M45" s="20">
        <v>0.38100000000000001</v>
      </c>
    </row>
    <row r="46" spans="1:13" x14ac:dyDescent="0.25">
      <c r="A46" s="7" t="s">
        <v>107</v>
      </c>
      <c r="C46" s="20">
        <v>4.9000000000000002E-2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  <c r="L46" s="20">
        <v>4.9000000000000002E-2</v>
      </c>
      <c r="M46" s="20">
        <v>4.9000000000000002E-2</v>
      </c>
    </row>
    <row r="47" spans="1:13" x14ac:dyDescent="0.25">
      <c r="A47" s="7" t="s">
        <v>225</v>
      </c>
      <c r="C47" s="20">
        <v>0.33200000000000002</v>
      </c>
      <c r="D47" s="20">
        <v>0.33200000000000002</v>
      </c>
      <c r="E47" s="20">
        <v>0.33200000000000002</v>
      </c>
      <c r="F47" s="20">
        <v>0.33200000000000002</v>
      </c>
      <c r="G47" s="20">
        <v>0.33200000000000002</v>
      </c>
      <c r="H47" s="20">
        <v>0.33200000000000002</v>
      </c>
      <c r="I47" s="20">
        <v>0.33200000000000002</v>
      </c>
      <c r="J47" s="20">
        <v>0.33200000000000002</v>
      </c>
      <c r="K47" s="20">
        <v>0.33200000000000002</v>
      </c>
      <c r="L47" s="20">
        <v>0.33200000000000002</v>
      </c>
      <c r="M47" s="20">
        <v>0.33200000000000002</v>
      </c>
    </row>
    <row r="48" spans="1:13" x14ac:dyDescent="0.25">
      <c r="A48" s="7" t="s">
        <v>240</v>
      </c>
      <c r="C48" s="20">
        <v>4.5999999999999999E-2</v>
      </c>
      <c r="D48" s="20">
        <v>4.5999999999999999E-2</v>
      </c>
      <c r="E48" s="20">
        <v>4.5999999999999999E-2</v>
      </c>
      <c r="F48" s="20">
        <v>4.5999999999999999E-2</v>
      </c>
      <c r="G48" s="20">
        <v>4.5999999999999999E-2</v>
      </c>
      <c r="H48" s="20">
        <v>4.5999999999999999E-2</v>
      </c>
      <c r="I48" s="20">
        <v>4.5999999999999999E-2</v>
      </c>
      <c r="J48" s="20">
        <v>4.5999999999999999E-2</v>
      </c>
      <c r="K48" s="20">
        <v>4.5999999999999999E-2</v>
      </c>
      <c r="L48" s="20">
        <v>4.5999999999999999E-2</v>
      </c>
      <c r="M48" s="20">
        <v>4.5999999999999999E-2</v>
      </c>
    </row>
    <row r="49" spans="1:13" x14ac:dyDescent="0.25">
      <c r="A49" s="16" t="s">
        <v>127</v>
      </c>
    </row>
    <row r="50" spans="1:13" x14ac:dyDescent="0.25">
      <c r="A50" s="7" t="s">
        <v>227</v>
      </c>
    </row>
    <row r="51" spans="1:13" x14ac:dyDescent="0.25">
      <c r="A51" s="16" t="s">
        <v>61</v>
      </c>
    </row>
    <row r="52" spans="1:13" x14ac:dyDescent="0.25">
      <c r="A52" s="9" t="s">
        <v>62</v>
      </c>
      <c r="M52" s="32" t="s">
        <v>63</v>
      </c>
    </row>
    <row r="53" spans="1:13" x14ac:dyDescent="0.25">
      <c r="A53" s="9"/>
      <c r="M53" s="32"/>
    </row>
    <row r="54" spans="1:13" x14ac:dyDescent="0.25">
      <c r="A54" s="9"/>
      <c r="M54" s="32"/>
    </row>
    <row r="55" spans="1:13" x14ac:dyDescent="0.25">
      <c r="E55" s="5" t="s">
        <v>6</v>
      </c>
    </row>
    <row r="56" spans="1:13" x14ac:dyDescent="0.25">
      <c r="E56" s="5"/>
    </row>
    <row r="57" spans="1:13" x14ac:dyDescent="0.25">
      <c r="E57" s="5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M5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L2" s="7" t="s">
        <v>268</v>
      </c>
    </row>
    <row r="3" spans="1:13" x14ac:dyDescent="0.25">
      <c r="A3" s="6" t="s">
        <v>9</v>
      </c>
    </row>
    <row r="4" spans="1:13" x14ac:dyDescent="0.25">
      <c r="A4" s="6" t="s">
        <v>266</v>
      </c>
    </row>
    <row r="5" spans="1:13" x14ac:dyDescent="0.25">
      <c r="A5" s="6" t="s">
        <v>269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213</v>
      </c>
      <c r="D8" s="10">
        <v>219</v>
      </c>
      <c r="E8" s="10">
        <v>226</v>
      </c>
      <c r="F8" s="10">
        <v>233</v>
      </c>
      <c r="G8" s="10">
        <v>240</v>
      </c>
      <c r="H8" s="10">
        <v>247</v>
      </c>
      <c r="I8" s="10">
        <v>254</v>
      </c>
      <c r="J8" s="10">
        <v>262</v>
      </c>
      <c r="K8" s="10">
        <v>270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213</v>
      </c>
      <c r="D10" s="10">
        <v>219</v>
      </c>
      <c r="E10" s="10">
        <v>226</v>
      </c>
      <c r="F10" s="10">
        <v>233</v>
      </c>
      <c r="G10" s="10">
        <v>240</v>
      </c>
      <c r="H10" s="10">
        <v>247</v>
      </c>
      <c r="I10" s="10">
        <v>254</v>
      </c>
      <c r="J10" s="10">
        <v>262</v>
      </c>
      <c r="K10" s="10">
        <v>270</v>
      </c>
    </row>
    <row r="11" spans="1:13" x14ac:dyDescent="0.25">
      <c r="A11" s="7"/>
      <c r="C11" s="10">
        <f>SUM(C8:C9)</f>
        <v>213</v>
      </c>
      <c r="D11" s="10">
        <f>SUM(D8:D9)</f>
        <v>219</v>
      </c>
      <c r="E11" s="10">
        <f>SUM(E8:E9)</f>
        <v>226</v>
      </c>
      <c r="F11" s="10">
        <f>SUM(F8:F9)</f>
        <v>233</v>
      </c>
      <c r="G11" s="10">
        <f>SUM(G8:G9)</f>
        <v>240</v>
      </c>
      <c r="H11" s="10">
        <f>SUM(H8:H9)</f>
        <v>247</v>
      </c>
      <c r="I11" s="10">
        <f>SUM(I8:I9)</f>
        <v>254</v>
      </c>
      <c r="J11" s="10">
        <f>SUM(J8:J9)</f>
        <v>262</v>
      </c>
      <c r="K11" s="10">
        <f>SUM(K8:K9)</f>
        <v>270</v>
      </c>
      <c r="L11">
        <f>SUM(L8:L9)</f>
        <v>0</v>
      </c>
      <c r="M11">
        <f>SUM(M8:M9)</f>
        <v>0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206</v>
      </c>
      <c r="B13" s="7" t="s">
        <v>207</v>
      </c>
      <c r="C13" s="20">
        <v>0.48699999999999999</v>
      </c>
      <c r="D13" s="20">
        <v>0.439</v>
      </c>
      <c r="E13" s="20">
        <v>0.39100000000000001</v>
      </c>
      <c r="F13" s="20">
        <v>0.34499999999999997</v>
      </c>
      <c r="G13" s="20">
        <v>0.30199999999999999</v>
      </c>
      <c r="H13" s="20">
        <v>0.26100000000000001</v>
      </c>
      <c r="I13" s="20">
        <v>0.223</v>
      </c>
      <c r="J13" s="20">
        <v>0.188</v>
      </c>
      <c r="K13" s="20">
        <v>0.157</v>
      </c>
    </row>
    <row r="14" spans="1:13" x14ac:dyDescent="0.25">
      <c r="A14" s="7" t="s">
        <v>208</v>
      </c>
      <c r="C14" s="10">
        <v>104</v>
      </c>
      <c r="D14" s="10">
        <v>96</v>
      </c>
      <c r="E14" s="10">
        <v>88</v>
      </c>
      <c r="F14" s="10">
        <v>80</v>
      </c>
      <c r="G14" s="10">
        <v>72</v>
      </c>
      <c r="H14" s="10">
        <v>64</v>
      </c>
      <c r="I14" s="10">
        <v>57</v>
      </c>
      <c r="J14" s="10">
        <v>49</v>
      </c>
      <c r="K14" s="10">
        <v>42</v>
      </c>
    </row>
    <row r="15" spans="1:13" x14ac:dyDescent="0.25">
      <c r="A15" s="7"/>
      <c r="C15" s="10">
        <f>C10*C13</f>
        <v>103.73099999999999</v>
      </c>
      <c r="D15" s="10">
        <f>D10*D13</f>
        <v>96.141000000000005</v>
      </c>
      <c r="E15" s="10">
        <f>E10*E13</f>
        <v>88.366</v>
      </c>
      <c r="F15" s="10">
        <f>F10*F13</f>
        <v>80.384999999999991</v>
      </c>
      <c r="G15" s="10">
        <f>G10*G13</f>
        <v>72.48</v>
      </c>
      <c r="H15" s="10">
        <f>H10*H13</f>
        <v>64.466999999999999</v>
      </c>
      <c r="I15" s="10">
        <f>I10*I13</f>
        <v>56.642000000000003</v>
      </c>
      <c r="J15" s="10">
        <f>J10*J13</f>
        <v>49.256</v>
      </c>
      <c r="K15" s="10">
        <f>K10*K13</f>
        <v>42.39</v>
      </c>
      <c r="L15">
        <f>L10*L13</f>
        <v>0</v>
      </c>
      <c r="M15">
        <f>M10*M13</f>
        <v>0</v>
      </c>
    </row>
    <row r="16" spans="1:13" x14ac:dyDescent="0.25">
      <c r="A16" s="7"/>
      <c r="C16" s="10">
        <f>C15-C14</f>
        <v>-0.26900000000000546</v>
      </c>
      <c r="D16" s="10">
        <f>D15-D14</f>
        <v>0.14100000000000534</v>
      </c>
      <c r="E16" s="10">
        <f>E15-E14</f>
        <v>0.36599999999999966</v>
      </c>
      <c r="F16" s="10">
        <f>F15-F14</f>
        <v>0.38499999999999091</v>
      </c>
      <c r="G16" s="10">
        <f>G15-G14</f>
        <v>0.48000000000000398</v>
      </c>
      <c r="H16" s="10">
        <f>H15-H14</f>
        <v>0.46699999999999875</v>
      </c>
      <c r="I16" s="10">
        <f>I15-I14</f>
        <v>-0.35799999999999699</v>
      </c>
      <c r="J16" s="10">
        <f>J15-J14</f>
        <v>0.25600000000000023</v>
      </c>
      <c r="K16" s="10">
        <f>K15-K14</f>
        <v>0.39000000000000057</v>
      </c>
      <c r="L16">
        <f>L15-L14</f>
        <v>0</v>
      </c>
      <c r="M16">
        <f>M15-M14</f>
        <v>0</v>
      </c>
    </row>
    <row r="17" spans="1:13" x14ac:dyDescent="0.25">
      <c r="A17" s="6" t="s">
        <v>205</v>
      </c>
      <c r="C17" s="13">
        <v>104</v>
      </c>
      <c r="D17" s="13">
        <v>96</v>
      </c>
      <c r="E17" s="13">
        <v>88</v>
      </c>
      <c r="F17" s="13">
        <v>80</v>
      </c>
      <c r="G17" s="13">
        <v>72</v>
      </c>
      <c r="H17" s="13">
        <v>64</v>
      </c>
      <c r="I17" s="13">
        <v>57</v>
      </c>
      <c r="J17" s="13">
        <v>49</v>
      </c>
      <c r="K17" s="13">
        <v>42</v>
      </c>
    </row>
    <row r="18" spans="1:13" x14ac:dyDescent="0.25">
      <c r="A18" s="6" t="s">
        <v>106</v>
      </c>
      <c r="C18" s="13">
        <v>39</v>
      </c>
      <c r="D18" s="13">
        <v>37</v>
      </c>
      <c r="E18" s="13">
        <v>34</v>
      </c>
      <c r="F18" s="13">
        <v>31</v>
      </c>
      <c r="G18" s="13">
        <v>28</v>
      </c>
      <c r="H18" s="13">
        <v>24</v>
      </c>
      <c r="I18" s="13">
        <v>22</v>
      </c>
      <c r="J18" s="13">
        <v>19</v>
      </c>
      <c r="K18" s="13">
        <v>16</v>
      </c>
    </row>
    <row r="19" spans="1:13" x14ac:dyDescent="0.25">
      <c r="A19" s="7" t="s">
        <v>107</v>
      </c>
      <c r="C19" s="19">
        <v>-5</v>
      </c>
      <c r="D19" s="19">
        <v>-5</v>
      </c>
      <c r="E19" s="19">
        <v>-4</v>
      </c>
      <c r="F19" s="19">
        <v>-4</v>
      </c>
      <c r="G19" s="19">
        <v>-4</v>
      </c>
      <c r="H19" s="19">
        <v>-3</v>
      </c>
      <c r="I19" s="19">
        <v>-3</v>
      </c>
      <c r="J19" s="19">
        <v>-2</v>
      </c>
      <c r="K19" s="19">
        <v>-2</v>
      </c>
    </row>
    <row r="20" spans="1:13" x14ac:dyDescent="0.25">
      <c r="A20" s="6" t="s">
        <v>211</v>
      </c>
      <c r="C20" s="13">
        <v>34</v>
      </c>
      <c r="D20" s="13">
        <v>32</v>
      </c>
      <c r="E20" s="13">
        <v>29</v>
      </c>
      <c r="F20" s="13">
        <v>27</v>
      </c>
      <c r="G20" s="13">
        <v>24</v>
      </c>
      <c r="H20" s="13">
        <v>21</v>
      </c>
      <c r="I20" s="13">
        <v>19</v>
      </c>
      <c r="J20" s="13">
        <v>16</v>
      </c>
      <c r="K20" s="13">
        <v>14</v>
      </c>
    </row>
    <row r="21" spans="1:13" x14ac:dyDescent="0.25">
      <c r="A21" s="6"/>
      <c r="C21" s="13">
        <f>SUM(C18,C19)</f>
        <v>34</v>
      </c>
      <c r="D21" s="13">
        <f>SUM(D18,D19)</f>
        <v>32</v>
      </c>
      <c r="E21" s="13">
        <f>SUM(E18,E19)</f>
        <v>30</v>
      </c>
      <c r="F21" s="13">
        <f>SUM(F18,F19)</f>
        <v>27</v>
      </c>
      <c r="G21" s="13">
        <f>SUM(G18,G19)</f>
        <v>24</v>
      </c>
      <c r="H21" s="13">
        <f>SUM(H18,H19)</f>
        <v>21</v>
      </c>
      <c r="I21" s="13">
        <f>SUM(I18,I19)</f>
        <v>19</v>
      </c>
      <c r="J21" s="13">
        <f>SUM(J18,J19)</f>
        <v>17</v>
      </c>
      <c r="K21" s="13">
        <f>SUM(K18,K19)</f>
        <v>14</v>
      </c>
      <c r="L21">
        <f>SUM(L18,L19)</f>
        <v>0</v>
      </c>
      <c r="M21">
        <f>SUM(M18,M19)</f>
        <v>0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1</v>
      </c>
      <c r="F22" s="13">
        <f>F21-F20</f>
        <v>0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1</v>
      </c>
      <c r="K22" s="13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210</v>
      </c>
      <c r="B23" s="20">
        <v>1.4999999999999999E-2</v>
      </c>
      <c r="C23" s="19">
        <v>-2</v>
      </c>
      <c r="D23" s="19">
        <v>-1</v>
      </c>
      <c r="E23" s="19">
        <v>-1</v>
      </c>
      <c r="F23" s="19">
        <v>-1</v>
      </c>
      <c r="G23" s="19">
        <v>-1</v>
      </c>
      <c r="H23" s="19">
        <v>-1</v>
      </c>
      <c r="I23" s="19">
        <v>-1</v>
      </c>
      <c r="J23" s="19">
        <v>-1</v>
      </c>
      <c r="K23" s="19">
        <v>-1</v>
      </c>
    </row>
    <row r="24" spans="1:13" x14ac:dyDescent="0.25">
      <c r="A24" s="7"/>
      <c r="B24" s="20"/>
      <c r="C24" s="19">
        <f>C10*B23</f>
        <v>3.1949999999999998</v>
      </c>
      <c r="D24" s="19">
        <f>D10*B23</f>
        <v>3.2849999999999997</v>
      </c>
      <c r="E24" s="19">
        <f>E10*B23</f>
        <v>3.3899999999999997</v>
      </c>
      <c r="F24" s="19">
        <f>F10*B23</f>
        <v>3.4949999999999997</v>
      </c>
      <c r="G24" s="19">
        <f>G10*B23</f>
        <v>3.5999999999999996</v>
      </c>
      <c r="H24" s="19">
        <f>H10*B23</f>
        <v>3.7050000000000001</v>
      </c>
      <c r="I24" s="19">
        <f>I10*B23</f>
        <v>3.81</v>
      </c>
      <c r="J24" s="19">
        <f>J10*B23</f>
        <v>3.9299999999999997</v>
      </c>
      <c r="K24" s="19">
        <f>K10*B23</f>
        <v>4.05</v>
      </c>
      <c r="L24">
        <f>L10*B23</f>
        <v>0</v>
      </c>
      <c r="M24">
        <f>M10*B23</f>
        <v>0</v>
      </c>
    </row>
    <row r="25" spans="1:13" x14ac:dyDescent="0.25">
      <c r="A25" s="7"/>
      <c r="B25" s="20"/>
      <c r="C25" s="19">
        <f>C24-C23</f>
        <v>5.1950000000000003</v>
      </c>
      <c r="D25" s="19">
        <f>D24-D23</f>
        <v>4.2850000000000001</v>
      </c>
      <c r="E25" s="19">
        <f>E24-E23</f>
        <v>4.3899999999999997</v>
      </c>
      <c r="F25" s="19">
        <f>F24-F23</f>
        <v>4.4949999999999992</v>
      </c>
      <c r="G25" s="19">
        <f>G24-G23</f>
        <v>4.5999999999999996</v>
      </c>
      <c r="H25" s="19">
        <f>H24-H23</f>
        <v>4.7050000000000001</v>
      </c>
      <c r="I25" s="19">
        <f>I24-I23</f>
        <v>4.8100000000000005</v>
      </c>
      <c r="J25" s="19">
        <f>J24-J23</f>
        <v>4.93</v>
      </c>
      <c r="K25" s="19">
        <f>K24-K23</f>
        <v>5.05</v>
      </c>
      <c r="L25">
        <f>L24-L23</f>
        <v>0</v>
      </c>
      <c r="M25">
        <f>M24-M23</f>
        <v>0</v>
      </c>
    </row>
    <row r="26" spans="1:13" x14ac:dyDescent="0.25">
      <c r="A26" s="6" t="s">
        <v>108</v>
      </c>
      <c r="C26" s="13">
        <v>33</v>
      </c>
      <c r="D26" s="13">
        <v>30</v>
      </c>
      <c r="E26" s="13">
        <v>28</v>
      </c>
      <c r="F26" s="13">
        <v>25</v>
      </c>
      <c r="G26" s="13">
        <v>23</v>
      </c>
      <c r="H26" s="13">
        <v>20</v>
      </c>
      <c r="I26" s="13">
        <v>18</v>
      </c>
      <c r="J26" s="13">
        <v>16</v>
      </c>
      <c r="K26" s="13">
        <v>13</v>
      </c>
    </row>
    <row r="27" spans="1:13" x14ac:dyDescent="0.25">
      <c r="A27" s="6"/>
      <c r="C27" s="13">
        <f>SUM(C20,C23)</f>
        <v>32</v>
      </c>
      <c r="D27" s="13">
        <f>SUM(D20,D23)</f>
        <v>31</v>
      </c>
      <c r="E27" s="13">
        <f>SUM(E20,E23)</f>
        <v>28</v>
      </c>
      <c r="F27" s="13">
        <f>SUM(F20,F23)</f>
        <v>26</v>
      </c>
      <c r="G27" s="13">
        <f>SUM(G20,G23)</f>
        <v>23</v>
      </c>
      <c r="H27" s="13">
        <f>SUM(H20,H23)</f>
        <v>20</v>
      </c>
      <c r="I27" s="13">
        <f>SUM(I20,I23)</f>
        <v>18</v>
      </c>
      <c r="J27" s="13">
        <f>SUM(J20,J23)</f>
        <v>15</v>
      </c>
      <c r="K27" s="13">
        <f>SUM(K20,K23)</f>
        <v>13</v>
      </c>
      <c r="L27">
        <f>SUM(L20,L23)</f>
        <v>0</v>
      </c>
      <c r="M27">
        <f>SUM(M20,M23)</f>
        <v>0</v>
      </c>
    </row>
    <row r="28" spans="1:13" x14ac:dyDescent="0.25">
      <c r="A28" s="6"/>
      <c r="C28" s="13">
        <f>C27-C26</f>
        <v>-1</v>
      </c>
      <c r="D28" s="13">
        <f>D27-D26</f>
        <v>1</v>
      </c>
      <c r="E28" s="13">
        <f>E27-E26</f>
        <v>0</v>
      </c>
      <c r="F28" s="13">
        <f>F27-F26</f>
        <v>1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-1</v>
      </c>
      <c r="K28" s="13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212</v>
      </c>
      <c r="B29" s="20">
        <v>0.218</v>
      </c>
      <c r="C29" s="19">
        <v>-7</v>
      </c>
      <c r="D29" s="19">
        <v>-7</v>
      </c>
      <c r="E29" s="19">
        <v>-6</v>
      </c>
      <c r="F29" s="19">
        <v>-6</v>
      </c>
      <c r="G29" s="19">
        <v>-5</v>
      </c>
      <c r="H29" s="19">
        <v>-4</v>
      </c>
      <c r="I29" s="19">
        <v>-4</v>
      </c>
      <c r="J29" s="19">
        <v>-3</v>
      </c>
      <c r="K29" s="19">
        <v>-3</v>
      </c>
    </row>
    <row r="30" spans="1:13" x14ac:dyDescent="0.25">
      <c r="A30" s="7"/>
      <c r="B30" s="20"/>
      <c r="C30" s="19">
        <f>C26*B29</f>
        <v>7.194</v>
      </c>
      <c r="D30" s="19">
        <f>D26*B29</f>
        <v>6.54</v>
      </c>
      <c r="E30" s="19">
        <f>E26*B29</f>
        <v>6.1040000000000001</v>
      </c>
      <c r="F30" s="19">
        <f>F26*B29</f>
        <v>5.45</v>
      </c>
      <c r="G30" s="19">
        <f>G26*B29</f>
        <v>5.0140000000000002</v>
      </c>
      <c r="H30" s="19">
        <f>H26*B29</f>
        <v>4.3600000000000003</v>
      </c>
      <c r="I30" s="19">
        <f>I26*B29</f>
        <v>3.9239999999999999</v>
      </c>
      <c r="J30" s="19">
        <f>J26*B29</f>
        <v>3.488</v>
      </c>
      <c r="K30" s="19">
        <f>K26*B29</f>
        <v>2.8340000000000001</v>
      </c>
      <c r="L30">
        <f>L26*B29</f>
        <v>0</v>
      </c>
      <c r="M30">
        <f>M26*B29</f>
        <v>0</v>
      </c>
    </row>
    <row r="31" spans="1:13" x14ac:dyDescent="0.25">
      <c r="A31" s="7"/>
      <c r="B31" s="20"/>
      <c r="C31" s="19">
        <f>C30-C29</f>
        <v>14.193999999999999</v>
      </c>
      <c r="D31" s="19">
        <f>D30-D29</f>
        <v>13.54</v>
      </c>
      <c r="E31" s="19">
        <f>E30-E29</f>
        <v>12.103999999999999</v>
      </c>
      <c r="F31" s="19">
        <f>F30-F29</f>
        <v>11.45</v>
      </c>
      <c r="G31" s="19">
        <f>G30-G29</f>
        <v>10.013999999999999</v>
      </c>
      <c r="H31" s="19">
        <f>H30-H29</f>
        <v>8.36</v>
      </c>
      <c r="I31" s="19">
        <f>I30-I29</f>
        <v>7.9239999999999995</v>
      </c>
      <c r="J31" s="19">
        <f>J30-J29</f>
        <v>6.4879999999999995</v>
      </c>
      <c r="K31" s="19">
        <f>K30-K29</f>
        <v>5.8339999999999996</v>
      </c>
      <c r="L31">
        <f>L30-L29</f>
        <v>0</v>
      </c>
      <c r="M31">
        <f>M30-M29</f>
        <v>0</v>
      </c>
    </row>
    <row r="32" spans="1:13" x14ac:dyDescent="0.25">
      <c r="A32" s="6" t="s">
        <v>213</v>
      </c>
      <c r="C32" s="13">
        <v>26</v>
      </c>
      <c r="D32" s="13">
        <v>24</v>
      </c>
      <c r="E32" s="13">
        <v>22</v>
      </c>
      <c r="F32" s="13">
        <v>20</v>
      </c>
      <c r="G32" s="13">
        <v>18</v>
      </c>
      <c r="H32" s="13">
        <v>16</v>
      </c>
      <c r="I32" s="13">
        <v>14</v>
      </c>
      <c r="J32" s="13">
        <v>12</v>
      </c>
      <c r="K32" s="13">
        <v>10</v>
      </c>
    </row>
    <row r="33" spans="1:13" x14ac:dyDescent="0.25">
      <c r="A33" s="6"/>
      <c r="C33" s="13">
        <f>SUM(C26,C29)</f>
        <v>26</v>
      </c>
      <c r="D33" s="13">
        <f>SUM(D26,D29)</f>
        <v>23</v>
      </c>
      <c r="E33" s="13">
        <f>SUM(E26,E29)</f>
        <v>22</v>
      </c>
      <c r="F33" s="13">
        <f>SUM(F26,F29)</f>
        <v>19</v>
      </c>
      <c r="G33" s="13">
        <f>SUM(G26,G29)</f>
        <v>18</v>
      </c>
      <c r="H33" s="13">
        <f>SUM(H26,H29)</f>
        <v>16</v>
      </c>
      <c r="I33" s="13">
        <f>SUM(I26,I29)</f>
        <v>14</v>
      </c>
      <c r="J33" s="13">
        <f>SUM(J26,J29)</f>
        <v>13</v>
      </c>
      <c r="K33" s="13">
        <f>SUM(K26,K29)</f>
        <v>10</v>
      </c>
      <c r="L33">
        <f>SUM(L26,L29)</f>
        <v>0</v>
      </c>
      <c r="M33">
        <f>SUM(M26,M29)</f>
        <v>0</v>
      </c>
    </row>
    <row r="34" spans="1:13" x14ac:dyDescent="0.25">
      <c r="A34" s="6"/>
      <c r="C34" s="13">
        <f>C33-C32</f>
        <v>0</v>
      </c>
      <c r="D34" s="13">
        <f>D33-D32</f>
        <v>-1</v>
      </c>
      <c r="E34" s="13">
        <f>E33-E32</f>
        <v>0</v>
      </c>
      <c r="F34" s="13">
        <f>F33-F32</f>
        <v>-1</v>
      </c>
      <c r="G34" s="13">
        <f>G33-G32</f>
        <v>0</v>
      </c>
      <c r="H34" s="13">
        <f>H33-H32</f>
        <v>0</v>
      </c>
      <c r="I34" s="13">
        <f>I33-I32</f>
        <v>0</v>
      </c>
      <c r="J34" s="13">
        <f>J33-J32</f>
        <v>1</v>
      </c>
      <c r="K34" s="13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214</v>
      </c>
      <c r="C35" s="19">
        <v>-5</v>
      </c>
      <c r="D35" s="19">
        <v>-4</v>
      </c>
      <c r="E35" s="19">
        <v>-4</v>
      </c>
      <c r="F35" s="19">
        <v>-4</v>
      </c>
      <c r="G35" s="19">
        <v>-3</v>
      </c>
      <c r="H35" s="19">
        <v>-3</v>
      </c>
      <c r="I35" s="19">
        <v>-3</v>
      </c>
      <c r="J35" s="19">
        <v>-2</v>
      </c>
      <c r="K35" s="19">
        <v>-2</v>
      </c>
    </row>
    <row r="36" spans="1:13" x14ac:dyDescent="0.25">
      <c r="A36" s="6" t="s">
        <v>215</v>
      </c>
      <c r="C36" s="13">
        <v>21</v>
      </c>
      <c r="D36" s="13">
        <v>19</v>
      </c>
      <c r="E36" s="13">
        <v>18</v>
      </c>
      <c r="F36" s="13">
        <v>16</v>
      </c>
      <c r="G36" s="13">
        <v>15</v>
      </c>
      <c r="H36" s="13">
        <v>13</v>
      </c>
      <c r="I36" s="13">
        <v>11</v>
      </c>
      <c r="J36" s="13">
        <v>10</v>
      </c>
      <c r="K36" s="13">
        <v>9</v>
      </c>
    </row>
    <row r="37" spans="1:13" x14ac:dyDescent="0.25">
      <c r="A37" s="6"/>
      <c r="C37" s="13">
        <f>SUM(C32,C35)</f>
        <v>21</v>
      </c>
      <c r="D37" s="13">
        <f>SUM(D32,D35)</f>
        <v>20</v>
      </c>
      <c r="E37" s="13">
        <f>SUM(E32,E35)</f>
        <v>18</v>
      </c>
      <c r="F37" s="13">
        <f>SUM(F32,F35)</f>
        <v>16</v>
      </c>
      <c r="G37" s="13">
        <f>SUM(G32,G35)</f>
        <v>15</v>
      </c>
      <c r="H37" s="13">
        <f>SUM(H32,H35)</f>
        <v>13</v>
      </c>
      <c r="I37" s="13">
        <f>SUM(I32,I35)</f>
        <v>11</v>
      </c>
      <c r="J37" s="13">
        <f>SUM(J32,J35)</f>
        <v>10</v>
      </c>
      <c r="K37" s="13">
        <f>SUM(K32,K35)</f>
        <v>8</v>
      </c>
      <c r="L37">
        <f>SUM(L32,L35)</f>
        <v>0</v>
      </c>
      <c r="M37">
        <f>SUM(M32,M35)</f>
        <v>0</v>
      </c>
    </row>
    <row r="38" spans="1:13" x14ac:dyDescent="0.25">
      <c r="A38" s="6"/>
      <c r="C38" s="13">
        <f>C37-C36</f>
        <v>0</v>
      </c>
      <c r="D38" s="13">
        <f>D37-D36</f>
        <v>1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-1</v>
      </c>
      <c r="L38">
        <f>L37-L36</f>
        <v>0</v>
      </c>
      <c r="M38">
        <f>M37-M36</f>
        <v>0</v>
      </c>
    </row>
    <row r="39" spans="1:13" x14ac:dyDescent="0.25">
      <c r="A39" s="7" t="s">
        <v>115</v>
      </c>
      <c r="B39" s="20">
        <v>0.11</v>
      </c>
      <c r="C39" s="23">
        <v>0.10340000000000001</v>
      </c>
      <c r="D39" s="23">
        <v>9.3100000000000002E-2</v>
      </c>
      <c r="E39" s="23">
        <v>8.3900000000000002E-2</v>
      </c>
      <c r="F39" s="23">
        <v>7.5600000000000001E-2</v>
      </c>
      <c r="G39" s="23">
        <v>6.8099999999999994E-2</v>
      </c>
      <c r="H39" s="23">
        <v>6.1400000000000003E-2</v>
      </c>
      <c r="I39" s="23">
        <v>5.5300000000000002E-2</v>
      </c>
      <c r="J39" s="23">
        <v>4.9799999999999997E-2</v>
      </c>
      <c r="K39" s="23">
        <v>4.4900000000000002E-2</v>
      </c>
    </row>
    <row r="40" spans="1:13" x14ac:dyDescent="0.25">
      <c r="A40" s="6" t="s">
        <v>116</v>
      </c>
      <c r="C40" s="13">
        <v>2</v>
      </c>
      <c r="D40" s="13">
        <v>2</v>
      </c>
      <c r="E40" s="13">
        <v>1</v>
      </c>
      <c r="F40" s="13">
        <v>1</v>
      </c>
      <c r="G40" s="13">
        <v>1</v>
      </c>
      <c r="H40" s="13">
        <v>1</v>
      </c>
      <c r="I40" s="13">
        <v>1</v>
      </c>
      <c r="J40" s="13">
        <v>0</v>
      </c>
      <c r="K40" s="13">
        <v>0</v>
      </c>
    </row>
    <row r="41" spans="1:13" x14ac:dyDescent="0.25">
      <c r="A41" s="6"/>
      <c r="C41" s="13">
        <f>C36*C39</f>
        <v>2.1714000000000002</v>
      </c>
      <c r="D41" s="13">
        <f>D36*D39</f>
        <v>1.7689000000000001</v>
      </c>
      <c r="E41" s="13">
        <f>E36*E39</f>
        <v>1.5102</v>
      </c>
      <c r="F41" s="13">
        <f>F36*F39</f>
        <v>1.2096</v>
      </c>
      <c r="G41" s="13">
        <f>G36*G39</f>
        <v>1.0214999999999999</v>
      </c>
      <c r="H41" s="13">
        <f>H36*H39</f>
        <v>0.79820000000000002</v>
      </c>
      <c r="I41" s="13">
        <f>I36*I39</f>
        <v>0.60830000000000006</v>
      </c>
      <c r="J41" s="13">
        <f>J36*J39</f>
        <v>0.498</v>
      </c>
      <c r="K41" s="13">
        <f>K36*K39</f>
        <v>0.40410000000000001</v>
      </c>
      <c r="L41">
        <f>L36*L39</f>
        <v>0</v>
      </c>
      <c r="M41">
        <f>M36*M39</f>
        <v>0</v>
      </c>
    </row>
    <row r="42" spans="1:13" x14ac:dyDescent="0.25">
      <c r="A42" s="6"/>
      <c r="C42" s="13">
        <f>C41-C40</f>
        <v>0.17140000000000022</v>
      </c>
      <c r="D42" s="13">
        <f>D41-D40</f>
        <v>-0.23109999999999986</v>
      </c>
      <c r="E42" s="13">
        <f>E41-E40</f>
        <v>0.51019999999999999</v>
      </c>
      <c r="F42" s="13">
        <f>F41-F40</f>
        <v>0.20960000000000001</v>
      </c>
      <c r="G42" s="13">
        <f>G41-G40</f>
        <v>2.1499999999999853E-2</v>
      </c>
      <c r="H42" s="13">
        <f>H41-H40</f>
        <v>-0.20179999999999998</v>
      </c>
      <c r="I42" s="13">
        <f>I41-I40</f>
        <v>-0.39169999999999994</v>
      </c>
      <c r="J42" s="13">
        <f>J41-J40</f>
        <v>0.498</v>
      </c>
      <c r="K42" s="13">
        <f>K41-K40</f>
        <v>0.40410000000000001</v>
      </c>
      <c r="L42">
        <f>L41-L40</f>
        <v>0</v>
      </c>
      <c r="M42">
        <f>M41-M40</f>
        <v>0</v>
      </c>
    </row>
    <row r="43" spans="1:13" x14ac:dyDescent="0.25">
      <c r="A43" s="9" t="s">
        <v>221</v>
      </c>
    </row>
    <row r="44" spans="1:13" x14ac:dyDescent="0.25">
      <c r="A44" s="7" t="s">
        <v>222</v>
      </c>
      <c r="C44" s="20">
        <v>0.03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</row>
    <row r="45" spans="1:13" x14ac:dyDescent="0.25">
      <c r="A45" s="7" t="s">
        <v>224</v>
      </c>
      <c r="C45" s="20">
        <v>0.38100000000000001</v>
      </c>
      <c r="D45" s="20">
        <v>0.38100000000000001</v>
      </c>
      <c r="E45" s="20">
        <v>0.38100000000000001</v>
      </c>
      <c r="F45" s="20">
        <v>0.38100000000000001</v>
      </c>
      <c r="G45" s="20">
        <v>0.38100000000000001</v>
      </c>
      <c r="H45" s="20">
        <v>0.38100000000000001</v>
      </c>
      <c r="I45" s="20">
        <v>0.38100000000000001</v>
      </c>
      <c r="J45" s="20">
        <v>0.38100000000000001</v>
      </c>
      <c r="K45" s="20">
        <v>0.38100000000000001</v>
      </c>
    </row>
    <row r="46" spans="1:13" x14ac:dyDescent="0.25">
      <c r="A46" s="7" t="s">
        <v>107</v>
      </c>
      <c r="C46" s="20">
        <v>4.9000000000000002E-2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</row>
    <row r="47" spans="1:13" x14ac:dyDescent="0.25">
      <c r="A47" s="7" t="s">
        <v>225</v>
      </c>
      <c r="C47" s="20">
        <v>0.33200000000000002</v>
      </c>
      <c r="D47" s="20">
        <v>0.33200000000000002</v>
      </c>
      <c r="E47" s="20">
        <v>0.33200000000000002</v>
      </c>
      <c r="F47" s="20">
        <v>0.33200000000000002</v>
      </c>
      <c r="G47" s="20">
        <v>0.33200000000000002</v>
      </c>
      <c r="H47" s="20">
        <v>0.33200000000000002</v>
      </c>
      <c r="I47" s="20">
        <v>0.33200000000000002</v>
      </c>
      <c r="J47" s="20">
        <v>0.33200000000000002</v>
      </c>
      <c r="K47" s="20">
        <v>0.33200000000000002</v>
      </c>
    </row>
    <row r="48" spans="1:13" x14ac:dyDescent="0.25">
      <c r="A48" s="7" t="s">
        <v>240</v>
      </c>
      <c r="C48" s="20">
        <v>4.5999999999999999E-2</v>
      </c>
      <c r="D48" s="20">
        <v>4.5999999999999999E-2</v>
      </c>
      <c r="E48" s="20">
        <v>4.5999999999999999E-2</v>
      </c>
      <c r="F48" s="20">
        <v>4.5999999999999999E-2</v>
      </c>
      <c r="G48" s="20">
        <v>4.5999999999999999E-2</v>
      </c>
      <c r="H48" s="20">
        <v>4.5999999999999999E-2</v>
      </c>
      <c r="I48" s="20">
        <v>4.5999999999999999E-2</v>
      </c>
      <c r="J48" s="20">
        <v>4.5999999999999999E-2</v>
      </c>
      <c r="K48" s="20">
        <v>4.5999999999999999E-2</v>
      </c>
    </row>
    <row r="49" spans="1:12" x14ac:dyDescent="0.25">
      <c r="A49" s="16" t="s">
        <v>127</v>
      </c>
    </row>
    <row r="50" spans="1:12" x14ac:dyDescent="0.25">
      <c r="A50" s="7" t="s">
        <v>227</v>
      </c>
    </row>
    <row r="51" spans="1:12" x14ac:dyDescent="0.25">
      <c r="A51" s="16" t="s">
        <v>61</v>
      </c>
    </row>
    <row r="52" spans="1:12" x14ac:dyDescent="0.25">
      <c r="A52" s="9" t="s">
        <v>62</v>
      </c>
      <c r="L52" s="32" t="s">
        <v>63</v>
      </c>
    </row>
    <row r="53" spans="1:12" x14ac:dyDescent="0.25">
      <c r="A53" s="9"/>
      <c r="L53" s="32"/>
    </row>
    <row r="54" spans="1:12" x14ac:dyDescent="0.25">
      <c r="A54" s="9"/>
      <c r="L54" s="32"/>
    </row>
    <row r="55" spans="1:12" x14ac:dyDescent="0.25">
      <c r="F55" s="5" t="s">
        <v>6</v>
      </c>
    </row>
    <row r="56" spans="1:12" x14ac:dyDescent="0.25">
      <c r="F56" s="5"/>
    </row>
    <row r="57" spans="1:12" x14ac:dyDescent="0.25">
      <c r="F57" s="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2:M71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270</v>
      </c>
    </row>
    <row r="3" spans="1:13" x14ac:dyDescent="0.25">
      <c r="A3" s="6" t="s">
        <v>9</v>
      </c>
    </row>
    <row r="4" spans="1:13" x14ac:dyDescent="0.25">
      <c r="A4" s="6" t="s">
        <v>271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31</v>
      </c>
      <c r="D8" s="10">
        <v>130</v>
      </c>
      <c r="E8" s="10">
        <v>133</v>
      </c>
      <c r="F8" s="10">
        <v>137</v>
      </c>
      <c r="G8" s="10">
        <v>140</v>
      </c>
      <c r="H8" s="10">
        <v>144</v>
      </c>
      <c r="I8" s="10">
        <v>148</v>
      </c>
      <c r="J8" s="10">
        <v>152</v>
      </c>
      <c r="K8" s="10">
        <v>156</v>
      </c>
      <c r="L8" s="10">
        <v>161</v>
      </c>
      <c r="M8" s="10">
        <v>166</v>
      </c>
    </row>
    <row r="9" spans="1:13" x14ac:dyDescent="0.25">
      <c r="A9" s="7" t="s">
        <v>204</v>
      </c>
      <c r="C9" s="19">
        <v>-19</v>
      </c>
      <c r="D9" s="19">
        <v>-28</v>
      </c>
    </row>
    <row r="10" spans="1:13" x14ac:dyDescent="0.25">
      <c r="A10" s="7" t="s">
        <v>253</v>
      </c>
      <c r="C10" s="10">
        <v>12</v>
      </c>
      <c r="D10" s="10">
        <v>102</v>
      </c>
      <c r="E10" s="10">
        <v>133</v>
      </c>
      <c r="F10" s="10">
        <v>137</v>
      </c>
      <c r="G10" s="10">
        <v>140</v>
      </c>
      <c r="H10" s="10">
        <v>144</v>
      </c>
      <c r="I10" s="10">
        <v>148</v>
      </c>
      <c r="J10" s="10">
        <v>152</v>
      </c>
      <c r="K10" s="10">
        <v>156</v>
      </c>
      <c r="L10" s="10">
        <v>161</v>
      </c>
      <c r="M10" s="10">
        <v>166</v>
      </c>
    </row>
    <row r="11" spans="1:13" x14ac:dyDescent="0.25">
      <c r="A11" s="7"/>
      <c r="C11" s="10">
        <f>SUM(C8:C9)</f>
        <v>12</v>
      </c>
      <c r="D11" s="10">
        <f>SUM(D8:D9)</f>
        <v>102</v>
      </c>
      <c r="E11" s="10">
        <f>SUM(E8:E9)</f>
        <v>133</v>
      </c>
      <c r="F11" s="10">
        <f>SUM(F8:F9)</f>
        <v>137</v>
      </c>
      <c r="G11" s="10">
        <f>SUM(G8:G9)</f>
        <v>140</v>
      </c>
      <c r="H11" s="10">
        <f>SUM(H8:H9)</f>
        <v>144</v>
      </c>
      <c r="I11" s="10">
        <f>SUM(I8:I9)</f>
        <v>148</v>
      </c>
      <c r="J11" s="10">
        <f>SUM(J8:J9)</f>
        <v>152</v>
      </c>
      <c r="K11" s="10">
        <f>SUM(K8:K9)</f>
        <v>156</v>
      </c>
      <c r="L11" s="10">
        <f>SUM(L8:L9)</f>
        <v>161</v>
      </c>
      <c r="M11" s="10">
        <f>SUM(M8:M9)</f>
        <v>166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</row>
    <row r="13" spans="1:13" x14ac:dyDescent="0.25">
      <c r="A13" s="7" t="s">
        <v>206</v>
      </c>
      <c r="B13" s="7" t="s">
        <v>207</v>
      </c>
      <c r="C13" s="20">
        <v>1</v>
      </c>
      <c r="D13" s="20">
        <v>1</v>
      </c>
      <c r="E13" s="20">
        <v>1</v>
      </c>
      <c r="F13" s="20">
        <v>0.999</v>
      </c>
      <c r="G13" s="20">
        <v>0.998</v>
      </c>
      <c r="H13" s="20">
        <v>0.997</v>
      </c>
      <c r="I13" s="20">
        <v>0.99399999999999999</v>
      </c>
      <c r="J13" s="20">
        <v>0.99</v>
      </c>
      <c r="K13" s="20">
        <v>0.98399999999999999</v>
      </c>
      <c r="L13" s="20">
        <v>0.97699999999999998</v>
      </c>
      <c r="M13" s="20">
        <v>0.96899999999999997</v>
      </c>
    </row>
    <row r="14" spans="1:13" x14ac:dyDescent="0.25">
      <c r="A14" s="7" t="s">
        <v>208</v>
      </c>
      <c r="C14" s="10">
        <v>12</v>
      </c>
      <c r="D14" s="10">
        <v>102</v>
      </c>
      <c r="E14" s="10">
        <v>133</v>
      </c>
      <c r="F14" s="10">
        <v>136</v>
      </c>
      <c r="G14" s="10">
        <v>140</v>
      </c>
      <c r="H14" s="10">
        <v>143</v>
      </c>
      <c r="I14" s="10">
        <v>147</v>
      </c>
      <c r="J14" s="10">
        <v>150</v>
      </c>
      <c r="K14" s="10">
        <v>154</v>
      </c>
      <c r="L14" s="10">
        <v>157</v>
      </c>
      <c r="M14" s="10">
        <v>161</v>
      </c>
    </row>
    <row r="15" spans="1:13" x14ac:dyDescent="0.25">
      <c r="A15" s="7"/>
      <c r="C15" s="10">
        <f>C10*C13</f>
        <v>12</v>
      </c>
      <c r="D15" s="10">
        <f>D10*D13</f>
        <v>102</v>
      </c>
      <c r="E15" s="10">
        <f>E10*E13</f>
        <v>133</v>
      </c>
      <c r="F15" s="10">
        <f>F10*F13</f>
        <v>136.863</v>
      </c>
      <c r="G15" s="10">
        <f>G10*G13</f>
        <v>139.72</v>
      </c>
      <c r="H15" s="10">
        <f>H10*H13</f>
        <v>143.56800000000001</v>
      </c>
      <c r="I15" s="10">
        <f>I10*I13</f>
        <v>147.11199999999999</v>
      </c>
      <c r="J15" s="10">
        <f>J10*J13</f>
        <v>150.47999999999999</v>
      </c>
      <c r="K15" s="10">
        <f>K10*K13</f>
        <v>153.50399999999999</v>
      </c>
      <c r="L15" s="10">
        <f>L10*L13</f>
        <v>157.297</v>
      </c>
      <c r="M15" s="10">
        <f>M10*M13</f>
        <v>160.85399999999998</v>
      </c>
    </row>
    <row r="16" spans="1:13" x14ac:dyDescent="0.25">
      <c r="A16" s="7"/>
      <c r="C16" s="10">
        <f>C15-C14</f>
        <v>0</v>
      </c>
      <c r="D16" s="10">
        <f>D15-D14</f>
        <v>0</v>
      </c>
      <c r="E16" s="10">
        <f>E15-E14</f>
        <v>0</v>
      </c>
      <c r="F16" s="10">
        <f>F15-F14</f>
        <v>0.86299999999999955</v>
      </c>
      <c r="G16" s="10">
        <f>G15-G14</f>
        <v>-0.28000000000000114</v>
      </c>
      <c r="H16" s="10">
        <f>H15-H14</f>
        <v>0.56800000000001205</v>
      </c>
      <c r="I16" s="10">
        <f>I15-I14</f>
        <v>0.11199999999999477</v>
      </c>
      <c r="J16" s="10">
        <f>J15-J14</f>
        <v>0.47999999999998977</v>
      </c>
      <c r="K16" s="10">
        <f>K15-K14</f>
        <v>-0.49600000000000932</v>
      </c>
      <c r="L16" s="10">
        <f>L15-L14</f>
        <v>0.29699999999999704</v>
      </c>
      <c r="M16" s="10">
        <f>M15-M14</f>
        <v>-0.14600000000001501</v>
      </c>
    </row>
    <row r="17" spans="1:13" x14ac:dyDescent="0.25">
      <c r="A17" s="6" t="s">
        <v>205</v>
      </c>
      <c r="C17" s="13">
        <v>12</v>
      </c>
      <c r="D17" s="13">
        <v>102</v>
      </c>
      <c r="E17" s="13">
        <v>133</v>
      </c>
      <c r="F17" s="13">
        <v>136</v>
      </c>
      <c r="G17" s="13">
        <v>140</v>
      </c>
      <c r="H17" s="13">
        <v>143</v>
      </c>
      <c r="I17" s="13">
        <v>147</v>
      </c>
      <c r="J17" s="13">
        <v>150</v>
      </c>
      <c r="K17" s="13">
        <v>154</v>
      </c>
      <c r="L17" s="13">
        <v>157</v>
      </c>
      <c r="M17" s="13">
        <v>161</v>
      </c>
    </row>
    <row r="18" spans="1:13" x14ac:dyDescent="0.25">
      <c r="A18" s="6" t="s">
        <v>106</v>
      </c>
      <c r="C18" s="13">
        <v>4</v>
      </c>
      <c r="D18" s="13">
        <v>34</v>
      </c>
      <c r="E18" s="13">
        <v>47</v>
      </c>
      <c r="F18" s="13">
        <v>51</v>
      </c>
      <c r="G18" s="13">
        <v>54</v>
      </c>
      <c r="H18" s="13">
        <v>56</v>
      </c>
      <c r="I18" s="13">
        <v>59</v>
      </c>
      <c r="J18" s="13">
        <v>61</v>
      </c>
      <c r="K18" s="13">
        <v>63</v>
      </c>
      <c r="L18" s="13">
        <v>64</v>
      </c>
      <c r="M18" s="13">
        <v>65</v>
      </c>
    </row>
    <row r="19" spans="1:13" x14ac:dyDescent="0.25">
      <c r="A19" s="7" t="s">
        <v>107</v>
      </c>
      <c r="C19" s="19">
        <v>0</v>
      </c>
      <c r="D19" s="19">
        <v>-3</v>
      </c>
      <c r="E19" s="19">
        <v>-5</v>
      </c>
      <c r="F19" s="19">
        <v>-7</v>
      </c>
      <c r="G19" s="19">
        <v>-8</v>
      </c>
      <c r="H19" s="19">
        <v>-8</v>
      </c>
      <c r="I19" s="19">
        <v>-7</v>
      </c>
      <c r="J19" s="19">
        <v>-7</v>
      </c>
      <c r="K19" s="19">
        <v>-8</v>
      </c>
      <c r="L19" s="19">
        <v>-8</v>
      </c>
      <c r="M19" s="19">
        <v>-8</v>
      </c>
    </row>
    <row r="20" spans="1:13" x14ac:dyDescent="0.25">
      <c r="A20" s="6" t="s">
        <v>211</v>
      </c>
      <c r="C20" s="13">
        <v>4</v>
      </c>
      <c r="D20" s="13">
        <v>31</v>
      </c>
      <c r="E20" s="13">
        <v>43</v>
      </c>
      <c r="F20" s="13">
        <v>44</v>
      </c>
      <c r="G20" s="13">
        <v>46</v>
      </c>
      <c r="H20" s="13">
        <v>49</v>
      </c>
      <c r="I20" s="13">
        <v>51</v>
      </c>
      <c r="J20" s="13">
        <v>54</v>
      </c>
      <c r="K20" s="13">
        <v>55</v>
      </c>
      <c r="L20" s="13">
        <v>56</v>
      </c>
      <c r="M20" s="13">
        <v>58</v>
      </c>
    </row>
    <row r="21" spans="1:13" x14ac:dyDescent="0.25">
      <c r="A21" s="6"/>
      <c r="C21" s="13">
        <f>SUM(C18,C19)</f>
        <v>4</v>
      </c>
      <c r="D21" s="13">
        <f>SUM(D18,D19)</f>
        <v>31</v>
      </c>
      <c r="E21" s="13">
        <f>SUM(E18,E19)</f>
        <v>42</v>
      </c>
      <c r="F21" s="13">
        <f>SUM(F18,F19)</f>
        <v>44</v>
      </c>
      <c r="G21" s="13">
        <f>SUM(G18,G19)</f>
        <v>46</v>
      </c>
      <c r="H21" s="13">
        <f>SUM(H18,H19)</f>
        <v>48</v>
      </c>
      <c r="I21" s="13">
        <f>SUM(I18,I19)</f>
        <v>52</v>
      </c>
      <c r="J21" s="13">
        <f>SUM(J18,J19)</f>
        <v>54</v>
      </c>
      <c r="K21" s="13">
        <f>SUM(K18,K19)</f>
        <v>55</v>
      </c>
      <c r="L21" s="13">
        <f>SUM(L18,L19)</f>
        <v>56</v>
      </c>
      <c r="M21" s="13">
        <f>SUM(M18,M19)</f>
        <v>57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-1</v>
      </c>
      <c r="F22" s="13">
        <f>F21-F20</f>
        <v>0</v>
      </c>
      <c r="G22" s="13">
        <f>G21-G20</f>
        <v>0</v>
      </c>
      <c r="H22" s="13">
        <f>H21-H20</f>
        <v>-1</v>
      </c>
      <c r="I22" s="13">
        <f>I21-I20</f>
        <v>1</v>
      </c>
      <c r="J22" s="13">
        <f>J21-J20</f>
        <v>0</v>
      </c>
      <c r="K22" s="13">
        <f>K21-K20</f>
        <v>0</v>
      </c>
      <c r="L22" s="13">
        <f>L21-L20</f>
        <v>0</v>
      </c>
      <c r="M22" s="13">
        <f>M21-M20</f>
        <v>-1</v>
      </c>
    </row>
    <row r="23" spans="1:13" x14ac:dyDescent="0.25">
      <c r="A23" s="7" t="s">
        <v>210</v>
      </c>
      <c r="B23" s="20">
        <v>1.4999999999999999E-2</v>
      </c>
      <c r="C23" s="19">
        <v>0</v>
      </c>
      <c r="D23" s="19">
        <v>-2</v>
      </c>
      <c r="E23" s="19">
        <v>-2</v>
      </c>
      <c r="F23" s="19">
        <v>-2</v>
      </c>
      <c r="G23" s="19">
        <v>-2</v>
      </c>
      <c r="H23" s="19">
        <v>-2</v>
      </c>
      <c r="I23" s="19">
        <v>-2</v>
      </c>
      <c r="J23" s="19">
        <v>-2</v>
      </c>
      <c r="K23" s="19">
        <v>-2</v>
      </c>
      <c r="L23" s="19">
        <v>-2</v>
      </c>
      <c r="M23" s="19">
        <v>-2</v>
      </c>
    </row>
    <row r="24" spans="1:13" x14ac:dyDescent="0.25">
      <c r="A24" s="7"/>
      <c r="B24" s="20"/>
      <c r="C24" s="19">
        <f>C10*B23</f>
        <v>0.18</v>
      </c>
      <c r="D24" s="19">
        <f>D10*B23</f>
        <v>1.53</v>
      </c>
      <c r="E24" s="19">
        <f>E10*B23</f>
        <v>1.9949999999999999</v>
      </c>
      <c r="F24" s="19">
        <f>F10*B23</f>
        <v>2.0549999999999997</v>
      </c>
      <c r="G24" s="19">
        <f>G10*B23</f>
        <v>2.1</v>
      </c>
      <c r="H24" s="19">
        <f>H10*B23</f>
        <v>2.16</v>
      </c>
      <c r="I24" s="19">
        <f>I10*B23</f>
        <v>2.2199999999999998</v>
      </c>
      <c r="J24" s="19">
        <f>J10*B23</f>
        <v>2.2799999999999998</v>
      </c>
      <c r="K24" s="19">
        <f>K10*B23</f>
        <v>2.34</v>
      </c>
      <c r="L24" s="19">
        <f>L10*B23</f>
        <v>2.415</v>
      </c>
      <c r="M24" s="19">
        <f>M10*B23</f>
        <v>2.4899999999999998</v>
      </c>
    </row>
    <row r="25" spans="1:13" x14ac:dyDescent="0.25">
      <c r="A25" s="7"/>
      <c r="B25" s="20"/>
      <c r="C25" s="19">
        <f>C24-C23</f>
        <v>0.18</v>
      </c>
      <c r="D25" s="19">
        <f>D24-D23</f>
        <v>3.5300000000000002</v>
      </c>
      <c r="E25" s="19">
        <f>E24-E23</f>
        <v>3.9950000000000001</v>
      </c>
      <c r="F25" s="19">
        <f>F24-F23</f>
        <v>4.0549999999999997</v>
      </c>
      <c r="G25" s="19">
        <f>G24-G23</f>
        <v>4.0999999999999996</v>
      </c>
      <c r="H25" s="19">
        <f>H24-H23</f>
        <v>4.16</v>
      </c>
      <c r="I25" s="19">
        <f>I24-I23</f>
        <v>4.22</v>
      </c>
      <c r="J25" s="19">
        <f>J24-J23</f>
        <v>4.2799999999999994</v>
      </c>
      <c r="K25" s="19">
        <f>K24-K23</f>
        <v>4.34</v>
      </c>
      <c r="L25" s="19">
        <f>L24-L23</f>
        <v>4.415</v>
      </c>
      <c r="M25" s="19">
        <f>M24-M23</f>
        <v>4.49</v>
      </c>
    </row>
    <row r="26" spans="1:13" x14ac:dyDescent="0.25">
      <c r="A26" s="6" t="s">
        <v>108</v>
      </c>
      <c r="C26" s="13">
        <v>3</v>
      </c>
      <c r="D26" s="13">
        <v>29</v>
      </c>
      <c r="E26" s="13">
        <v>41</v>
      </c>
      <c r="F26" s="13">
        <v>42</v>
      </c>
      <c r="G26" s="13">
        <v>44</v>
      </c>
      <c r="H26" s="13">
        <v>47</v>
      </c>
      <c r="I26" s="13">
        <v>49</v>
      </c>
      <c r="J26" s="13">
        <v>52</v>
      </c>
      <c r="K26" s="13">
        <v>53</v>
      </c>
      <c r="L26" s="13">
        <v>54</v>
      </c>
      <c r="M26" s="13">
        <v>55</v>
      </c>
    </row>
    <row r="27" spans="1:13" x14ac:dyDescent="0.25">
      <c r="A27" s="6"/>
      <c r="C27" s="13">
        <f>SUM(C20,C23)</f>
        <v>4</v>
      </c>
      <c r="D27" s="13">
        <f>SUM(D20,D23)</f>
        <v>29</v>
      </c>
      <c r="E27" s="13">
        <f>SUM(E20,E23)</f>
        <v>41</v>
      </c>
      <c r="F27" s="13">
        <f>SUM(F20,F23)</f>
        <v>42</v>
      </c>
      <c r="G27" s="13">
        <f>SUM(G20,G23)</f>
        <v>44</v>
      </c>
      <c r="H27" s="13">
        <f>SUM(H20,H23)</f>
        <v>47</v>
      </c>
      <c r="I27" s="13">
        <f>SUM(I20,I23)</f>
        <v>49</v>
      </c>
      <c r="J27" s="13">
        <f>SUM(J20,J23)</f>
        <v>52</v>
      </c>
      <c r="K27" s="13">
        <f>SUM(K20,K23)</f>
        <v>53</v>
      </c>
      <c r="L27" s="13">
        <f>SUM(L20,L23)</f>
        <v>54</v>
      </c>
      <c r="M27" s="13">
        <f>SUM(M20,M23)</f>
        <v>56</v>
      </c>
    </row>
    <row r="28" spans="1:13" x14ac:dyDescent="0.25">
      <c r="A28" s="6"/>
      <c r="C28" s="13">
        <f>C27-C26</f>
        <v>1</v>
      </c>
      <c r="D28" s="13">
        <f>D27-D26</f>
        <v>0</v>
      </c>
      <c r="E28" s="13">
        <f>E27-E26</f>
        <v>0</v>
      </c>
      <c r="F28" s="13">
        <f>F27-F26</f>
        <v>0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0</v>
      </c>
      <c r="L28" s="13">
        <f>L27-L26</f>
        <v>0</v>
      </c>
      <c r="M28" s="13">
        <f>M27-M26</f>
        <v>1</v>
      </c>
    </row>
    <row r="29" spans="1:13" x14ac:dyDescent="0.25">
      <c r="A29" s="7" t="s">
        <v>212</v>
      </c>
      <c r="B29" s="20">
        <v>0.218</v>
      </c>
      <c r="C29" s="31">
        <v>-1</v>
      </c>
      <c r="D29" s="19">
        <v>-6</v>
      </c>
      <c r="E29" s="19">
        <v>-9</v>
      </c>
      <c r="F29" s="19">
        <v>-9</v>
      </c>
      <c r="G29" s="19">
        <v>-10</v>
      </c>
      <c r="H29" s="19">
        <v>-10</v>
      </c>
      <c r="I29" s="19">
        <v>-11</v>
      </c>
      <c r="J29" s="19">
        <v>-11</v>
      </c>
      <c r="K29" s="19">
        <v>-12</v>
      </c>
      <c r="L29" s="19">
        <v>-12</v>
      </c>
      <c r="M29" s="19">
        <v>-12</v>
      </c>
    </row>
    <row r="30" spans="1:13" x14ac:dyDescent="0.25">
      <c r="A30" s="7"/>
      <c r="B30" s="20"/>
      <c r="C30" s="31">
        <f>C26*B29</f>
        <v>0.65400000000000003</v>
      </c>
      <c r="D30" s="19">
        <f>D26*B29</f>
        <v>6.3220000000000001</v>
      </c>
      <c r="E30" s="19">
        <f>E26*B29</f>
        <v>8.9380000000000006</v>
      </c>
      <c r="F30" s="19">
        <f>F26*B29</f>
        <v>9.1560000000000006</v>
      </c>
      <c r="G30" s="19">
        <f>G26*B29</f>
        <v>9.5920000000000005</v>
      </c>
      <c r="H30" s="19">
        <f>H26*B29</f>
        <v>10.246</v>
      </c>
      <c r="I30" s="19">
        <f>I26*B29</f>
        <v>10.682</v>
      </c>
      <c r="J30" s="19">
        <f>J26*B29</f>
        <v>11.336</v>
      </c>
      <c r="K30" s="19">
        <f>K26*B29</f>
        <v>11.554</v>
      </c>
      <c r="L30" s="19">
        <f>L26*B29</f>
        <v>11.772</v>
      </c>
      <c r="M30" s="19">
        <f>M26*B29</f>
        <v>11.99</v>
      </c>
    </row>
    <row r="31" spans="1:13" x14ac:dyDescent="0.25">
      <c r="A31" s="7"/>
      <c r="B31" s="20"/>
      <c r="C31" s="31">
        <f>C30-C29</f>
        <v>1.6539999999999999</v>
      </c>
      <c r="D31" s="19">
        <f>D30-D29</f>
        <v>12.321999999999999</v>
      </c>
      <c r="E31" s="19">
        <f>E30-E29</f>
        <v>17.938000000000002</v>
      </c>
      <c r="F31" s="19">
        <f>F30-F29</f>
        <v>18.155999999999999</v>
      </c>
      <c r="G31" s="19">
        <f>G30-G29</f>
        <v>19.591999999999999</v>
      </c>
      <c r="H31" s="19">
        <f>H30-H29</f>
        <v>20.246000000000002</v>
      </c>
      <c r="I31" s="19">
        <f>I30-I29</f>
        <v>21.682000000000002</v>
      </c>
      <c r="J31" s="19">
        <f>J30-J29</f>
        <v>22.335999999999999</v>
      </c>
      <c r="K31" s="19">
        <f>K30-K29</f>
        <v>23.554000000000002</v>
      </c>
      <c r="L31" s="19">
        <f>L30-L29</f>
        <v>23.771999999999998</v>
      </c>
      <c r="M31" s="19">
        <f>M30-M29</f>
        <v>23.990000000000002</v>
      </c>
    </row>
    <row r="32" spans="1:13" x14ac:dyDescent="0.25">
      <c r="A32" s="6" t="s">
        <v>213</v>
      </c>
      <c r="C32" s="13">
        <v>3</v>
      </c>
      <c r="D32" s="13">
        <v>23</v>
      </c>
      <c r="E32" s="13">
        <v>32</v>
      </c>
      <c r="F32" s="13">
        <v>33</v>
      </c>
      <c r="G32" s="13">
        <v>34</v>
      </c>
      <c r="H32" s="13">
        <v>36</v>
      </c>
      <c r="I32" s="13">
        <v>38</v>
      </c>
      <c r="J32" s="13">
        <v>40</v>
      </c>
      <c r="K32" s="13">
        <v>41</v>
      </c>
      <c r="L32" s="13">
        <v>42</v>
      </c>
      <c r="M32" s="13">
        <v>43</v>
      </c>
    </row>
    <row r="33" spans="1:13" x14ac:dyDescent="0.25">
      <c r="A33" s="6"/>
      <c r="C33" s="13">
        <f>SUM(C26,C29)</f>
        <v>2</v>
      </c>
      <c r="D33" s="13">
        <f>SUM(D26,D29)</f>
        <v>23</v>
      </c>
      <c r="E33" s="13">
        <f>SUM(E26,E29)</f>
        <v>32</v>
      </c>
      <c r="F33" s="13">
        <f>SUM(F26,F29)</f>
        <v>33</v>
      </c>
      <c r="G33" s="13">
        <f>SUM(G26,G29)</f>
        <v>34</v>
      </c>
      <c r="H33" s="13">
        <f>SUM(H26,H29)</f>
        <v>37</v>
      </c>
      <c r="I33" s="13">
        <f>SUM(I26,I29)</f>
        <v>38</v>
      </c>
      <c r="J33" s="13">
        <f>SUM(J26,J29)</f>
        <v>41</v>
      </c>
      <c r="K33" s="13">
        <f>SUM(K26,K29)</f>
        <v>41</v>
      </c>
      <c r="L33" s="13">
        <f>SUM(L26,L29)</f>
        <v>42</v>
      </c>
      <c r="M33" s="13">
        <f>SUM(M26,M29)</f>
        <v>43</v>
      </c>
    </row>
    <row r="34" spans="1:13" x14ac:dyDescent="0.25">
      <c r="A34" s="6"/>
      <c r="C34" s="13">
        <f>C33-C32</f>
        <v>-1</v>
      </c>
      <c r="D34" s="13">
        <f>D33-D32</f>
        <v>0</v>
      </c>
      <c r="E34" s="13">
        <f>E33-E32</f>
        <v>0</v>
      </c>
      <c r="F34" s="13">
        <f>F33-F32</f>
        <v>0</v>
      </c>
      <c r="G34" s="13">
        <f>G33-G32</f>
        <v>0</v>
      </c>
      <c r="H34" s="13">
        <f>H33-H32</f>
        <v>1</v>
      </c>
      <c r="I34" s="13">
        <f>I33-I32</f>
        <v>0</v>
      </c>
      <c r="J34" s="13">
        <f>J33-J32</f>
        <v>1</v>
      </c>
      <c r="K34" s="13">
        <f>K33-K32</f>
        <v>0</v>
      </c>
      <c r="L34" s="13">
        <f>L33-L32</f>
        <v>0</v>
      </c>
      <c r="M34" s="13">
        <f>M33-M32</f>
        <v>0</v>
      </c>
    </row>
    <row r="35" spans="1:13" x14ac:dyDescent="0.25">
      <c r="A35" s="7" t="s">
        <v>214</v>
      </c>
      <c r="C35" s="19">
        <v>0</v>
      </c>
      <c r="D35" s="19">
        <v>-2</v>
      </c>
      <c r="E35" s="19">
        <v>-2</v>
      </c>
      <c r="F35" s="19">
        <v>-2</v>
      </c>
      <c r="G35" s="19">
        <v>-3</v>
      </c>
      <c r="H35" s="19">
        <v>-3</v>
      </c>
      <c r="I35" s="19">
        <v>-3</v>
      </c>
      <c r="J35" s="19">
        <v>-3</v>
      </c>
      <c r="K35" s="19">
        <v>-3</v>
      </c>
      <c r="L35" s="19">
        <v>-3</v>
      </c>
      <c r="M35" s="19">
        <v>-3</v>
      </c>
    </row>
    <row r="36" spans="1:13" x14ac:dyDescent="0.25">
      <c r="A36" s="6" t="s">
        <v>215</v>
      </c>
      <c r="C36" s="13">
        <v>2</v>
      </c>
      <c r="D36" s="13">
        <v>21</v>
      </c>
      <c r="E36" s="13">
        <v>30</v>
      </c>
      <c r="F36" s="13">
        <v>30</v>
      </c>
      <c r="G36" s="13">
        <v>32</v>
      </c>
      <c r="H36" s="13">
        <v>34</v>
      </c>
      <c r="I36" s="13">
        <v>36</v>
      </c>
      <c r="J36" s="13">
        <v>38</v>
      </c>
      <c r="K36" s="13">
        <v>39</v>
      </c>
      <c r="L36" s="13">
        <v>39</v>
      </c>
      <c r="M36" s="13">
        <v>40</v>
      </c>
    </row>
    <row r="37" spans="1:13" x14ac:dyDescent="0.25">
      <c r="A37" s="6"/>
      <c r="C37" s="13">
        <f>SUM(C32,C35)</f>
        <v>3</v>
      </c>
      <c r="D37" s="13">
        <f>SUM(D32,D35)</f>
        <v>21</v>
      </c>
      <c r="E37" s="13">
        <f>SUM(E32,E35)</f>
        <v>30</v>
      </c>
      <c r="F37" s="13">
        <f>SUM(F32,F35)</f>
        <v>31</v>
      </c>
      <c r="G37" s="13">
        <f>SUM(G32,G35)</f>
        <v>31</v>
      </c>
      <c r="H37" s="13">
        <f>SUM(H32,H35)</f>
        <v>33</v>
      </c>
      <c r="I37" s="13">
        <f>SUM(I32,I35)</f>
        <v>35</v>
      </c>
      <c r="J37" s="13">
        <f>SUM(J32,J35)</f>
        <v>37</v>
      </c>
      <c r="K37" s="13">
        <f>SUM(K32,K35)</f>
        <v>38</v>
      </c>
      <c r="L37" s="13">
        <f>SUM(L32,L35)</f>
        <v>39</v>
      </c>
      <c r="M37" s="13">
        <f>SUM(M32,M35)</f>
        <v>40</v>
      </c>
    </row>
    <row r="38" spans="1:13" x14ac:dyDescent="0.25">
      <c r="A38" s="6"/>
      <c r="C38" s="13">
        <f>C37-C36</f>
        <v>1</v>
      </c>
      <c r="D38" s="13">
        <f>D37-D36</f>
        <v>0</v>
      </c>
      <c r="E38" s="13">
        <f>E37-E36</f>
        <v>0</v>
      </c>
      <c r="F38" s="13">
        <f>F37-F36</f>
        <v>1</v>
      </c>
      <c r="G38" s="13">
        <f>G37-G36</f>
        <v>-1</v>
      </c>
      <c r="H38" s="13">
        <f>H37-H36</f>
        <v>-1</v>
      </c>
      <c r="I38" s="13">
        <f>I37-I36</f>
        <v>-1</v>
      </c>
      <c r="J38" s="13">
        <f>J37-J36</f>
        <v>-1</v>
      </c>
      <c r="K38" s="13">
        <f>K37-K36</f>
        <v>-1</v>
      </c>
      <c r="L38" s="13">
        <f>L37-L36</f>
        <v>0</v>
      </c>
      <c r="M38" s="13">
        <f>M37-M36</f>
        <v>0</v>
      </c>
    </row>
    <row r="39" spans="1:13" x14ac:dyDescent="0.25">
      <c r="A39" s="7" t="s">
        <v>115</v>
      </c>
      <c r="B39" s="20">
        <v>0.11</v>
      </c>
      <c r="C39" s="23">
        <v>0.98740000000000006</v>
      </c>
      <c r="D39" s="23">
        <v>0.92530000000000001</v>
      </c>
      <c r="E39" s="23">
        <v>0.83360000000000001</v>
      </c>
      <c r="F39" s="24">
        <v>0.751</v>
      </c>
      <c r="G39" s="23">
        <v>0.67659999999999998</v>
      </c>
      <c r="H39" s="23">
        <v>0.60950000000000004</v>
      </c>
      <c r="I39" s="23">
        <v>0.54910000000000003</v>
      </c>
      <c r="J39" s="23">
        <v>0.49469999999999997</v>
      </c>
      <c r="K39" s="23">
        <v>0.44569999999999999</v>
      </c>
      <c r="L39" s="23">
        <v>0.40150000000000002</v>
      </c>
      <c r="M39" s="23">
        <v>0.36170000000000002</v>
      </c>
    </row>
    <row r="40" spans="1:13" x14ac:dyDescent="0.25">
      <c r="A40" s="6" t="s">
        <v>116</v>
      </c>
      <c r="C40" s="13">
        <v>2</v>
      </c>
      <c r="D40" s="13">
        <v>19</v>
      </c>
      <c r="E40" s="13">
        <v>25</v>
      </c>
      <c r="F40" s="13">
        <v>23</v>
      </c>
      <c r="G40" s="13">
        <v>21</v>
      </c>
      <c r="H40" s="13">
        <v>21</v>
      </c>
      <c r="I40" s="13">
        <v>20</v>
      </c>
      <c r="J40" s="13">
        <v>19</v>
      </c>
      <c r="K40" s="13">
        <v>17</v>
      </c>
      <c r="L40" s="13">
        <v>16</v>
      </c>
      <c r="M40" s="13">
        <v>15</v>
      </c>
    </row>
    <row r="41" spans="1:13" x14ac:dyDescent="0.25">
      <c r="A41" s="6"/>
      <c r="C41" s="13">
        <f>C36*C39</f>
        <v>1.9748000000000001</v>
      </c>
      <c r="D41" s="13">
        <f>D36*D39</f>
        <v>19.4313</v>
      </c>
      <c r="E41" s="13">
        <f>E36*E39</f>
        <v>25.007999999999999</v>
      </c>
      <c r="F41" s="13">
        <f>F36*F39</f>
        <v>22.53</v>
      </c>
      <c r="G41" s="13">
        <f>G36*G39</f>
        <v>21.651199999999999</v>
      </c>
      <c r="H41" s="13">
        <f>H36*H39</f>
        <v>20.723000000000003</v>
      </c>
      <c r="I41" s="13">
        <f>I36*I39</f>
        <v>19.767600000000002</v>
      </c>
      <c r="J41" s="13">
        <f>J36*J39</f>
        <v>18.7986</v>
      </c>
      <c r="K41" s="13">
        <f>K36*K39</f>
        <v>17.382300000000001</v>
      </c>
      <c r="L41" s="13">
        <f>L36*L39</f>
        <v>15.6585</v>
      </c>
      <c r="M41" s="13">
        <f>M36*M39</f>
        <v>14.468</v>
      </c>
    </row>
    <row r="42" spans="1:13" x14ac:dyDescent="0.25">
      <c r="A42" s="6"/>
      <c r="C42" s="13">
        <f>C41-C40</f>
        <v>-2.5199999999999889E-2</v>
      </c>
      <c r="D42" s="13">
        <f>D41-D40</f>
        <v>0.43130000000000024</v>
      </c>
      <c r="E42" s="13">
        <f>E41-E40</f>
        <v>7.9999999999991189E-3</v>
      </c>
      <c r="F42" s="13">
        <f>F41-F40</f>
        <v>-0.46999999999999886</v>
      </c>
      <c r="G42" s="13">
        <f>G41-G40</f>
        <v>0.65119999999999933</v>
      </c>
      <c r="H42" s="13">
        <f>H41-H40</f>
        <v>-0.27699999999999747</v>
      </c>
      <c r="I42" s="13">
        <f>I41-I40</f>
        <v>-0.23239999999999839</v>
      </c>
      <c r="J42" s="13">
        <f>J41-J40</f>
        <v>-0.20139999999999958</v>
      </c>
      <c r="K42" s="13">
        <f>K41-K40</f>
        <v>0.38230000000000075</v>
      </c>
      <c r="L42" s="13">
        <f>L41-L40</f>
        <v>-0.34149999999999991</v>
      </c>
      <c r="M42" s="13">
        <f>M41-M40</f>
        <v>-0.53200000000000003</v>
      </c>
    </row>
    <row r="43" spans="1:13" x14ac:dyDescent="0.25">
      <c r="A43" s="7" t="s">
        <v>216</v>
      </c>
      <c r="C43" s="10">
        <v>315</v>
      </c>
    </row>
    <row r="44" spans="1:13" x14ac:dyDescent="0.25">
      <c r="H44" s="7" t="s">
        <v>217</v>
      </c>
    </row>
    <row r="45" spans="1:13" x14ac:dyDescent="0.25">
      <c r="A45" s="6" t="s">
        <v>218</v>
      </c>
      <c r="C45" s="13">
        <v>315</v>
      </c>
      <c r="F45" s="10">
        <v>340</v>
      </c>
      <c r="G45" s="15">
        <v>0.02</v>
      </c>
      <c r="H45" s="15">
        <v>0.03</v>
      </c>
      <c r="I45" s="15">
        <v>0.04</v>
      </c>
      <c r="J45" s="15">
        <v>0.05</v>
      </c>
    </row>
    <row r="46" spans="1:13" x14ac:dyDescent="0.25">
      <c r="A46" s="7" t="s">
        <v>121</v>
      </c>
      <c r="B46" s="7" t="s">
        <v>122</v>
      </c>
      <c r="C46" s="10">
        <v>26</v>
      </c>
      <c r="F46" s="27">
        <v>20</v>
      </c>
      <c r="G46" s="21">
        <v>330</v>
      </c>
      <c r="H46" s="21">
        <v>340</v>
      </c>
      <c r="I46" s="21">
        <v>360</v>
      </c>
      <c r="J46" s="21">
        <v>370</v>
      </c>
    </row>
    <row r="47" spans="1:13" x14ac:dyDescent="0.25">
      <c r="A47" s="6" t="s">
        <v>219</v>
      </c>
      <c r="C47" s="13">
        <v>340</v>
      </c>
      <c r="F47" s="27">
        <v>25</v>
      </c>
      <c r="G47" s="21">
        <v>330</v>
      </c>
      <c r="H47" s="21">
        <v>340</v>
      </c>
      <c r="I47" s="21">
        <v>360</v>
      </c>
      <c r="J47" s="21">
        <v>370</v>
      </c>
    </row>
    <row r="48" spans="1:13" x14ac:dyDescent="0.25">
      <c r="E48" s="7" t="s">
        <v>220</v>
      </c>
      <c r="F48" s="27">
        <v>30</v>
      </c>
      <c r="G48" s="21">
        <v>330</v>
      </c>
      <c r="H48" s="21">
        <v>340</v>
      </c>
      <c r="I48" s="21">
        <v>360</v>
      </c>
      <c r="J48" s="21">
        <v>370</v>
      </c>
    </row>
    <row r="49" spans="1:13" x14ac:dyDescent="0.25">
      <c r="F49" s="27">
        <v>35</v>
      </c>
      <c r="G49" s="21">
        <v>330</v>
      </c>
      <c r="H49" s="21">
        <v>340</v>
      </c>
      <c r="I49" s="21">
        <v>360</v>
      </c>
      <c r="J49" s="21">
        <v>370</v>
      </c>
    </row>
    <row r="50" spans="1:13" x14ac:dyDescent="0.25">
      <c r="F50" s="27">
        <v>40</v>
      </c>
      <c r="G50" s="21">
        <v>330</v>
      </c>
      <c r="H50" s="21">
        <v>340</v>
      </c>
      <c r="I50" s="21">
        <v>360</v>
      </c>
      <c r="J50" s="21">
        <v>370</v>
      </c>
    </row>
    <row r="51" spans="1:13" x14ac:dyDescent="0.25">
      <c r="A51" s="9" t="s">
        <v>221</v>
      </c>
    </row>
    <row r="52" spans="1:13" x14ac:dyDescent="0.25">
      <c r="A52" s="7" t="s">
        <v>222</v>
      </c>
      <c r="C52" s="7" t="s">
        <v>223</v>
      </c>
      <c r="D52" s="20">
        <v>2.4E-2</v>
      </c>
      <c r="E52" s="20">
        <v>2.4E-2</v>
      </c>
      <c r="F52" s="20">
        <v>2.5000000000000001E-2</v>
      </c>
      <c r="G52" s="20">
        <v>2.5999999999999999E-2</v>
      </c>
      <c r="H52" s="20">
        <v>2.5999999999999999E-2</v>
      </c>
      <c r="I52" s="20">
        <v>2.7E-2</v>
      </c>
      <c r="J52" s="20">
        <v>2.8000000000000001E-2</v>
      </c>
      <c r="K52" s="20">
        <v>0.03</v>
      </c>
      <c r="L52" s="20">
        <v>0.03</v>
      </c>
      <c r="M52" s="20">
        <v>0.03</v>
      </c>
    </row>
    <row r="53" spans="1:13" x14ac:dyDescent="0.25">
      <c r="A53" s="7"/>
      <c r="C53" s="7"/>
      <c r="D53" s="20"/>
      <c r="E53" s="20"/>
      <c r="F53" s="20"/>
      <c r="G53" s="20"/>
      <c r="H53" s="20"/>
      <c r="I53" s="20"/>
      <c r="J53" s="20"/>
      <c r="K53" s="20"/>
      <c r="L53" s="20"/>
      <c r="M53" s="20"/>
    </row>
    <row r="54" spans="1:13" x14ac:dyDescent="0.25">
      <c r="A54" s="7"/>
      <c r="C54" s="7"/>
      <c r="D54" s="20"/>
      <c r="E54" s="20"/>
      <c r="F54" s="20"/>
      <c r="G54" s="20"/>
      <c r="H54" s="20"/>
      <c r="I54" s="20"/>
      <c r="J54" s="20"/>
      <c r="K54" s="20"/>
      <c r="L54" s="20"/>
      <c r="M54" s="20"/>
    </row>
    <row r="55" spans="1:13" x14ac:dyDescent="0.25">
      <c r="A55" s="7" t="s">
        <v>224</v>
      </c>
      <c r="C55" s="20">
        <v>0.32400000000000001</v>
      </c>
      <c r="D55" s="20">
        <v>0.33300000000000002</v>
      </c>
      <c r="E55" s="20">
        <v>0.35699999999999998</v>
      </c>
      <c r="F55" s="20">
        <v>0.371</v>
      </c>
      <c r="G55" s="20">
        <v>0.38300000000000001</v>
      </c>
      <c r="H55" s="20">
        <v>0.39300000000000002</v>
      </c>
      <c r="I55" s="20">
        <v>0.4</v>
      </c>
      <c r="J55" s="20">
        <v>0.40799999999999997</v>
      </c>
      <c r="K55" s="20">
        <v>0.40799999999999997</v>
      </c>
      <c r="L55" s="20">
        <v>0.40799999999999997</v>
      </c>
      <c r="M55" s="20">
        <v>0.40799999999999997</v>
      </c>
    </row>
    <row r="56" spans="1:13" x14ac:dyDescent="0.25">
      <c r="A56" s="7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 t="s">
        <v>107</v>
      </c>
      <c r="C58" s="20">
        <v>3.5999999999999997E-2</v>
      </c>
      <c r="D58" s="20">
        <v>3.4000000000000002E-2</v>
      </c>
      <c r="E58" s="20">
        <v>3.5000000000000003E-2</v>
      </c>
      <c r="F58" s="20">
        <v>0.05</v>
      </c>
      <c r="G58" s="20">
        <v>5.5E-2</v>
      </c>
      <c r="H58" s="20">
        <v>5.2999999999999999E-2</v>
      </c>
      <c r="I58" s="20">
        <v>5.0999999999999997E-2</v>
      </c>
      <c r="J58" s="20">
        <v>4.9000000000000002E-2</v>
      </c>
      <c r="K58" s="20">
        <v>4.9000000000000002E-2</v>
      </c>
      <c r="L58" s="20">
        <v>4.9000000000000002E-2</v>
      </c>
      <c r="M58" s="20">
        <v>4.9000000000000002E-2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</row>
    <row r="61" spans="1:13" x14ac:dyDescent="0.25">
      <c r="A61" s="7" t="s">
        <v>225</v>
      </c>
      <c r="C61" s="20">
        <v>0.28799999999999998</v>
      </c>
      <c r="D61" s="20">
        <v>0.29899999999999999</v>
      </c>
      <c r="E61" s="20">
        <v>0.32200000000000001</v>
      </c>
      <c r="F61" s="20">
        <v>0.32100000000000001</v>
      </c>
      <c r="G61" s="20">
        <v>0.32800000000000001</v>
      </c>
      <c r="H61" s="20">
        <v>0.34</v>
      </c>
      <c r="I61" s="20">
        <v>0.35</v>
      </c>
      <c r="J61" s="20">
        <v>0.35899999999999999</v>
      </c>
      <c r="K61" s="20">
        <v>0.35899999999999999</v>
      </c>
      <c r="L61" s="20">
        <v>0.35899999999999999</v>
      </c>
      <c r="M61" s="20">
        <v>0.35899999999999999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240</v>
      </c>
      <c r="C64" s="20">
        <v>1.7999999999999999E-2</v>
      </c>
      <c r="D64" s="20">
        <v>1.7999999999999999E-2</v>
      </c>
      <c r="E64" s="20">
        <v>1.7999999999999999E-2</v>
      </c>
      <c r="F64" s="20">
        <v>1.7999999999999999E-2</v>
      </c>
      <c r="G64" s="20">
        <v>1.7999999999999999E-2</v>
      </c>
      <c r="H64" s="20">
        <v>1.7999999999999999E-2</v>
      </c>
      <c r="I64" s="20">
        <v>1.7999999999999999E-2</v>
      </c>
      <c r="J64" s="20">
        <v>1.7999999999999999E-2</v>
      </c>
      <c r="K64" s="20">
        <v>1.7999999999999999E-2</v>
      </c>
      <c r="L64" s="20">
        <v>1.7999999999999999E-2</v>
      </c>
      <c r="M64" s="20">
        <v>1.7999999999999999E-2</v>
      </c>
    </row>
    <row r="65" spans="1:13" x14ac:dyDescent="0.25">
      <c r="A65" s="7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16" t="s">
        <v>127</v>
      </c>
    </row>
    <row r="68" spans="1:13" x14ac:dyDescent="0.25">
      <c r="A68" s="7" t="s">
        <v>227</v>
      </c>
    </row>
    <row r="69" spans="1:13" x14ac:dyDescent="0.25">
      <c r="A69" s="16" t="s">
        <v>61</v>
      </c>
    </row>
    <row r="70" spans="1:13" x14ac:dyDescent="0.25">
      <c r="A70" s="9" t="s">
        <v>62</v>
      </c>
      <c r="M70" s="32" t="s">
        <v>63</v>
      </c>
    </row>
    <row r="71" spans="1:13" x14ac:dyDescent="0.25">
      <c r="E71" s="5" t="s">
        <v>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M5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272</v>
      </c>
    </row>
    <row r="3" spans="1:13" x14ac:dyDescent="0.25">
      <c r="A3" s="6" t="s">
        <v>9</v>
      </c>
    </row>
    <row r="4" spans="1:13" x14ac:dyDescent="0.25">
      <c r="A4" s="6" t="s">
        <v>271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171</v>
      </c>
      <c r="D8" s="10">
        <v>176</v>
      </c>
      <c r="E8" s="10">
        <v>181</v>
      </c>
      <c r="F8" s="10">
        <v>187</v>
      </c>
      <c r="G8" s="10">
        <v>192</v>
      </c>
      <c r="H8" s="10">
        <v>198</v>
      </c>
      <c r="I8" s="10">
        <v>204</v>
      </c>
      <c r="J8" s="10">
        <v>210</v>
      </c>
      <c r="K8" s="10">
        <v>216</v>
      </c>
      <c r="L8" s="10">
        <v>223</v>
      </c>
      <c r="M8" s="10">
        <v>230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171</v>
      </c>
      <c r="D10" s="10">
        <v>176</v>
      </c>
      <c r="E10" s="10">
        <v>181</v>
      </c>
      <c r="F10" s="10">
        <v>187</v>
      </c>
      <c r="G10" s="10">
        <v>192</v>
      </c>
      <c r="H10" s="10">
        <v>198</v>
      </c>
      <c r="I10" s="10">
        <v>204</v>
      </c>
      <c r="J10" s="10">
        <v>210</v>
      </c>
      <c r="K10" s="10">
        <v>216</v>
      </c>
      <c r="L10" s="10">
        <v>223</v>
      </c>
      <c r="M10" s="10">
        <v>230</v>
      </c>
    </row>
    <row r="11" spans="1:13" x14ac:dyDescent="0.25">
      <c r="A11" s="7"/>
      <c r="C11" s="10">
        <f>SUM(C8:C9)</f>
        <v>171</v>
      </c>
      <c r="D11" s="10">
        <f>SUM(D8:D9)</f>
        <v>176</v>
      </c>
      <c r="E11" s="10">
        <f>SUM(E8:E9)</f>
        <v>181</v>
      </c>
      <c r="F11" s="10">
        <f>SUM(F8:F9)</f>
        <v>187</v>
      </c>
      <c r="G11" s="10">
        <f>SUM(G8:G9)</f>
        <v>192</v>
      </c>
      <c r="H11" s="10">
        <f>SUM(H8:H9)</f>
        <v>198</v>
      </c>
      <c r="I11" s="10">
        <f>SUM(I8:I9)</f>
        <v>204</v>
      </c>
      <c r="J11" s="10">
        <f>SUM(J8:J9)</f>
        <v>210</v>
      </c>
      <c r="K11" s="10">
        <f>SUM(K8:K9)</f>
        <v>216</v>
      </c>
      <c r="L11" s="10">
        <f>SUM(L8:L9)</f>
        <v>223</v>
      </c>
      <c r="M11" s="10">
        <f>SUM(M8:M9)</f>
        <v>230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</row>
    <row r="13" spans="1:13" x14ac:dyDescent="0.25">
      <c r="A13" s="7" t="s">
        <v>206</v>
      </c>
      <c r="B13" s="7" t="s">
        <v>207</v>
      </c>
      <c r="C13" s="20">
        <v>0.95799999999999996</v>
      </c>
      <c r="D13" s="20">
        <v>0.94499999999999995</v>
      </c>
      <c r="E13" s="20">
        <v>0.93</v>
      </c>
      <c r="F13" s="20">
        <v>0.91300000000000003</v>
      </c>
      <c r="G13" s="20">
        <v>0.89300000000000002</v>
      </c>
      <c r="H13" s="20">
        <v>0.871</v>
      </c>
      <c r="I13" s="20">
        <v>0.84599999999999997</v>
      </c>
      <c r="J13" s="20">
        <v>0.82</v>
      </c>
      <c r="K13" s="20">
        <v>0.79100000000000004</v>
      </c>
      <c r="L13" s="20">
        <v>0.76</v>
      </c>
      <c r="M13" s="20">
        <v>0.72699999999999998</v>
      </c>
    </row>
    <row r="14" spans="1:13" x14ac:dyDescent="0.25">
      <c r="A14" s="7" t="s">
        <v>208</v>
      </c>
      <c r="C14" s="10">
        <v>164</v>
      </c>
      <c r="D14" s="10">
        <v>166</v>
      </c>
      <c r="E14" s="10">
        <v>169</v>
      </c>
      <c r="F14" s="10">
        <v>170</v>
      </c>
      <c r="G14" s="10">
        <v>172</v>
      </c>
      <c r="H14" s="10">
        <v>172</v>
      </c>
      <c r="I14" s="10">
        <v>173</v>
      </c>
      <c r="J14" s="10">
        <v>172</v>
      </c>
      <c r="K14" s="10">
        <v>171</v>
      </c>
      <c r="L14" s="10">
        <v>169</v>
      </c>
      <c r="M14" s="10">
        <v>167</v>
      </c>
    </row>
    <row r="15" spans="1:13" x14ac:dyDescent="0.25">
      <c r="A15" s="7"/>
      <c r="C15" s="10">
        <f>C10*C13</f>
        <v>163.81799999999998</v>
      </c>
      <c r="D15" s="10">
        <f>D10*D13</f>
        <v>166.32</v>
      </c>
      <c r="E15" s="10">
        <f>E10*E13</f>
        <v>168.33</v>
      </c>
      <c r="F15" s="10">
        <f>F10*F13</f>
        <v>170.73099999999999</v>
      </c>
      <c r="G15" s="10">
        <f>G10*G13</f>
        <v>171.45600000000002</v>
      </c>
      <c r="H15" s="10">
        <f>H10*H13</f>
        <v>172.458</v>
      </c>
      <c r="I15" s="10">
        <f>I10*I13</f>
        <v>172.584</v>
      </c>
      <c r="J15" s="10">
        <f>J10*J13</f>
        <v>172.2</v>
      </c>
      <c r="K15" s="10">
        <f>K10*K13</f>
        <v>170.85599999999999</v>
      </c>
      <c r="L15" s="10">
        <f>L10*L13</f>
        <v>169.48</v>
      </c>
      <c r="M15" s="10">
        <f>M10*M13</f>
        <v>167.21</v>
      </c>
    </row>
    <row r="16" spans="1:13" x14ac:dyDescent="0.25">
      <c r="A16" s="7"/>
      <c r="C16" s="10">
        <f>C15-C14</f>
        <v>-0.18200000000001637</v>
      </c>
      <c r="D16" s="10">
        <f>D15-D14</f>
        <v>0.31999999999999318</v>
      </c>
      <c r="E16" s="10">
        <f>E15-E14</f>
        <v>-0.66999999999998749</v>
      </c>
      <c r="F16" s="10">
        <f>F15-F14</f>
        <v>0.73099999999999454</v>
      </c>
      <c r="G16" s="10">
        <f>G15-G14</f>
        <v>-0.54399999999998272</v>
      </c>
      <c r="H16" s="10">
        <f>H15-H14</f>
        <v>0.45799999999999841</v>
      </c>
      <c r="I16" s="10">
        <f>I15-I14</f>
        <v>-0.41599999999999682</v>
      </c>
      <c r="J16" s="10">
        <f>J15-J14</f>
        <v>0.19999999999998863</v>
      </c>
      <c r="K16" s="10">
        <f>K15-K14</f>
        <v>-0.14400000000000546</v>
      </c>
      <c r="L16" s="10">
        <f>L15-L14</f>
        <v>0.47999999999998977</v>
      </c>
      <c r="M16" s="10">
        <f>M15-M14</f>
        <v>0.21000000000000796</v>
      </c>
    </row>
    <row r="17" spans="1:13" x14ac:dyDescent="0.25">
      <c r="A17" s="6" t="s">
        <v>205</v>
      </c>
      <c r="C17" s="13">
        <v>164</v>
      </c>
      <c r="D17" s="13">
        <v>166</v>
      </c>
      <c r="E17" s="13">
        <v>169</v>
      </c>
      <c r="F17" s="13">
        <v>170</v>
      </c>
      <c r="G17" s="13">
        <v>172</v>
      </c>
      <c r="H17" s="13">
        <v>172</v>
      </c>
      <c r="I17" s="13">
        <v>173</v>
      </c>
      <c r="J17" s="13">
        <v>172</v>
      </c>
      <c r="K17" s="13">
        <v>171</v>
      </c>
      <c r="L17" s="13">
        <v>169</v>
      </c>
      <c r="M17" s="13">
        <v>167</v>
      </c>
    </row>
    <row r="18" spans="1:13" x14ac:dyDescent="0.25">
      <c r="A18" s="6" t="s">
        <v>106</v>
      </c>
      <c r="C18" s="13">
        <v>67</v>
      </c>
      <c r="D18" s="13">
        <v>68</v>
      </c>
      <c r="E18" s="13">
        <v>69</v>
      </c>
      <c r="F18" s="13">
        <v>69</v>
      </c>
      <c r="G18" s="13">
        <v>70</v>
      </c>
      <c r="H18" s="13">
        <v>70</v>
      </c>
      <c r="I18" s="13">
        <v>70</v>
      </c>
      <c r="J18" s="13">
        <v>70</v>
      </c>
      <c r="K18" s="13">
        <v>70</v>
      </c>
      <c r="L18" s="13">
        <v>69</v>
      </c>
      <c r="M18" s="13">
        <v>68</v>
      </c>
    </row>
    <row r="19" spans="1:13" x14ac:dyDescent="0.25">
      <c r="A19" s="7" t="s">
        <v>107</v>
      </c>
      <c r="C19" s="19">
        <v>-8</v>
      </c>
      <c r="D19" s="19">
        <v>-8</v>
      </c>
      <c r="E19" s="19">
        <v>-8</v>
      </c>
      <c r="F19" s="19">
        <v>-8</v>
      </c>
      <c r="G19" s="19">
        <v>-8</v>
      </c>
      <c r="H19" s="19">
        <v>-8</v>
      </c>
      <c r="I19" s="19">
        <v>-8</v>
      </c>
      <c r="J19" s="19">
        <v>-8</v>
      </c>
      <c r="K19" s="19">
        <v>-8</v>
      </c>
      <c r="L19" s="19">
        <v>-8</v>
      </c>
      <c r="M19" s="19">
        <v>-8</v>
      </c>
    </row>
    <row r="20" spans="1:13" x14ac:dyDescent="0.25">
      <c r="A20" s="6" t="s">
        <v>211</v>
      </c>
      <c r="C20" s="13">
        <v>59</v>
      </c>
      <c r="D20" s="13">
        <v>60</v>
      </c>
      <c r="E20" s="13">
        <v>60</v>
      </c>
      <c r="F20" s="13">
        <v>61</v>
      </c>
      <c r="G20" s="13">
        <v>62</v>
      </c>
      <c r="H20" s="13">
        <v>62</v>
      </c>
      <c r="I20" s="13">
        <v>62</v>
      </c>
      <c r="J20" s="13">
        <v>62</v>
      </c>
      <c r="K20" s="13">
        <v>61</v>
      </c>
      <c r="L20" s="13">
        <v>61</v>
      </c>
      <c r="M20" s="13">
        <v>60</v>
      </c>
    </row>
    <row r="21" spans="1:13" x14ac:dyDescent="0.25">
      <c r="A21" s="6"/>
      <c r="C21" s="13">
        <f>SUM(C18,C19)</f>
        <v>59</v>
      </c>
      <c r="D21" s="13">
        <f>SUM(D18,D19)</f>
        <v>60</v>
      </c>
      <c r="E21" s="13">
        <f>SUM(E18,E19)</f>
        <v>61</v>
      </c>
      <c r="F21" s="13">
        <f>SUM(F18,F19)</f>
        <v>61</v>
      </c>
      <c r="G21" s="13">
        <f>SUM(G18,G19)</f>
        <v>62</v>
      </c>
      <c r="H21" s="13">
        <f>SUM(H18,H19)</f>
        <v>62</v>
      </c>
      <c r="I21" s="13">
        <f>SUM(I18,I19)</f>
        <v>62</v>
      </c>
      <c r="J21" s="13">
        <f>SUM(J18,J19)</f>
        <v>62</v>
      </c>
      <c r="K21" s="13">
        <f>SUM(K18,K19)</f>
        <v>62</v>
      </c>
      <c r="L21" s="13">
        <f>SUM(L18,L19)</f>
        <v>61</v>
      </c>
      <c r="M21" s="13">
        <f>SUM(M18,M19)</f>
        <v>60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1</v>
      </c>
      <c r="F22" s="13">
        <f>F21-F20</f>
        <v>0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0</v>
      </c>
      <c r="K22" s="13">
        <f>K21-K20</f>
        <v>1</v>
      </c>
      <c r="L22" s="13">
        <f>L21-L20</f>
        <v>0</v>
      </c>
      <c r="M22" s="13">
        <f>M21-M20</f>
        <v>0</v>
      </c>
    </row>
    <row r="23" spans="1:13" x14ac:dyDescent="0.25">
      <c r="A23" s="7" t="s">
        <v>210</v>
      </c>
      <c r="B23" s="20">
        <v>1.4999999999999999E-2</v>
      </c>
      <c r="C23" s="19">
        <v>-2</v>
      </c>
      <c r="D23" s="19">
        <v>-2</v>
      </c>
      <c r="E23" s="19">
        <v>-3</v>
      </c>
      <c r="F23" s="19">
        <v>-3</v>
      </c>
      <c r="G23" s="19">
        <v>-3</v>
      </c>
      <c r="H23" s="19">
        <v>-3</v>
      </c>
      <c r="I23" s="19">
        <v>-3</v>
      </c>
      <c r="J23" s="19">
        <v>-3</v>
      </c>
      <c r="K23" s="19">
        <v>-3</v>
      </c>
      <c r="L23" s="19">
        <v>-3</v>
      </c>
      <c r="M23" s="19">
        <v>-3</v>
      </c>
    </row>
    <row r="24" spans="1:13" x14ac:dyDescent="0.25">
      <c r="A24" s="7"/>
      <c r="B24" s="20"/>
      <c r="C24" s="19">
        <f>C10*B23</f>
        <v>2.5649999999999999</v>
      </c>
      <c r="D24" s="19">
        <f>D10*B23</f>
        <v>2.6399999999999997</v>
      </c>
      <c r="E24" s="19">
        <f>E10*B23</f>
        <v>2.7149999999999999</v>
      </c>
      <c r="F24" s="19">
        <f>F10*B23</f>
        <v>2.8049999999999997</v>
      </c>
      <c r="G24" s="19">
        <f>G10*B23</f>
        <v>2.88</v>
      </c>
      <c r="H24" s="19">
        <f>H10*B23</f>
        <v>2.9699999999999998</v>
      </c>
      <c r="I24" s="19">
        <f>I10*B23</f>
        <v>3.06</v>
      </c>
      <c r="J24" s="19">
        <f>J10*B23</f>
        <v>3.15</v>
      </c>
      <c r="K24" s="19">
        <f>K10*B23</f>
        <v>3.2399999999999998</v>
      </c>
      <c r="L24" s="19">
        <f>L10*B23</f>
        <v>3.3449999999999998</v>
      </c>
      <c r="M24" s="19">
        <f>M10*B23</f>
        <v>3.4499999999999997</v>
      </c>
    </row>
    <row r="25" spans="1:13" x14ac:dyDescent="0.25">
      <c r="A25" s="7"/>
      <c r="B25" s="20"/>
      <c r="C25" s="19">
        <f>C24-C23</f>
        <v>4.5649999999999995</v>
      </c>
      <c r="D25" s="19">
        <f>D24-D23</f>
        <v>4.6399999999999997</v>
      </c>
      <c r="E25" s="19">
        <f>E24-E23</f>
        <v>5.7149999999999999</v>
      </c>
      <c r="F25" s="19">
        <f>F24-F23</f>
        <v>5.8049999999999997</v>
      </c>
      <c r="G25" s="19">
        <f>G24-G23</f>
        <v>5.88</v>
      </c>
      <c r="H25" s="19">
        <f>H24-H23</f>
        <v>5.97</v>
      </c>
      <c r="I25" s="19">
        <f>I24-I23</f>
        <v>6.0600000000000005</v>
      </c>
      <c r="J25" s="19">
        <f>J24-J23</f>
        <v>6.15</v>
      </c>
      <c r="K25" s="19">
        <f>K24-K23</f>
        <v>6.24</v>
      </c>
      <c r="L25" s="19">
        <f>L24-L23</f>
        <v>6.3449999999999998</v>
      </c>
      <c r="M25" s="19">
        <f>M24-M23</f>
        <v>6.4499999999999993</v>
      </c>
    </row>
    <row r="26" spans="1:13" x14ac:dyDescent="0.25">
      <c r="A26" s="6" t="s">
        <v>108</v>
      </c>
      <c r="C26" s="13">
        <v>56</v>
      </c>
      <c r="D26" s="13">
        <v>57</v>
      </c>
      <c r="E26" s="13">
        <v>58</v>
      </c>
      <c r="F26" s="13">
        <v>59</v>
      </c>
      <c r="G26" s="13">
        <v>59</v>
      </c>
      <c r="H26" s="13">
        <v>59</v>
      </c>
      <c r="I26" s="13">
        <v>59</v>
      </c>
      <c r="J26" s="13">
        <v>59</v>
      </c>
      <c r="K26" s="13">
        <v>59</v>
      </c>
      <c r="L26" s="13">
        <v>58</v>
      </c>
      <c r="M26" s="13">
        <v>57</v>
      </c>
    </row>
    <row r="27" spans="1:13" x14ac:dyDescent="0.25">
      <c r="A27" s="6"/>
      <c r="C27" s="13">
        <f>SUM(C20,C23)</f>
        <v>57</v>
      </c>
      <c r="D27" s="13">
        <f>SUM(D20,D23)</f>
        <v>58</v>
      </c>
      <c r="E27" s="13">
        <f>SUM(E20,E23)</f>
        <v>57</v>
      </c>
      <c r="F27" s="13">
        <f>SUM(F20,F23)</f>
        <v>58</v>
      </c>
      <c r="G27" s="13">
        <f>SUM(G20,G23)</f>
        <v>59</v>
      </c>
      <c r="H27" s="13">
        <f>SUM(H20,H23)</f>
        <v>59</v>
      </c>
      <c r="I27" s="13">
        <f>SUM(I20,I23)</f>
        <v>59</v>
      </c>
      <c r="J27" s="13">
        <f>SUM(J20,J23)</f>
        <v>59</v>
      </c>
      <c r="K27" s="13">
        <f>SUM(K20,K23)</f>
        <v>58</v>
      </c>
      <c r="L27" s="13">
        <f>SUM(L20,L23)</f>
        <v>58</v>
      </c>
      <c r="M27" s="13">
        <f>SUM(M20,M23)</f>
        <v>57</v>
      </c>
    </row>
    <row r="28" spans="1:13" x14ac:dyDescent="0.25">
      <c r="A28" s="6"/>
      <c r="C28" s="13">
        <f>C27-C26</f>
        <v>1</v>
      </c>
      <c r="D28" s="13">
        <f>D27-D26</f>
        <v>1</v>
      </c>
      <c r="E28" s="13">
        <f>E27-E26</f>
        <v>-1</v>
      </c>
      <c r="F28" s="13">
        <f>F27-F26</f>
        <v>-1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-1</v>
      </c>
      <c r="L28" s="13">
        <f>L27-L26</f>
        <v>0</v>
      </c>
      <c r="M28" s="13">
        <f>M27-M26</f>
        <v>0</v>
      </c>
    </row>
    <row r="29" spans="1:13" x14ac:dyDescent="0.25">
      <c r="A29" s="7" t="s">
        <v>212</v>
      </c>
      <c r="B29" s="20">
        <v>0.218</v>
      </c>
      <c r="C29" s="19">
        <v>-12</v>
      </c>
      <c r="D29" s="19">
        <v>-12</v>
      </c>
      <c r="E29" s="19">
        <v>-13</v>
      </c>
      <c r="F29" s="19">
        <v>-13</v>
      </c>
      <c r="G29" s="19">
        <v>-13</v>
      </c>
      <c r="H29" s="19">
        <v>-13</v>
      </c>
      <c r="I29" s="19">
        <v>-13</v>
      </c>
      <c r="J29" s="19">
        <v>-13</v>
      </c>
      <c r="K29" s="19">
        <v>-13</v>
      </c>
      <c r="L29" s="19">
        <v>-13</v>
      </c>
      <c r="M29" s="19">
        <v>-13</v>
      </c>
    </row>
    <row r="30" spans="1:13" x14ac:dyDescent="0.25">
      <c r="A30" s="7"/>
      <c r="B30" s="20"/>
      <c r="C30" s="19">
        <f>C26*B29</f>
        <v>12.208</v>
      </c>
      <c r="D30" s="19">
        <f>D26*B29</f>
        <v>12.426</v>
      </c>
      <c r="E30" s="19">
        <f>E26*B29</f>
        <v>12.644</v>
      </c>
      <c r="F30" s="19">
        <f>F26*B29</f>
        <v>12.862</v>
      </c>
      <c r="G30" s="19">
        <f>G26*B29</f>
        <v>12.862</v>
      </c>
      <c r="H30" s="19">
        <f>H26*B29</f>
        <v>12.862</v>
      </c>
      <c r="I30" s="19">
        <f>I26*B29</f>
        <v>12.862</v>
      </c>
      <c r="J30" s="19">
        <f>J26*B29</f>
        <v>12.862</v>
      </c>
      <c r="K30" s="19">
        <f>K26*B29</f>
        <v>12.862</v>
      </c>
      <c r="L30" s="19">
        <f>L26*B29</f>
        <v>12.644</v>
      </c>
      <c r="M30" s="19">
        <f>M26*B29</f>
        <v>12.426</v>
      </c>
    </row>
    <row r="31" spans="1:13" x14ac:dyDescent="0.25">
      <c r="A31" s="7"/>
      <c r="B31" s="20"/>
      <c r="C31" s="19">
        <f>C30-C29</f>
        <v>24.207999999999998</v>
      </c>
      <c r="D31" s="19">
        <f>D30-D29</f>
        <v>24.426000000000002</v>
      </c>
      <c r="E31" s="19">
        <f>E30-E29</f>
        <v>25.643999999999998</v>
      </c>
      <c r="F31" s="19">
        <f>F30-F29</f>
        <v>25.862000000000002</v>
      </c>
      <c r="G31" s="19">
        <f>G30-G29</f>
        <v>25.862000000000002</v>
      </c>
      <c r="H31" s="19">
        <f>H30-H29</f>
        <v>25.862000000000002</v>
      </c>
      <c r="I31" s="19">
        <f>I30-I29</f>
        <v>25.862000000000002</v>
      </c>
      <c r="J31" s="19">
        <f>J30-J29</f>
        <v>25.862000000000002</v>
      </c>
      <c r="K31" s="19">
        <f>K30-K29</f>
        <v>25.862000000000002</v>
      </c>
      <c r="L31" s="19">
        <f>L30-L29</f>
        <v>25.643999999999998</v>
      </c>
      <c r="M31" s="19">
        <f>M30-M29</f>
        <v>25.426000000000002</v>
      </c>
    </row>
    <row r="32" spans="1:13" x14ac:dyDescent="0.25">
      <c r="A32" s="6" t="s">
        <v>213</v>
      </c>
      <c r="C32" s="13">
        <v>44</v>
      </c>
      <c r="D32" s="13">
        <v>45</v>
      </c>
      <c r="E32" s="13">
        <v>45</v>
      </c>
      <c r="F32" s="13">
        <v>46</v>
      </c>
      <c r="G32" s="13">
        <v>46</v>
      </c>
      <c r="H32" s="13">
        <v>46</v>
      </c>
      <c r="I32" s="13">
        <v>46</v>
      </c>
      <c r="J32" s="13">
        <v>46</v>
      </c>
      <c r="K32" s="13">
        <v>46</v>
      </c>
      <c r="L32" s="13">
        <v>46</v>
      </c>
      <c r="M32" s="13">
        <v>45</v>
      </c>
    </row>
    <row r="33" spans="1:13" x14ac:dyDescent="0.25">
      <c r="A33" s="6"/>
      <c r="C33" s="13">
        <f>SUM(C26,C29)</f>
        <v>44</v>
      </c>
      <c r="D33" s="13">
        <f>SUM(D26,D29)</f>
        <v>45</v>
      </c>
      <c r="E33" s="13">
        <f>SUM(E26,E29)</f>
        <v>45</v>
      </c>
      <c r="F33" s="13">
        <f>SUM(F26,F29)</f>
        <v>46</v>
      </c>
      <c r="G33" s="13">
        <f>SUM(G26,G29)</f>
        <v>46</v>
      </c>
      <c r="H33" s="13">
        <f>SUM(H26,H29)</f>
        <v>46</v>
      </c>
      <c r="I33" s="13">
        <f>SUM(I26,I29)</f>
        <v>46</v>
      </c>
      <c r="J33" s="13">
        <f>SUM(J26,J29)</f>
        <v>46</v>
      </c>
      <c r="K33" s="13">
        <f>SUM(K26,K29)</f>
        <v>46</v>
      </c>
      <c r="L33" s="13">
        <f>SUM(L26,L29)</f>
        <v>45</v>
      </c>
      <c r="M33" s="13">
        <f>SUM(M26,M29)</f>
        <v>44</v>
      </c>
    </row>
    <row r="34" spans="1:13" x14ac:dyDescent="0.25">
      <c r="A34" s="6"/>
      <c r="C34" s="13">
        <f>C33-C32</f>
        <v>0</v>
      </c>
      <c r="D34" s="13">
        <f>D33-D32</f>
        <v>0</v>
      </c>
      <c r="E34" s="13">
        <f>E33-E32</f>
        <v>0</v>
      </c>
      <c r="F34" s="13">
        <f>F33-F32</f>
        <v>0</v>
      </c>
      <c r="G34" s="13">
        <f>G33-G32</f>
        <v>0</v>
      </c>
      <c r="H34" s="13">
        <f>H33-H32</f>
        <v>0</v>
      </c>
      <c r="I34" s="13">
        <f>I33-I32</f>
        <v>0</v>
      </c>
      <c r="J34" s="13">
        <f>J33-J32</f>
        <v>0</v>
      </c>
      <c r="K34" s="13">
        <f>K33-K32</f>
        <v>0</v>
      </c>
      <c r="L34" s="13">
        <f>L33-L32</f>
        <v>-1</v>
      </c>
      <c r="M34" s="13">
        <f>M33-M32</f>
        <v>-1</v>
      </c>
    </row>
    <row r="35" spans="1:13" x14ac:dyDescent="0.25">
      <c r="A35" s="7" t="s">
        <v>214</v>
      </c>
      <c r="C35" s="19">
        <v>-3</v>
      </c>
      <c r="D35" s="19">
        <v>-3</v>
      </c>
      <c r="E35" s="19">
        <v>-3</v>
      </c>
      <c r="F35" s="19">
        <v>-3</v>
      </c>
      <c r="G35" s="19">
        <v>-3</v>
      </c>
      <c r="H35" s="19">
        <v>-3</v>
      </c>
      <c r="I35" s="19">
        <v>-3</v>
      </c>
      <c r="J35" s="19">
        <v>-3</v>
      </c>
      <c r="K35" s="19">
        <v>-3</v>
      </c>
      <c r="L35" s="19">
        <v>-3</v>
      </c>
      <c r="M35" s="19">
        <v>-3</v>
      </c>
    </row>
    <row r="36" spans="1:13" x14ac:dyDescent="0.25">
      <c r="A36" s="6" t="s">
        <v>215</v>
      </c>
      <c r="C36" s="13">
        <v>41</v>
      </c>
      <c r="D36" s="13">
        <v>42</v>
      </c>
      <c r="E36" s="13">
        <v>42</v>
      </c>
      <c r="F36" s="13">
        <v>43</v>
      </c>
      <c r="G36" s="13">
        <v>43</v>
      </c>
      <c r="H36" s="13">
        <v>43</v>
      </c>
      <c r="I36" s="13">
        <v>43</v>
      </c>
      <c r="J36" s="13">
        <v>43</v>
      </c>
      <c r="K36" s="13">
        <v>43</v>
      </c>
      <c r="L36" s="13">
        <v>42</v>
      </c>
      <c r="M36" s="13">
        <v>42</v>
      </c>
    </row>
    <row r="37" spans="1:13" x14ac:dyDescent="0.25">
      <c r="A37" s="6"/>
      <c r="C37" s="13">
        <f>SUM(C32,C35)</f>
        <v>41</v>
      </c>
      <c r="D37" s="13">
        <f>SUM(D32,D35)</f>
        <v>42</v>
      </c>
      <c r="E37" s="13">
        <f>SUM(E32,E35)</f>
        <v>42</v>
      </c>
      <c r="F37" s="13">
        <f>SUM(F32,F35)</f>
        <v>43</v>
      </c>
      <c r="G37" s="13">
        <f>SUM(G32,G35)</f>
        <v>43</v>
      </c>
      <c r="H37" s="13">
        <f>SUM(H32,H35)</f>
        <v>43</v>
      </c>
      <c r="I37" s="13">
        <f>SUM(I32,I35)</f>
        <v>43</v>
      </c>
      <c r="J37" s="13">
        <f>SUM(J32,J35)</f>
        <v>43</v>
      </c>
      <c r="K37" s="13">
        <f>SUM(K32,K35)</f>
        <v>43</v>
      </c>
      <c r="L37" s="13">
        <f>SUM(L32,L35)</f>
        <v>43</v>
      </c>
      <c r="M37" s="13">
        <f>SUM(M32,M35)</f>
        <v>42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0</v>
      </c>
      <c r="L38" s="13">
        <f>L37-L36</f>
        <v>1</v>
      </c>
      <c r="M38" s="13">
        <f>M37-M36</f>
        <v>0</v>
      </c>
    </row>
    <row r="39" spans="1:13" x14ac:dyDescent="0.25">
      <c r="A39" s="7" t="s">
        <v>115</v>
      </c>
      <c r="B39" s="20">
        <v>0.11</v>
      </c>
      <c r="C39" s="23">
        <v>0.32590000000000002</v>
      </c>
      <c r="D39" s="23">
        <v>0.29360000000000003</v>
      </c>
      <c r="E39" s="23">
        <v>0.26450000000000001</v>
      </c>
      <c r="F39" s="23">
        <v>0.23830000000000001</v>
      </c>
      <c r="G39" s="23">
        <v>0.2147</v>
      </c>
      <c r="H39" s="23">
        <v>0.19339999999999999</v>
      </c>
      <c r="I39" s="23">
        <v>0.17419999999999999</v>
      </c>
      <c r="J39" s="24">
        <v>0.157</v>
      </c>
      <c r="K39" s="23">
        <v>0.1414</v>
      </c>
      <c r="L39" s="23">
        <v>0.12740000000000001</v>
      </c>
      <c r="M39" s="23">
        <v>0.1148</v>
      </c>
    </row>
    <row r="40" spans="1:13" x14ac:dyDescent="0.25">
      <c r="A40" s="6" t="s">
        <v>116</v>
      </c>
      <c r="C40" s="13">
        <v>13</v>
      </c>
      <c r="D40" s="13">
        <v>12</v>
      </c>
      <c r="E40" s="13">
        <v>11</v>
      </c>
      <c r="F40" s="13">
        <v>10</v>
      </c>
      <c r="G40" s="13">
        <v>9</v>
      </c>
      <c r="H40" s="13">
        <v>8</v>
      </c>
      <c r="I40" s="13">
        <v>8</v>
      </c>
      <c r="J40" s="13">
        <v>7</v>
      </c>
      <c r="K40" s="13">
        <v>6</v>
      </c>
      <c r="L40" s="13">
        <v>5</v>
      </c>
      <c r="M40" s="13">
        <v>5</v>
      </c>
    </row>
    <row r="41" spans="1:13" x14ac:dyDescent="0.25">
      <c r="A41" s="6"/>
      <c r="C41" s="13">
        <f>C36*C39</f>
        <v>13.3619</v>
      </c>
      <c r="D41" s="13">
        <f>D36*D39</f>
        <v>12.331200000000001</v>
      </c>
      <c r="E41" s="13">
        <f>E36*E39</f>
        <v>11.109</v>
      </c>
      <c r="F41" s="13">
        <f>F36*F39</f>
        <v>10.2469</v>
      </c>
      <c r="G41" s="13">
        <f>G36*G39</f>
        <v>9.2321000000000009</v>
      </c>
      <c r="H41" s="13">
        <f>H36*H39</f>
        <v>8.3162000000000003</v>
      </c>
      <c r="I41" s="13">
        <f>I36*I39</f>
        <v>7.4905999999999997</v>
      </c>
      <c r="J41" s="13">
        <f>J36*J39</f>
        <v>6.7510000000000003</v>
      </c>
      <c r="K41" s="13">
        <f>K36*K39</f>
        <v>6.0801999999999996</v>
      </c>
      <c r="L41" s="13">
        <f>L36*L39</f>
        <v>5.3508000000000004</v>
      </c>
      <c r="M41" s="13">
        <f>M36*M39</f>
        <v>4.8216000000000001</v>
      </c>
    </row>
    <row r="42" spans="1:13" x14ac:dyDescent="0.25">
      <c r="A42" s="6"/>
      <c r="C42" s="13">
        <f>C41-C40</f>
        <v>0.36190000000000033</v>
      </c>
      <c r="D42" s="13">
        <f>D41-D40</f>
        <v>0.33120000000000083</v>
      </c>
      <c r="E42" s="13">
        <f>E41-E40</f>
        <v>0.10899999999999999</v>
      </c>
      <c r="F42" s="13">
        <f>F41-F40</f>
        <v>0.24690000000000012</v>
      </c>
      <c r="G42" s="13">
        <f>G41-G40</f>
        <v>0.23210000000000086</v>
      </c>
      <c r="H42" s="13">
        <f>H41-H40</f>
        <v>0.31620000000000026</v>
      </c>
      <c r="I42" s="13">
        <f>I41-I40</f>
        <v>-0.5094000000000003</v>
      </c>
      <c r="J42" s="13">
        <f>J41-J40</f>
        <v>-0.24899999999999967</v>
      </c>
      <c r="K42" s="13">
        <f>K41-K40</f>
        <v>8.0199999999999605E-2</v>
      </c>
      <c r="L42" s="13">
        <f>L41-L40</f>
        <v>0.35080000000000044</v>
      </c>
      <c r="M42" s="13">
        <f>M41-M40</f>
        <v>-0.17839999999999989</v>
      </c>
    </row>
    <row r="43" spans="1:13" x14ac:dyDescent="0.25">
      <c r="A43" s="9" t="s">
        <v>221</v>
      </c>
    </row>
    <row r="44" spans="1:13" x14ac:dyDescent="0.25">
      <c r="A44" s="7" t="s">
        <v>222</v>
      </c>
      <c r="C44" s="20">
        <v>0.03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  <c r="L44" s="20">
        <v>0.03</v>
      </c>
      <c r="M44" s="20">
        <v>0.03</v>
      </c>
    </row>
    <row r="45" spans="1:13" x14ac:dyDescent="0.25">
      <c r="A45" s="7" t="s">
        <v>224</v>
      </c>
      <c r="C45" s="20">
        <v>0.40799999999999997</v>
      </c>
      <c r="D45" s="20">
        <v>0.40799999999999997</v>
      </c>
      <c r="E45" s="20">
        <v>0.40799999999999997</v>
      </c>
      <c r="F45" s="20">
        <v>0.40799999999999997</v>
      </c>
      <c r="G45" s="20">
        <v>0.40799999999999997</v>
      </c>
      <c r="H45" s="20">
        <v>0.40799999999999997</v>
      </c>
      <c r="I45" s="20">
        <v>0.40799999999999997</v>
      </c>
      <c r="J45" s="20">
        <v>0.40799999999999997</v>
      </c>
      <c r="K45" s="20">
        <v>0.40799999999999997</v>
      </c>
      <c r="L45" s="20">
        <v>0.40799999999999997</v>
      </c>
      <c r="M45" s="20">
        <v>0.40799999999999997</v>
      </c>
    </row>
    <row r="46" spans="1:13" x14ac:dyDescent="0.25">
      <c r="A46" s="7" t="s">
        <v>107</v>
      </c>
      <c r="C46" s="20">
        <v>4.9000000000000002E-2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  <c r="L46" s="20">
        <v>4.9000000000000002E-2</v>
      </c>
      <c r="M46" s="20">
        <v>4.9000000000000002E-2</v>
      </c>
    </row>
    <row r="47" spans="1:13" x14ac:dyDescent="0.25">
      <c r="A47" s="7" t="s">
        <v>225</v>
      </c>
      <c r="C47" s="20">
        <v>0.35899999999999999</v>
      </c>
      <c r="D47" s="20">
        <v>0.35899999999999999</v>
      </c>
      <c r="E47" s="20">
        <v>0.35899999999999999</v>
      </c>
      <c r="F47" s="20">
        <v>0.35899999999999999</v>
      </c>
      <c r="G47" s="20">
        <v>0.35899999999999999</v>
      </c>
      <c r="H47" s="20">
        <v>0.35899999999999999</v>
      </c>
      <c r="I47" s="20">
        <v>0.35899999999999999</v>
      </c>
      <c r="J47" s="20">
        <v>0.35899999999999999</v>
      </c>
      <c r="K47" s="20">
        <v>0.35899999999999999</v>
      </c>
      <c r="L47" s="20">
        <v>0.35899999999999999</v>
      </c>
      <c r="M47" s="20">
        <v>0.35899999999999999</v>
      </c>
    </row>
    <row r="48" spans="1:13" x14ac:dyDescent="0.25">
      <c r="A48" s="7" t="s">
        <v>240</v>
      </c>
      <c r="C48" s="20">
        <v>1.7999999999999999E-2</v>
      </c>
      <c r="D48" s="20">
        <v>1.7999999999999999E-2</v>
      </c>
      <c r="E48" s="20">
        <v>1.7999999999999999E-2</v>
      </c>
      <c r="F48" s="20">
        <v>1.7999999999999999E-2</v>
      </c>
      <c r="G48" s="20">
        <v>1.7999999999999999E-2</v>
      </c>
      <c r="H48" s="20">
        <v>1.7999999999999999E-2</v>
      </c>
      <c r="I48" s="20">
        <v>1.7999999999999999E-2</v>
      </c>
      <c r="J48" s="20">
        <v>1.7999999999999999E-2</v>
      </c>
      <c r="K48" s="20">
        <v>1.7999999999999999E-2</v>
      </c>
      <c r="L48" s="20">
        <v>1.7999999999999999E-2</v>
      </c>
      <c r="M48" s="20">
        <v>1.7999999999999999E-2</v>
      </c>
    </row>
    <row r="49" spans="1:13" x14ac:dyDescent="0.25">
      <c r="A49" s="16" t="s">
        <v>127</v>
      </c>
    </row>
    <row r="50" spans="1:13" x14ac:dyDescent="0.25">
      <c r="A50" s="7" t="s">
        <v>227</v>
      </c>
    </row>
    <row r="51" spans="1:13" x14ac:dyDescent="0.25">
      <c r="A51" s="16" t="s">
        <v>61</v>
      </c>
    </row>
    <row r="52" spans="1:13" x14ac:dyDescent="0.25">
      <c r="A52" s="9" t="s">
        <v>62</v>
      </c>
      <c r="M52" s="32" t="s">
        <v>63</v>
      </c>
    </row>
    <row r="53" spans="1:13" x14ac:dyDescent="0.25">
      <c r="A53" s="9"/>
      <c r="M53" s="32"/>
    </row>
    <row r="54" spans="1:13" x14ac:dyDescent="0.25">
      <c r="A54" s="9"/>
      <c r="M54" s="32"/>
    </row>
    <row r="55" spans="1:13" x14ac:dyDescent="0.25">
      <c r="G55" s="5" t="s">
        <v>6</v>
      </c>
    </row>
    <row r="56" spans="1:13" x14ac:dyDescent="0.25">
      <c r="G56" s="5"/>
    </row>
    <row r="57" spans="1:13" x14ac:dyDescent="0.25">
      <c r="G57" s="5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2:M5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273</v>
      </c>
    </row>
    <row r="3" spans="1:13" x14ac:dyDescent="0.25">
      <c r="A3" s="6" t="s">
        <v>9</v>
      </c>
    </row>
    <row r="4" spans="1:13" x14ac:dyDescent="0.25">
      <c r="A4" s="6" t="s">
        <v>271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236</v>
      </c>
      <c r="D8" s="10">
        <v>244</v>
      </c>
      <c r="E8" s="10">
        <v>251</v>
      </c>
      <c r="F8" s="10">
        <v>258</v>
      </c>
      <c r="G8" s="10">
        <v>266</v>
      </c>
      <c r="H8" s="10">
        <v>274</v>
      </c>
      <c r="I8" s="10">
        <v>282</v>
      </c>
      <c r="J8" s="10">
        <v>291</v>
      </c>
      <c r="K8" s="10">
        <v>300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236</v>
      </c>
      <c r="D10" s="10">
        <v>244</v>
      </c>
      <c r="E10" s="10">
        <v>251</v>
      </c>
      <c r="F10" s="10">
        <v>258</v>
      </c>
      <c r="G10" s="10">
        <v>266</v>
      </c>
      <c r="H10" s="10">
        <v>274</v>
      </c>
      <c r="I10" s="10">
        <v>282</v>
      </c>
      <c r="J10" s="10">
        <v>291</v>
      </c>
      <c r="K10" s="10">
        <v>300</v>
      </c>
    </row>
    <row r="11" spans="1:13" x14ac:dyDescent="0.25">
      <c r="A11" s="7"/>
      <c r="C11" s="10">
        <f>SUM(C8:C9)</f>
        <v>236</v>
      </c>
      <c r="D11" s="10">
        <f>SUM(D8:D9)</f>
        <v>244</v>
      </c>
      <c r="E11" s="10">
        <f>SUM(E8:E9)</f>
        <v>251</v>
      </c>
      <c r="F11" s="10">
        <f>SUM(F8:F9)</f>
        <v>258</v>
      </c>
      <c r="G11" s="10">
        <f>SUM(G8:G9)</f>
        <v>266</v>
      </c>
      <c r="H11" s="10">
        <f>SUM(H8:H9)</f>
        <v>274</v>
      </c>
      <c r="I11" s="10">
        <f>SUM(I8:I9)</f>
        <v>282</v>
      </c>
      <c r="J11" s="10">
        <f>SUM(J8:J9)</f>
        <v>291</v>
      </c>
      <c r="K11" s="10">
        <f>SUM(K8:K9)</f>
        <v>300</v>
      </c>
      <c r="L11">
        <f>SUM(L8:L9)</f>
        <v>0</v>
      </c>
      <c r="M11">
        <f>SUM(M8:M9)</f>
        <v>0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206</v>
      </c>
      <c r="B13" s="7" t="s">
        <v>207</v>
      </c>
      <c r="C13" s="20">
        <v>0.69199999999999995</v>
      </c>
      <c r="D13" s="20">
        <v>0.65600000000000003</v>
      </c>
      <c r="E13" s="20">
        <v>0.61799999999999999</v>
      </c>
      <c r="F13" s="20">
        <v>0.57999999999999996</v>
      </c>
      <c r="G13" s="20">
        <v>0.54100000000000004</v>
      </c>
      <c r="H13" s="20">
        <v>0.502</v>
      </c>
      <c r="I13" s="20">
        <v>0.46300000000000002</v>
      </c>
      <c r="J13" s="20">
        <v>0.42399999999999999</v>
      </c>
      <c r="K13" s="20">
        <v>0.38700000000000001</v>
      </c>
    </row>
    <row r="14" spans="1:13" x14ac:dyDescent="0.25">
      <c r="A14" s="7" t="s">
        <v>208</v>
      </c>
      <c r="C14" s="10">
        <v>164</v>
      </c>
      <c r="D14" s="10">
        <v>160</v>
      </c>
      <c r="E14" s="10">
        <v>155</v>
      </c>
      <c r="F14" s="10">
        <v>150</v>
      </c>
      <c r="G14" s="10">
        <v>144</v>
      </c>
      <c r="H14" s="10">
        <v>138</v>
      </c>
      <c r="I14" s="10">
        <v>131</v>
      </c>
      <c r="J14" s="10">
        <v>123</v>
      </c>
      <c r="K14" s="10">
        <v>116</v>
      </c>
    </row>
    <row r="15" spans="1:13" x14ac:dyDescent="0.25">
      <c r="A15" s="7"/>
      <c r="C15" s="10">
        <f>C10*C13</f>
        <v>163.31199999999998</v>
      </c>
      <c r="D15" s="10">
        <f>D10*D13</f>
        <v>160.06399999999999</v>
      </c>
      <c r="E15" s="10">
        <f>E10*E13</f>
        <v>155.11799999999999</v>
      </c>
      <c r="F15" s="10">
        <f>F10*F13</f>
        <v>149.63999999999999</v>
      </c>
      <c r="G15" s="10">
        <f>G10*G13</f>
        <v>143.90600000000001</v>
      </c>
      <c r="H15" s="10">
        <f>H10*H13</f>
        <v>137.548</v>
      </c>
      <c r="I15" s="10">
        <f>I10*I13</f>
        <v>130.566</v>
      </c>
      <c r="J15" s="10">
        <f>J10*J13</f>
        <v>123.384</v>
      </c>
      <c r="K15" s="10">
        <f>K10*K13</f>
        <v>116.10000000000001</v>
      </c>
      <c r="L15">
        <f>L10*L13</f>
        <v>0</v>
      </c>
      <c r="M15">
        <f>M10*M13</f>
        <v>0</v>
      </c>
    </row>
    <row r="16" spans="1:13" x14ac:dyDescent="0.25">
      <c r="A16" s="7"/>
      <c r="C16" s="10">
        <f>C15-C14</f>
        <v>-0.6880000000000166</v>
      </c>
      <c r="D16" s="10">
        <f>D15-D14</f>
        <v>6.3999999999992951E-2</v>
      </c>
      <c r="E16" s="10">
        <f>E15-E14</f>
        <v>0.117999999999995</v>
      </c>
      <c r="F16" s="10">
        <f>F15-F14</f>
        <v>-0.36000000000001364</v>
      </c>
      <c r="G16" s="10">
        <f>G15-G14</f>
        <v>-9.3999999999994088E-2</v>
      </c>
      <c r="H16" s="10">
        <f>H15-H14</f>
        <v>-0.45199999999999818</v>
      </c>
      <c r="I16" s="10">
        <f>I15-I14</f>
        <v>-0.4339999999999975</v>
      </c>
      <c r="J16" s="10">
        <f>J15-J14</f>
        <v>0.38400000000000034</v>
      </c>
      <c r="K16" s="10">
        <f>K15-K14</f>
        <v>0.10000000000000853</v>
      </c>
      <c r="L16">
        <f>L15-L14</f>
        <v>0</v>
      </c>
      <c r="M16">
        <f>M15-M14</f>
        <v>0</v>
      </c>
    </row>
    <row r="17" spans="1:13" x14ac:dyDescent="0.25">
      <c r="A17" s="6" t="s">
        <v>205</v>
      </c>
      <c r="C17" s="13">
        <v>164</v>
      </c>
      <c r="D17" s="13">
        <v>160</v>
      </c>
      <c r="E17" s="13">
        <v>155</v>
      </c>
      <c r="F17" s="13">
        <v>150</v>
      </c>
      <c r="G17" s="13">
        <v>144</v>
      </c>
      <c r="H17" s="13">
        <v>138</v>
      </c>
      <c r="I17" s="13">
        <v>131</v>
      </c>
      <c r="J17" s="13">
        <v>123</v>
      </c>
      <c r="K17" s="13">
        <v>116</v>
      </c>
    </row>
    <row r="18" spans="1:13" x14ac:dyDescent="0.25">
      <c r="A18" s="6" t="s">
        <v>106</v>
      </c>
      <c r="C18" s="13">
        <v>67</v>
      </c>
      <c r="D18" s="13">
        <v>65</v>
      </c>
      <c r="E18" s="13">
        <v>63</v>
      </c>
      <c r="F18" s="13">
        <v>61</v>
      </c>
      <c r="G18" s="13">
        <v>59</v>
      </c>
      <c r="H18" s="13">
        <v>56</v>
      </c>
      <c r="I18" s="13">
        <v>53</v>
      </c>
      <c r="J18" s="13">
        <v>50</v>
      </c>
      <c r="K18" s="13">
        <v>47</v>
      </c>
    </row>
    <row r="19" spans="1:13" x14ac:dyDescent="0.25">
      <c r="A19" s="7" t="s">
        <v>107</v>
      </c>
      <c r="C19" s="19">
        <v>-8</v>
      </c>
      <c r="D19" s="19">
        <v>-8</v>
      </c>
      <c r="E19" s="19">
        <v>-8</v>
      </c>
      <c r="F19" s="19">
        <v>-7</v>
      </c>
      <c r="G19" s="19">
        <v>-7</v>
      </c>
      <c r="H19" s="19">
        <v>-7</v>
      </c>
      <c r="I19" s="19">
        <v>-6</v>
      </c>
      <c r="J19" s="19">
        <v>-6</v>
      </c>
      <c r="K19" s="19">
        <v>-6</v>
      </c>
    </row>
    <row r="20" spans="1:13" x14ac:dyDescent="0.25">
      <c r="A20" s="6" t="s">
        <v>211</v>
      </c>
      <c r="C20" s="13">
        <v>59</v>
      </c>
      <c r="D20" s="13">
        <v>57</v>
      </c>
      <c r="E20" s="13">
        <v>56</v>
      </c>
      <c r="F20" s="13">
        <v>54</v>
      </c>
      <c r="G20" s="13">
        <v>52</v>
      </c>
      <c r="H20" s="13">
        <v>49</v>
      </c>
      <c r="I20" s="13">
        <v>47</v>
      </c>
      <c r="J20" s="13">
        <v>44</v>
      </c>
      <c r="K20" s="13">
        <v>42</v>
      </c>
    </row>
    <row r="21" spans="1:13" x14ac:dyDescent="0.25">
      <c r="A21" s="6"/>
      <c r="C21" s="13">
        <f>SUM(C18,C19)</f>
        <v>59</v>
      </c>
      <c r="D21" s="13">
        <f>SUM(D18,D19)</f>
        <v>57</v>
      </c>
      <c r="E21" s="13">
        <f>SUM(E18,E19)</f>
        <v>55</v>
      </c>
      <c r="F21" s="13">
        <f>SUM(F18,F19)</f>
        <v>54</v>
      </c>
      <c r="G21" s="13">
        <f>SUM(G18,G19)</f>
        <v>52</v>
      </c>
      <c r="H21" s="13">
        <f>SUM(H18,H19)</f>
        <v>49</v>
      </c>
      <c r="I21" s="13">
        <f>SUM(I18,I19)</f>
        <v>47</v>
      </c>
      <c r="J21" s="13">
        <f>SUM(J18,J19)</f>
        <v>44</v>
      </c>
      <c r="K21" s="13">
        <f>SUM(K18,K19)</f>
        <v>41</v>
      </c>
      <c r="L21">
        <f>SUM(L18,L19)</f>
        <v>0</v>
      </c>
      <c r="M21">
        <f>SUM(M18,M19)</f>
        <v>0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-1</v>
      </c>
      <c r="F22" s="13">
        <f>F21-F20</f>
        <v>0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0</v>
      </c>
      <c r="K22" s="13">
        <f>K21-K20</f>
        <v>-1</v>
      </c>
      <c r="L22">
        <f>L21-L20</f>
        <v>0</v>
      </c>
      <c r="M22">
        <f>M21-M20</f>
        <v>0</v>
      </c>
    </row>
    <row r="23" spans="1:13" x14ac:dyDescent="0.25">
      <c r="A23" s="7" t="s">
        <v>210</v>
      </c>
      <c r="B23" s="20">
        <v>1.4999999999999999E-2</v>
      </c>
      <c r="C23" s="19">
        <v>-2</v>
      </c>
      <c r="D23" s="19">
        <v>-2</v>
      </c>
      <c r="E23" s="19">
        <v>-2</v>
      </c>
      <c r="F23" s="19">
        <v>-2</v>
      </c>
      <c r="G23" s="19">
        <v>-2</v>
      </c>
      <c r="H23" s="19">
        <v>-2</v>
      </c>
      <c r="I23" s="19">
        <v>-2</v>
      </c>
      <c r="J23" s="19">
        <v>-2</v>
      </c>
      <c r="K23" s="19">
        <v>-2</v>
      </c>
    </row>
    <row r="24" spans="1:13" x14ac:dyDescent="0.25">
      <c r="A24" s="7"/>
      <c r="B24" s="20"/>
      <c r="C24" s="19">
        <f>C10*B23</f>
        <v>3.54</v>
      </c>
      <c r="D24" s="19">
        <f>D10*B23</f>
        <v>3.6599999999999997</v>
      </c>
      <c r="E24" s="19">
        <f>E10*B23</f>
        <v>3.7649999999999997</v>
      </c>
      <c r="F24" s="19">
        <f>F10*B23</f>
        <v>3.8699999999999997</v>
      </c>
      <c r="G24" s="19">
        <f>G10*B23</f>
        <v>3.9899999999999998</v>
      </c>
      <c r="H24" s="19">
        <f>H10*B23</f>
        <v>4.1099999999999994</v>
      </c>
      <c r="I24" s="19">
        <f>I10*B23</f>
        <v>4.2299999999999995</v>
      </c>
      <c r="J24" s="19">
        <f>J10*B23</f>
        <v>4.3650000000000002</v>
      </c>
      <c r="K24" s="19">
        <f>K10*B23</f>
        <v>4.5</v>
      </c>
      <c r="L24">
        <f>L10*B23</f>
        <v>0</v>
      </c>
      <c r="M24">
        <f>M10*B23</f>
        <v>0</v>
      </c>
    </row>
    <row r="25" spans="1:13" x14ac:dyDescent="0.25">
      <c r="A25" s="7"/>
      <c r="B25" s="20"/>
      <c r="C25" s="19">
        <f>C24-C23</f>
        <v>5.54</v>
      </c>
      <c r="D25" s="19">
        <f>D24-D23</f>
        <v>5.66</v>
      </c>
      <c r="E25" s="19">
        <f>E24-E23</f>
        <v>5.7649999999999997</v>
      </c>
      <c r="F25" s="19">
        <f>F24-F23</f>
        <v>5.8699999999999992</v>
      </c>
      <c r="G25" s="19">
        <f>G24-G23</f>
        <v>5.99</v>
      </c>
      <c r="H25" s="19">
        <f>H24-H23</f>
        <v>6.1099999999999994</v>
      </c>
      <c r="I25" s="19">
        <f>I24-I23</f>
        <v>6.2299999999999995</v>
      </c>
      <c r="J25" s="19">
        <f>J24-J23</f>
        <v>6.3650000000000002</v>
      </c>
      <c r="K25" s="19">
        <f>K24-K23</f>
        <v>6.5</v>
      </c>
      <c r="L25">
        <f>L24-L23</f>
        <v>0</v>
      </c>
      <c r="M25">
        <f>M24-M23</f>
        <v>0</v>
      </c>
    </row>
    <row r="26" spans="1:13" x14ac:dyDescent="0.25">
      <c r="A26" s="6" t="s">
        <v>108</v>
      </c>
      <c r="C26" s="13">
        <v>56</v>
      </c>
      <c r="D26" s="13">
        <v>55</v>
      </c>
      <c r="E26" s="13">
        <v>53</v>
      </c>
      <c r="F26" s="13">
        <v>52</v>
      </c>
      <c r="G26" s="13">
        <v>50</v>
      </c>
      <c r="H26" s="13">
        <v>47</v>
      </c>
      <c r="I26" s="13">
        <v>45</v>
      </c>
      <c r="J26" s="13">
        <v>42</v>
      </c>
      <c r="K26" s="13">
        <v>40</v>
      </c>
    </row>
    <row r="27" spans="1:13" x14ac:dyDescent="0.25">
      <c r="A27" s="6"/>
      <c r="C27" s="13">
        <f>SUM(C20,C23)</f>
        <v>57</v>
      </c>
      <c r="D27" s="13">
        <f>SUM(D20,D23)</f>
        <v>55</v>
      </c>
      <c r="E27" s="13">
        <f>SUM(E20,E23)</f>
        <v>54</v>
      </c>
      <c r="F27" s="13">
        <f>SUM(F20,F23)</f>
        <v>52</v>
      </c>
      <c r="G27" s="13">
        <f>SUM(G20,G23)</f>
        <v>50</v>
      </c>
      <c r="H27" s="13">
        <f>SUM(H20,H23)</f>
        <v>47</v>
      </c>
      <c r="I27" s="13">
        <f>SUM(I20,I23)</f>
        <v>45</v>
      </c>
      <c r="J27" s="13">
        <f>SUM(J20,J23)</f>
        <v>42</v>
      </c>
      <c r="K27" s="13">
        <f>SUM(K20,K23)</f>
        <v>40</v>
      </c>
      <c r="L27">
        <f>SUM(L20,L23)</f>
        <v>0</v>
      </c>
      <c r="M27">
        <f>SUM(M20,M23)</f>
        <v>0</v>
      </c>
    </row>
    <row r="28" spans="1:13" x14ac:dyDescent="0.25">
      <c r="A28" s="6"/>
      <c r="C28" s="13">
        <f>C27-C26</f>
        <v>1</v>
      </c>
      <c r="D28" s="13">
        <f>D27-D26</f>
        <v>0</v>
      </c>
      <c r="E28" s="13">
        <f>E27-E26</f>
        <v>1</v>
      </c>
      <c r="F28" s="13">
        <f>F27-F26</f>
        <v>0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212</v>
      </c>
      <c r="B29" s="20">
        <v>0.218</v>
      </c>
      <c r="C29" s="19">
        <v>-12</v>
      </c>
      <c r="D29" s="19">
        <v>-12</v>
      </c>
      <c r="E29" s="19">
        <v>-12</v>
      </c>
      <c r="F29" s="19">
        <v>-11</v>
      </c>
      <c r="G29" s="19">
        <v>-11</v>
      </c>
      <c r="H29" s="19">
        <v>-10</v>
      </c>
      <c r="I29" s="19">
        <v>-10</v>
      </c>
      <c r="J29" s="19">
        <v>-9</v>
      </c>
      <c r="K29" s="19">
        <v>-9</v>
      </c>
    </row>
    <row r="30" spans="1:13" x14ac:dyDescent="0.25">
      <c r="A30" s="7"/>
      <c r="B30" s="20"/>
      <c r="C30" s="19">
        <f>C26*B29</f>
        <v>12.208</v>
      </c>
      <c r="D30" s="19">
        <f>D26*B29</f>
        <v>11.99</v>
      </c>
      <c r="E30" s="19">
        <f>E26*B29</f>
        <v>11.554</v>
      </c>
      <c r="F30" s="19">
        <f>F26*B29</f>
        <v>11.336</v>
      </c>
      <c r="G30" s="19">
        <f>G26*B29</f>
        <v>10.9</v>
      </c>
      <c r="H30" s="19">
        <f>H26*B29</f>
        <v>10.246</v>
      </c>
      <c r="I30" s="19">
        <f>I26*B29</f>
        <v>9.81</v>
      </c>
      <c r="J30" s="19">
        <f>J26*B29</f>
        <v>9.1560000000000006</v>
      </c>
      <c r="K30" s="19">
        <f>K26*B29</f>
        <v>8.7200000000000006</v>
      </c>
      <c r="L30">
        <f>L26*B29</f>
        <v>0</v>
      </c>
      <c r="M30">
        <f>M26*B29</f>
        <v>0</v>
      </c>
    </row>
    <row r="31" spans="1:13" x14ac:dyDescent="0.25">
      <c r="A31" s="7"/>
      <c r="B31" s="20"/>
      <c r="C31" s="19">
        <f>C30-C29</f>
        <v>24.207999999999998</v>
      </c>
      <c r="D31" s="19">
        <f>D30-D29</f>
        <v>23.990000000000002</v>
      </c>
      <c r="E31" s="19">
        <f>E30-E29</f>
        <v>23.554000000000002</v>
      </c>
      <c r="F31" s="19">
        <f>F30-F29</f>
        <v>22.335999999999999</v>
      </c>
      <c r="G31" s="19">
        <f>G30-G29</f>
        <v>21.9</v>
      </c>
      <c r="H31" s="19">
        <f>H30-H29</f>
        <v>20.246000000000002</v>
      </c>
      <c r="I31" s="19">
        <f>I30-I29</f>
        <v>19.810000000000002</v>
      </c>
      <c r="J31" s="19">
        <f>J30-J29</f>
        <v>18.155999999999999</v>
      </c>
      <c r="K31" s="19">
        <f>K30-K29</f>
        <v>17.72</v>
      </c>
      <c r="L31">
        <f>L30-L29</f>
        <v>0</v>
      </c>
      <c r="M31">
        <f>M30-M29</f>
        <v>0</v>
      </c>
    </row>
    <row r="32" spans="1:13" x14ac:dyDescent="0.25">
      <c r="A32" s="6" t="s">
        <v>213</v>
      </c>
      <c r="C32" s="13">
        <v>44</v>
      </c>
      <c r="D32" s="13">
        <v>43</v>
      </c>
      <c r="E32" s="13">
        <v>42</v>
      </c>
      <c r="F32" s="13">
        <v>40</v>
      </c>
      <c r="G32" s="13">
        <v>39</v>
      </c>
      <c r="H32" s="13">
        <v>37</v>
      </c>
      <c r="I32" s="13">
        <v>35</v>
      </c>
      <c r="J32" s="13">
        <v>33</v>
      </c>
      <c r="K32" s="13">
        <v>31</v>
      </c>
    </row>
    <row r="33" spans="1:13" x14ac:dyDescent="0.25">
      <c r="A33" s="6"/>
      <c r="C33" s="13">
        <f>SUM(C26,C29)</f>
        <v>44</v>
      </c>
      <c r="D33" s="13">
        <f>SUM(D26,D29)</f>
        <v>43</v>
      </c>
      <c r="E33" s="13">
        <f>SUM(E26,E29)</f>
        <v>41</v>
      </c>
      <c r="F33" s="13">
        <f>SUM(F26,F29)</f>
        <v>41</v>
      </c>
      <c r="G33" s="13">
        <f>SUM(G26,G29)</f>
        <v>39</v>
      </c>
      <c r="H33" s="13">
        <f>SUM(H26,H29)</f>
        <v>37</v>
      </c>
      <c r="I33" s="13">
        <f>SUM(I26,I29)</f>
        <v>35</v>
      </c>
      <c r="J33" s="13">
        <f>SUM(J26,J29)</f>
        <v>33</v>
      </c>
      <c r="K33" s="13">
        <f>SUM(K26,K29)</f>
        <v>31</v>
      </c>
      <c r="L33">
        <f>SUM(L26,L29)</f>
        <v>0</v>
      </c>
      <c r="M33">
        <f>SUM(M26,M29)</f>
        <v>0</v>
      </c>
    </row>
    <row r="34" spans="1:13" x14ac:dyDescent="0.25">
      <c r="A34" s="6"/>
      <c r="C34" s="13">
        <f>C33-C32</f>
        <v>0</v>
      </c>
      <c r="D34" s="13">
        <f>D33-D32</f>
        <v>0</v>
      </c>
      <c r="E34" s="13">
        <f>E33-E32</f>
        <v>-1</v>
      </c>
      <c r="F34" s="13">
        <f>F33-F32</f>
        <v>1</v>
      </c>
      <c r="G34" s="13">
        <f>G33-G32</f>
        <v>0</v>
      </c>
      <c r="H34" s="13">
        <f>H33-H32</f>
        <v>0</v>
      </c>
      <c r="I34" s="13">
        <f>I33-I32</f>
        <v>0</v>
      </c>
      <c r="J34" s="13">
        <f>J33-J32</f>
        <v>0</v>
      </c>
      <c r="K34" s="13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214</v>
      </c>
      <c r="C35" s="19">
        <v>-3</v>
      </c>
      <c r="D35" s="19">
        <v>-3</v>
      </c>
      <c r="E35" s="19">
        <v>-3</v>
      </c>
      <c r="F35" s="19">
        <v>-3</v>
      </c>
      <c r="G35" s="19">
        <v>-3</v>
      </c>
      <c r="H35" s="19">
        <v>-2</v>
      </c>
      <c r="I35" s="19">
        <v>-2</v>
      </c>
      <c r="J35" s="19">
        <v>-2</v>
      </c>
      <c r="K35" s="19">
        <v>-2</v>
      </c>
    </row>
    <row r="36" spans="1:13" x14ac:dyDescent="0.25">
      <c r="A36" s="6" t="s">
        <v>215</v>
      </c>
      <c r="C36" s="13">
        <v>41</v>
      </c>
      <c r="D36" s="13">
        <v>40</v>
      </c>
      <c r="E36" s="13">
        <v>39</v>
      </c>
      <c r="F36" s="13">
        <v>38</v>
      </c>
      <c r="G36" s="13">
        <v>36</v>
      </c>
      <c r="H36" s="13">
        <v>35</v>
      </c>
      <c r="I36" s="13">
        <v>33</v>
      </c>
      <c r="J36" s="13">
        <v>31</v>
      </c>
      <c r="K36" s="13">
        <v>29</v>
      </c>
    </row>
    <row r="37" spans="1:13" x14ac:dyDescent="0.25">
      <c r="A37" s="6"/>
      <c r="C37" s="13">
        <f>SUM(C32,C35)</f>
        <v>41</v>
      </c>
      <c r="D37" s="13">
        <f>SUM(D32,D35)</f>
        <v>40</v>
      </c>
      <c r="E37" s="13">
        <f>SUM(E32,E35)</f>
        <v>39</v>
      </c>
      <c r="F37" s="13">
        <f>SUM(F32,F35)</f>
        <v>37</v>
      </c>
      <c r="G37" s="13">
        <f>SUM(G32,G35)</f>
        <v>36</v>
      </c>
      <c r="H37" s="13">
        <f>SUM(H32,H35)</f>
        <v>35</v>
      </c>
      <c r="I37" s="13">
        <f>SUM(I32,I35)</f>
        <v>33</v>
      </c>
      <c r="J37" s="13">
        <f>SUM(J32,J35)</f>
        <v>31</v>
      </c>
      <c r="K37" s="13">
        <f>SUM(K32,K35)</f>
        <v>29</v>
      </c>
      <c r="L37">
        <f>SUM(L32,L35)</f>
        <v>0</v>
      </c>
      <c r="M37">
        <f>SUM(M32,M35)</f>
        <v>0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-1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115</v>
      </c>
      <c r="B39" s="20">
        <v>0.11</v>
      </c>
      <c r="C39" s="23">
        <v>0.10340000000000001</v>
      </c>
      <c r="D39" s="23">
        <v>9.3100000000000002E-2</v>
      </c>
      <c r="E39" s="23">
        <v>8.3900000000000002E-2</v>
      </c>
      <c r="F39" s="23">
        <v>7.5600000000000001E-2</v>
      </c>
      <c r="G39" s="23">
        <v>6.8099999999999994E-2</v>
      </c>
      <c r="H39" s="23">
        <v>6.1400000000000003E-2</v>
      </c>
      <c r="I39" s="23">
        <v>5.5300000000000002E-2</v>
      </c>
      <c r="J39" s="23">
        <v>4.9799999999999997E-2</v>
      </c>
      <c r="K39" s="23">
        <v>4.4900000000000002E-2</v>
      </c>
    </row>
    <row r="40" spans="1:13" x14ac:dyDescent="0.25">
      <c r="A40" s="6" t="s">
        <v>116</v>
      </c>
      <c r="C40" s="13">
        <v>4</v>
      </c>
      <c r="D40" s="13">
        <v>4</v>
      </c>
      <c r="E40" s="13">
        <v>3</v>
      </c>
      <c r="F40" s="13">
        <v>3</v>
      </c>
      <c r="G40" s="13">
        <v>2</v>
      </c>
      <c r="H40" s="13">
        <v>2</v>
      </c>
      <c r="I40" s="13">
        <v>2</v>
      </c>
      <c r="J40" s="13">
        <v>2</v>
      </c>
      <c r="K40" s="13">
        <v>1</v>
      </c>
    </row>
    <row r="41" spans="1:13" x14ac:dyDescent="0.25">
      <c r="A41" s="6"/>
      <c r="C41" s="13">
        <f>C36*C39</f>
        <v>4.2393999999999998</v>
      </c>
      <c r="D41" s="13">
        <f>D36*D39</f>
        <v>3.7240000000000002</v>
      </c>
      <c r="E41" s="13">
        <f>E36*E39</f>
        <v>3.2721</v>
      </c>
      <c r="F41" s="13">
        <f>F36*F39</f>
        <v>2.8727999999999998</v>
      </c>
      <c r="G41" s="13">
        <f>G36*G39</f>
        <v>2.4516</v>
      </c>
      <c r="H41" s="13">
        <f>H36*H39</f>
        <v>2.149</v>
      </c>
      <c r="I41" s="13">
        <f>I36*I39</f>
        <v>1.8249</v>
      </c>
      <c r="J41" s="13">
        <f>J36*J39</f>
        <v>1.5437999999999998</v>
      </c>
      <c r="K41" s="13">
        <f>K36*K39</f>
        <v>1.3021</v>
      </c>
      <c r="L41">
        <f>L36*L39</f>
        <v>0</v>
      </c>
      <c r="M41">
        <f>M36*M39</f>
        <v>0</v>
      </c>
    </row>
    <row r="42" spans="1:13" x14ac:dyDescent="0.25">
      <c r="A42" s="6"/>
      <c r="C42" s="13">
        <f>C41-C40</f>
        <v>0.23939999999999984</v>
      </c>
      <c r="D42" s="13">
        <f>D41-D40</f>
        <v>-0.2759999999999998</v>
      </c>
      <c r="E42" s="13">
        <f>E41-E40</f>
        <v>0.27210000000000001</v>
      </c>
      <c r="F42" s="13">
        <f>F41-F40</f>
        <v>-0.1272000000000002</v>
      </c>
      <c r="G42" s="13">
        <f>G41-G40</f>
        <v>0.4516</v>
      </c>
      <c r="H42" s="13">
        <f>H41-H40</f>
        <v>0.14900000000000002</v>
      </c>
      <c r="I42" s="13">
        <f>I41-I40</f>
        <v>-0.17510000000000003</v>
      </c>
      <c r="J42" s="13">
        <f>J41-J40</f>
        <v>-0.45620000000000016</v>
      </c>
      <c r="K42" s="13">
        <f>K41-K40</f>
        <v>0.30210000000000004</v>
      </c>
      <c r="L42">
        <f>L41-L40</f>
        <v>0</v>
      </c>
      <c r="M42">
        <f>M41-M40</f>
        <v>0</v>
      </c>
    </row>
    <row r="43" spans="1:13" x14ac:dyDescent="0.25">
      <c r="A43" s="9" t="s">
        <v>221</v>
      </c>
    </row>
    <row r="44" spans="1:13" x14ac:dyDescent="0.25">
      <c r="A44" s="7" t="s">
        <v>222</v>
      </c>
      <c r="C44" s="20">
        <v>0.03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</row>
    <row r="45" spans="1:13" x14ac:dyDescent="0.25">
      <c r="A45" s="7" t="s">
        <v>224</v>
      </c>
      <c r="C45" s="20">
        <v>0.40799999999999997</v>
      </c>
      <c r="D45" s="20">
        <v>0.40799999999999997</v>
      </c>
      <c r="E45" s="20">
        <v>0.40799999999999997</v>
      </c>
      <c r="F45" s="20">
        <v>0.40799999999999997</v>
      </c>
      <c r="G45" s="20">
        <v>0.40799999999999997</v>
      </c>
      <c r="H45" s="20">
        <v>0.40799999999999997</v>
      </c>
      <c r="I45" s="20">
        <v>0.40799999999999997</v>
      </c>
      <c r="J45" s="20">
        <v>0.40799999999999997</v>
      </c>
      <c r="K45" s="20">
        <v>0.40799999999999997</v>
      </c>
    </row>
    <row r="46" spans="1:13" x14ac:dyDescent="0.25">
      <c r="A46" s="7" t="s">
        <v>107</v>
      </c>
      <c r="C46" s="20">
        <v>4.9000000000000002E-2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</row>
    <row r="47" spans="1:13" x14ac:dyDescent="0.25">
      <c r="A47" s="7" t="s">
        <v>225</v>
      </c>
      <c r="C47" s="20">
        <v>0.35899999999999999</v>
      </c>
      <c r="D47" s="20">
        <v>0.35899999999999999</v>
      </c>
      <c r="E47" s="20">
        <v>0.35899999999999999</v>
      </c>
      <c r="F47" s="20">
        <v>0.35899999999999999</v>
      </c>
      <c r="G47" s="20">
        <v>0.35899999999999999</v>
      </c>
      <c r="H47" s="20">
        <v>0.35899999999999999</v>
      </c>
      <c r="I47" s="20">
        <v>0.35899999999999999</v>
      </c>
      <c r="J47" s="20">
        <v>0.35899999999999999</v>
      </c>
      <c r="K47" s="20">
        <v>0.35899999999999999</v>
      </c>
    </row>
    <row r="48" spans="1:13" x14ac:dyDescent="0.25">
      <c r="A48" s="7" t="s">
        <v>240</v>
      </c>
      <c r="C48" s="20">
        <v>1.7999999999999999E-2</v>
      </c>
      <c r="D48" s="20">
        <v>1.7999999999999999E-2</v>
      </c>
      <c r="E48" s="20">
        <v>1.7999999999999999E-2</v>
      </c>
      <c r="F48" s="20">
        <v>1.7999999999999999E-2</v>
      </c>
      <c r="G48" s="20">
        <v>1.7999999999999999E-2</v>
      </c>
      <c r="H48" s="20">
        <v>1.7999999999999999E-2</v>
      </c>
      <c r="I48" s="20">
        <v>1.7999999999999999E-2</v>
      </c>
      <c r="J48" s="20">
        <v>1.7999999999999999E-2</v>
      </c>
      <c r="K48" s="20">
        <v>1.7999999999999999E-2</v>
      </c>
    </row>
    <row r="49" spans="1:13" x14ac:dyDescent="0.25">
      <c r="A49" s="16" t="s">
        <v>127</v>
      </c>
    </row>
    <row r="50" spans="1:13" x14ac:dyDescent="0.25">
      <c r="A50" s="7" t="s">
        <v>227</v>
      </c>
    </row>
    <row r="51" spans="1:13" x14ac:dyDescent="0.25">
      <c r="A51" s="16" t="s">
        <v>61</v>
      </c>
    </row>
    <row r="52" spans="1:13" x14ac:dyDescent="0.25">
      <c r="A52" s="9" t="s">
        <v>62</v>
      </c>
      <c r="M52" s="32" t="s">
        <v>63</v>
      </c>
    </row>
    <row r="53" spans="1:13" x14ac:dyDescent="0.25">
      <c r="A53" s="9"/>
      <c r="M53" s="32"/>
    </row>
    <row r="54" spans="1:13" x14ac:dyDescent="0.25">
      <c r="A54" s="9"/>
      <c r="M54" s="32"/>
    </row>
    <row r="55" spans="1:13" x14ac:dyDescent="0.25">
      <c r="G55" s="5" t="s">
        <v>6</v>
      </c>
    </row>
    <row r="56" spans="1:13" x14ac:dyDescent="0.25">
      <c r="G56" s="5"/>
    </row>
    <row r="57" spans="1:13" x14ac:dyDescent="0.25">
      <c r="G57" s="5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M71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274</v>
      </c>
    </row>
    <row r="3" spans="1:13" x14ac:dyDescent="0.25">
      <c r="A3" s="6" t="s">
        <v>9</v>
      </c>
    </row>
    <row r="4" spans="1:13" x14ac:dyDescent="0.25">
      <c r="A4" s="6" t="s">
        <v>275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203</v>
      </c>
      <c r="C8" s="10">
        <v>2</v>
      </c>
      <c r="D8" s="10">
        <v>9</v>
      </c>
      <c r="E8" s="10">
        <v>9</v>
      </c>
      <c r="F8" s="10">
        <v>9</v>
      </c>
      <c r="G8" s="10">
        <v>10</v>
      </c>
      <c r="H8" s="10">
        <v>11</v>
      </c>
      <c r="I8" s="10">
        <v>11</v>
      </c>
      <c r="J8" s="10">
        <v>12</v>
      </c>
      <c r="K8" s="10">
        <v>12</v>
      </c>
      <c r="L8" s="10">
        <v>12</v>
      </c>
      <c r="M8" s="10">
        <v>13</v>
      </c>
    </row>
    <row r="9" spans="1:13" x14ac:dyDescent="0.25">
      <c r="A9" s="7" t="s">
        <v>204</v>
      </c>
      <c r="C9" s="19">
        <v>-2</v>
      </c>
      <c r="D9" s="19">
        <v>-1</v>
      </c>
      <c r="E9" s="19">
        <v>0</v>
      </c>
    </row>
    <row r="10" spans="1:13" x14ac:dyDescent="0.25">
      <c r="A10" s="7" t="s">
        <v>253</v>
      </c>
      <c r="C10" s="10">
        <v>1</v>
      </c>
      <c r="D10" s="10">
        <v>8</v>
      </c>
      <c r="E10" s="10">
        <v>9</v>
      </c>
      <c r="F10" s="10">
        <v>9</v>
      </c>
      <c r="G10" s="10">
        <v>10</v>
      </c>
      <c r="H10" s="10">
        <v>11</v>
      </c>
      <c r="I10" s="10">
        <v>11</v>
      </c>
      <c r="J10" s="10">
        <v>12</v>
      </c>
      <c r="K10" s="10">
        <v>12</v>
      </c>
      <c r="L10" s="10">
        <v>12</v>
      </c>
      <c r="M10" s="10">
        <v>13</v>
      </c>
    </row>
    <row r="11" spans="1:13" x14ac:dyDescent="0.25">
      <c r="A11" s="7"/>
      <c r="C11" s="10">
        <f>SUM(C8:C9)</f>
        <v>0</v>
      </c>
      <c r="D11" s="10">
        <f>SUM(D8:D9)</f>
        <v>8</v>
      </c>
      <c r="E11" s="10">
        <f>SUM(E8:E9)</f>
        <v>9</v>
      </c>
      <c r="F11" s="10">
        <f>SUM(F8:F9)</f>
        <v>9</v>
      </c>
      <c r="G11" s="10">
        <f>SUM(G8:G9)</f>
        <v>10</v>
      </c>
      <c r="H11" s="10">
        <f>SUM(H8:H9)</f>
        <v>11</v>
      </c>
      <c r="I11" s="10">
        <f>SUM(I8:I9)</f>
        <v>11</v>
      </c>
      <c r="J11" s="10">
        <f>SUM(J8:J9)</f>
        <v>12</v>
      </c>
      <c r="K11" s="10">
        <f>SUM(K8:K9)</f>
        <v>12</v>
      </c>
      <c r="L11" s="10">
        <f>SUM(L8:L9)</f>
        <v>12</v>
      </c>
      <c r="M11" s="10">
        <f>SUM(M8:M9)</f>
        <v>13</v>
      </c>
    </row>
    <row r="12" spans="1:13" x14ac:dyDescent="0.25">
      <c r="A12" s="7"/>
      <c r="C12" s="10">
        <f>C11-C10</f>
        <v>-1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</row>
    <row r="13" spans="1:13" x14ac:dyDescent="0.25">
      <c r="A13" s="7" t="s">
        <v>206</v>
      </c>
      <c r="B13" s="7" t="s">
        <v>254</v>
      </c>
      <c r="C13" s="20">
        <v>1</v>
      </c>
      <c r="D13" s="20">
        <v>0.999</v>
      </c>
      <c r="E13" s="20">
        <v>0.996</v>
      </c>
      <c r="F13" s="20">
        <v>0.98799999999999999</v>
      </c>
      <c r="G13" s="20">
        <v>0.97299999999999998</v>
      </c>
      <c r="H13" s="20">
        <v>0.95099999999999996</v>
      </c>
      <c r="I13" s="20">
        <v>0.92100000000000004</v>
      </c>
      <c r="J13" s="20">
        <v>0.88300000000000001</v>
      </c>
      <c r="K13" s="20">
        <v>0.83699999999999997</v>
      </c>
      <c r="L13" s="20">
        <v>0.78500000000000003</v>
      </c>
      <c r="M13" s="20">
        <v>0.72599999999999998</v>
      </c>
    </row>
    <row r="14" spans="1:13" x14ac:dyDescent="0.25">
      <c r="A14" s="7" t="s">
        <v>208</v>
      </c>
      <c r="C14" s="10">
        <v>1</v>
      </c>
      <c r="D14" s="10">
        <v>8</v>
      </c>
      <c r="E14" s="10">
        <v>9</v>
      </c>
      <c r="F14" s="10">
        <v>9</v>
      </c>
      <c r="G14" s="10">
        <v>10</v>
      </c>
      <c r="H14" s="10">
        <v>10</v>
      </c>
      <c r="I14" s="10">
        <v>10</v>
      </c>
      <c r="J14" s="10">
        <v>10</v>
      </c>
      <c r="K14" s="10">
        <v>10</v>
      </c>
      <c r="L14" s="10">
        <v>10</v>
      </c>
      <c r="M14" s="10">
        <v>9</v>
      </c>
    </row>
    <row r="15" spans="1:13" x14ac:dyDescent="0.25">
      <c r="A15" s="7"/>
      <c r="C15" s="10">
        <f>C10*C13</f>
        <v>1</v>
      </c>
      <c r="D15" s="10">
        <f>D10*D13</f>
        <v>7.992</v>
      </c>
      <c r="E15" s="10">
        <f>E10*E13</f>
        <v>8.9640000000000004</v>
      </c>
      <c r="F15" s="10">
        <f>F10*F13</f>
        <v>8.8919999999999995</v>
      </c>
      <c r="G15" s="10">
        <f>G10*G13</f>
        <v>9.73</v>
      </c>
      <c r="H15" s="10">
        <f>H10*H13</f>
        <v>10.461</v>
      </c>
      <c r="I15" s="10">
        <f>I10*I13</f>
        <v>10.131</v>
      </c>
      <c r="J15" s="10">
        <f>J10*J13</f>
        <v>10.596</v>
      </c>
      <c r="K15" s="10">
        <f>K10*K13</f>
        <v>10.044</v>
      </c>
      <c r="L15" s="10">
        <f>L10*L13</f>
        <v>9.42</v>
      </c>
      <c r="M15" s="10">
        <f>M10*M13</f>
        <v>9.4379999999999988</v>
      </c>
    </row>
    <row r="16" spans="1:13" x14ac:dyDescent="0.25">
      <c r="A16" s="7"/>
      <c r="C16" s="10">
        <f>C15-C14</f>
        <v>0</v>
      </c>
      <c r="D16" s="10">
        <f>D15-D14</f>
        <v>-8.0000000000000071E-3</v>
      </c>
      <c r="E16" s="10">
        <f>E15-E14</f>
        <v>-3.5999999999999588E-2</v>
      </c>
      <c r="F16" s="10">
        <f>F15-F14</f>
        <v>-0.10800000000000054</v>
      </c>
      <c r="G16" s="10">
        <f>G15-G14</f>
        <v>-0.26999999999999957</v>
      </c>
      <c r="H16" s="10">
        <f>H15-H14</f>
        <v>0.4610000000000003</v>
      </c>
      <c r="I16" s="10">
        <f>I15-I14</f>
        <v>0.13100000000000023</v>
      </c>
      <c r="J16" s="10">
        <f>J15-J14</f>
        <v>0.59600000000000009</v>
      </c>
      <c r="K16" s="10">
        <f>K15-K14</f>
        <v>4.4000000000000483E-2</v>
      </c>
      <c r="L16" s="10">
        <f>L15-L14</f>
        <v>-0.58000000000000007</v>
      </c>
      <c r="M16" s="10">
        <f>M15-M14</f>
        <v>0.43799999999999883</v>
      </c>
    </row>
    <row r="17" spans="1:13" x14ac:dyDescent="0.25">
      <c r="A17" s="6" t="s">
        <v>205</v>
      </c>
      <c r="C17" s="13">
        <v>1</v>
      </c>
      <c r="D17" s="13">
        <v>8</v>
      </c>
      <c r="E17" s="13">
        <v>9</v>
      </c>
      <c r="F17" s="13">
        <v>9</v>
      </c>
      <c r="G17" s="13">
        <v>10</v>
      </c>
      <c r="H17" s="13">
        <v>10</v>
      </c>
      <c r="I17" s="13">
        <v>10</v>
      </c>
      <c r="J17" s="13">
        <v>10</v>
      </c>
      <c r="K17" s="13">
        <v>10</v>
      </c>
      <c r="L17" s="13">
        <v>10</v>
      </c>
      <c r="M17" s="13">
        <v>9</v>
      </c>
    </row>
    <row r="18" spans="1:13" x14ac:dyDescent="0.25">
      <c r="A18" s="6" t="s">
        <v>106</v>
      </c>
      <c r="C18" s="13">
        <v>0</v>
      </c>
      <c r="D18" s="13">
        <v>2</v>
      </c>
      <c r="E18" s="13">
        <v>2</v>
      </c>
      <c r="F18" s="13">
        <v>2</v>
      </c>
      <c r="G18" s="13">
        <v>2</v>
      </c>
      <c r="H18" s="13">
        <v>2</v>
      </c>
      <c r="I18" s="13">
        <v>3</v>
      </c>
      <c r="J18" s="13">
        <v>3</v>
      </c>
      <c r="K18" s="13">
        <v>3</v>
      </c>
      <c r="L18" s="13">
        <v>3</v>
      </c>
      <c r="M18" s="13">
        <v>2</v>
      </c>
    </row>
    <row r="19" spans="1:13" x14ac:dyDescent="0.25">
      <c r="A19" s="7" t="s">
        <v>107</v>
      </c>
      <c r="C19" s="19">
        <v>0</v>
      </c>
      <c r="D19" s="19">
        <v>0</v>
      </c>
      <c r="E19" s="19">
        <v>0</v>
      </c>
      <c r="F19" s="19">
        <v>0</v>
      </c>
      <c r="G19" s="19">
        <v>-1</v>
      </c>
      <c r="H19" s="19">
        <v>-1</v>
      </c>
      <c r="I19" s="19">
        <v>-1</v>
      </c>
      <c r="J19" s="19">
        <v>-1</v>
      </c>
      <c r="K19" s="19">
        <v>0</v>
      </c>
      <c r="L19" s="19">
        <v>0</v>
      </c>
      <c r="M19" s="19">
        <v>0</v>
      </c>
    </row>
    <row r="20" spans="1:13" x14ac:dyDescent="0.25">
      <c r="A20" s="6" t="s">
        <v>211</v>
      </c>
      <c r="C20" s="13">
        <v>0</v>
      </c>
      <c r="D20" s="13">
        <v>1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2</v>
      </c>
      <c r="M20" s="13">
        <v>2</v>
      </c>
    </row>
    <row r="21" spans="1:13" x14ac:dyDescent="0.25">
      <c r="A21" s="6"/>
      <c r="C21" s="13">
        <f>SUM(C18,C19)</f>
        <v>0</v>
      </c>
      <c r="D21" s="13">
        <f>SUM(D18,D19)</f>
        <v>2</v>
      </c>
      <c r="E21" s="13">
        <f>SUM(E18,E19)</f>
        <v>2</v>
      </c>
      <c r="F21" s="13">
        <f>SUM(F18,F19)</f>
        <v>2</v>
      </c>
      <c r="G21" s="13">
        <f>SUM(G18,G19)</f>
        <v>1</v>
      </c>
      <c r="H21" s="13">
        <f>SUM(H18,H19)</f>
        <v>1</v>
      </c>
      <c r="I21" s="13">
        <f>SUM(I18,I19)</f>
        <v>2</v>
      </c>
      <c r="J21" s="13">
        <f>SUM(J18,J19)</f>
        <v>2</v>
      </c>
      <c r="K21" s="13">
        <f>SUM(K18,K19)</f>
        <v>3</v>
      </c>
      <c r="L21" s="13">
        <f>SUM(L18,L19)</f>
        <v>3</v>
      </c>
      <c r="M21" s="13">
        <f>SUM(M18,M19)</f>
        <v>2</v>
      </c>
    </row>
    <row r="22" spans="1:13" x14ac:dyDescent="0.25">
      <c r="A22" s="6"/>
      <c r="C22" s="13">
        <f>C21-C20</f>
        <v>0</v>
      </c>
      <c r="D22" s="13">
        <f>D21-D20</f>
        <v>1</v>
      </c>
      <c r="E22" s="13">
        <f>E21-E20</f>
        <v>0</v>
      </c>
      <c r="F22" s="13">
        <f>F21-F20</f>
        <v>0</v>
      </c>
      <c r="G22" s="13">
        <f>G21-G20</f>
        <v>-1</v>
      </c>
      <c r="H22" s="13">
        <f>H21-H20</f>
        <v>-1</v>
      </c>
      <c r="I22" s="13">
        <f>I21-I20</f>
        <v>0</v>
      </c>
      <c r="J22" s="13">
        <f>J21-J20</f>
        <v>0</v>
      </c>
      <c r="K22" s="13">
        <f>K21-K20</f>
        <v>1</v>
      </c>
      <c r="L22" s="13">
        <f>L21-L20</f>
        <v>1</v>
      </c>
      <c r="M22" s="13">
        <f>M21-M20</f>
        <v>0</v>
      </c>
    </row>
    <row r="23" spans="1:13" x14ac:dyDescent="0.25">
      <c r="A23" s="7" t="s">
        <v>210</v>
      </c>
      <c r="B23" s="20">
        <v>1.4999999999999999E-2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</row>
    <row r="24" spans="1:13" x14ac:dyDescent="0.25">
      <c r="A24" s="7"/>
      <c r="B24" s="20"/>
      <c r="C24" s="19">
        <f>C10*B23</f>
        <v>1.4999999999999999E-2</v>
      </c>
      <c r="D24" s="19">
        <f>D10*B23</f>
        <v>0.12</v>
      </c>
      <c r="E24" s="19">
        <f>E10*B23</f>
        <v>0.13500000000000001</v>
      </c>
      <c r="F24" s="19">
        <f>F10*B23</f>
        <v>0.13500000000000001</v>
      </c>
      <c r="G24" s="19">
        <f>G10*B23</f>
        <v>0.15</v>
      </c>
      <c r="H24" s="19">
        <f>H10*B23</f>
        <v>0.16499999999999998</v>
      </c>
      <c r="I24" s="19">
        <f>I10*B23</f>
        <v>0.16499999999999998</v>
      </c>
      <c r="J24" s="19">
        <f>J10*B23</f>
        <v>0.18</v>
      </c>
      <c r="K24" s="19">
        <f>K10*B23</f>
        <v>0.18</v>
      </c>
      <c r="L24" s="19">
        <f>L10*B23</f>
        <v>0.18</v>
      </c>
      <c r="M24" s="19">
        <f>M10*B23</f>
        <v>0.19500000000000001</v>
      </c>
    </row>
    <row r="25" spans="1:13" x14ac:dyDescent="0.25">
      <c r="A25" s="7"/>
      <c r="B25" s="20"/>
      <c r="C25" s="19">
        <f>C24-C23</f>
        <v>1.4999999999999999E-2</v>
      </c>
      <c r="D25" s="19">
        <f>D24-D23</f>
        <v>0.12</v>
      </c>
      <c r="E25" s="19">
        <f>E24-E23</f>
        <v>0.13500000000000001</v>
      </c>
      <c r="F25" s="19">
        <f>F24-F23</f>
        <v>0.13500000000000001</v>
      </c>
      <c r="G25" s="19">
        <f>G24-G23</f>
        <v>0.15</v>
      </c>
      <c r="H25" s="19">
        <f>H24-H23</f>
        <v>0.16499999999999998</v>
      </c>
      <c r="I25" s="19">
        <f>I24-I23</f>
        <v>0.16499999999999998</v>
      </c>
      <c r="J25" s="19">
        <f>J24-J23</f>
        <v>0.18</v>
      </c>
      <c r="K25" s="19">
        <f>K24-K23</f>
        <v>0.18</v>
      </c>
      <c r="L25" s="19">
        <f>L24-L23</f>
        <v>0.18</v>
      </c>
      <c r="M25" s="19">
        <f>M24-M23</f>
        <v>0.19500000000000001</v>
      </c>
    </row>
    <row r="26" spans="1:13" x14ac:dyDescent="0.25">
      <c r="A26" s="6" t="s">
        <v>108</v>
      </c>
      <c r="C26" s="13">
        <v>0</v>
      </c>
      <c r="D26" s="13">
        <v>1</v>
      </c>
      <c r="E26" s="13">
        <v>1</v>
      </c>
      <c r="F26" s="13">
        <v>1</v>
      </c>
      <c r="G26" s="13">
        <v>2</v>
      </c>
      <c r="H26" s="13">
        <v>2</v>
      </c>
      <c r="I26" s="13">
        <v>2</v>
      </c>
      <c r="J26" s="13">
        <v>2</v>
      </c>
      <c r="K26" s="13">
        <v>2</v>
      </c>
      <c r="L26" s="13">
        <v>2</v>
      </c>
      <c r="M26" s="13">
        <v>2</v>
      </c>
    </row>
    <row r="27" spans="1:13" x14ac:dyDescent="0.25">
      <c r="A27" s="6"/>
      <c r="C27" s="13">
        <f>SUM(C20,C23)</f>
        <v>0</v>
      </c>
      <c r="D27" s="13">
        <f>SUM(D20,D23)</f>
        <v>1</v>
      </c>
      <c r="E27" s="13">
        <f>SUM(E20,E23)</f>
        <v>2</v>
      </c>
      <c r="F27" s="13">
        <f>SUM(F20,F23)</f>
        <v>2</v>
      </c>
      <c r="G27" s="13">
        <f>SUM(G20,G23)</f>
        <v>2</v>
      </c>
      <c r="H27" s="13">
        <f>SUM(H20,H23)</f>
        <v>2</v>
      </c>
      <c r="I27" s="13">
        <f>SUM(I20,I23)</f>
        <v>2</v>
      </c>
      <c r="J27" s="13">
        <f>SUM(J20,J23)</f>
        <v>2</v>
      </c>
      <c r="K27" s="13">
        <f>SUM(K20,K23)</f>
        <v>2</v>
      </c>
      <c r="L27" s="13">
        <f>SUM(L20,L23)</f>
        <v>2</v>
      </c>
      <c r="M27" s="13">
        <f>SUM(M20,M23)</f>
        <v>2</v>
      </c>
    </row>
    <row r="28" spans="1:13" x14ac:dyDescent="0.25">
      <c r="A28" s="6"/>
      <c r="C28" s="13">
        <f>C27-C26</f>
        <v>0</v>
      </c>
      <c r="D28" s="13">
        <f>D27-D26</f>
        <v>0</v>
      </c>
      <c r="E28" s="13">
        <f>E27-E26</f>
        <v>1</v>
      </c>
      <c r="F28" s="13">
        <f>F27-F26</f>
        <v>1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0</v>
      </c>
      <c r="L28" s="13">
        <f>L27-L26</f>
        <v>0</v>
      </c>
      <c r="M28" s="13">
        <f>M27-M26</f>
        <v>0</v>
      </c>
    </row>
    <row r="29" spans="1:13" x14ac:dyDescent="0.25">
      <c r="A29" s="7" t="s">
        <v>212</v>
      </c>
      <c r="B29" s="20">
        <v>0.218</v>
      </c>
      <c r="C29" s="31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</row>
    <row r="30" spans="1:13" x14ac:dyDescent="0.25">
      <c r="A30" s="7"/>
      <c r="B30" s="20"/>
      <c r="C30" s="31">
        <f>C26*B29</f>
        <v>0</v>
      </c>
      <c r="D30" s="19">
        <f>D26*B29</f>
        <v>0.218</v>
      </c>
      <c r="E30" s="19">
        <f>E26*B29</f>
        <v>0.218</v>
      </c>
      <c r="F30" s="19">
        <f>F26*B29</f>
        <v>0.218</v>
      </c>
      <c r="G30" s="19">
        <f>G26*B29</f>
        <v>0.436</v>
      </c>
      <c r="H30" s="19">
        <f>H26*B29</f>
        <v>0.436</v>
      </c>
      <c r="I30" s="19">
        <f>I26*B29</f>
        <v>0.436</v>
      </c>
      <c r="J30" s="19">
        <f>J26*B29</f>
        <v>0.436</v>
      </c>
      <c r="K30" s="19">
        <f>K26*B29</f>
        <v>0.436</v>
      </c>
      <c r="L30" s="19">
        <f>L26*B29</f>
        <v>0.436</v>
      </c>
      <c r="M30" s="19">
        <f>M26*B29</f>
        <v>0.436</v>
      </c>
    </row>
    <row r="31" spans="1:13" x14ac:dyDescent="0.25">
      <c r="A31" s="7"/>
      <c r="B31" s="20"/>
      <c r="C31" s="31">
        <f>C30-C29</f>
        <v>0</v>
      </c>
      <c r="D31" s="19">
        <f>D30-D29</f>
        <v>0.218</v>
      </c>
      <c r="E31" s="19">
        <f>E30-E29</f>
        <v>0.218</v>
      </c>
      <c r="F31" s="19">
        <f>F30-F29</f>
        <v>0.218</v>
      </c>
      <c r="G31" s="19">
        <f>G30-G29</f>
        <v>0.436</v>
      </c>
      <c r="H31" s="19">
        <f>H30-H29</f>
        <v>0.436</v>
      </c>
      <c r="I31" s="19">
        <f>I30-I29</f>
        <v>0.436</v>
      </c>
      <c r="J31" s="19">
        <f>J30-J29</f>
        <v>0.436</v>
      </c>
      <c r="K31" s="19">
        <f>K30-K29</f>
        <v>0.436</v>
      </c>
      <c r="L31" s="19">
        <f>L30-L29</f>
        <v>0.436</v>
      </c>
      <c r="M31" s="19">
        <f>M30-M29</f>
        <v>0.436</v>
      </c>
    </row>
    <row r="32" spans="1:13" x14ac:dyDescent="0.25">
      <c r="A32" s="6" t="s">
        <v>213</v>
      </c>
      <c r="C32" s="13">
        <v>0</v>
      </c>
      <c r="D32" s="13">
        <v>1</v>
      </c>
      <c r="E32" s="13">
        <v>1</v>
      </c>
      <c r="F32" s="13">
        <v>1</v>
      </c>
      <c r="G32" s="13">
        <v>1</v>
      </c>
      <c r="H32" s="13">
        <v>1</v>
      </c>
      <c r="I32" s="13">
        <v>1</v>
      </c>
      <c r="J32" s="13">
        <v>2</v>
      </c>
      <c r="K32" s="13">
        <v>2</v>
      </c>
      <c r="L32" s="13">
        <v>1</v>
      </c>
      <c r="M32" s="13">
        <v>1</v>
      </c>
    </row>
    <row r="33" spans="1:13" x14ac:dyDescent="0.25">
      <c r="A33" s="6"/>
      <c r="C33" s="13">
        <f>SUM(C26,C29)</f>
        <v>0</v>
      </c>
      <c r="D33" s="13">
        <f>SUM(D26,D29)</f>
        <v>1</v>
      </c>
      <c r="E33" s="13">
        <f>SUM(E26,E29)</f>
        <v>1</v>
      </c>
      <c r="F33" s="13">
        <f>SUM(F26,F29)</f>
        <v>1</v>
      </c>
      <c r="G33" s="13">
        <f>SUM(G26,G29)</f>
        <v>2</v>
      </c>
      <c r="H33" s="13">
        <f>SUM(H26,H29)</f>
        <v>2</v>
      </c>
      <c r="I33" s="13">
        <f>SUM(I26,I29)</f>
        <v>2</v>
      </c>
      <c r="J33" s="13">
        <f>SUM(J26,J29)</f>
        <v>2</v>
      </c>
      <c r="K33" s="13">
        <f>SUM(K26,K29)</f>
        <v>2</v>
      </c>
      <c r="L33" s="13">
        <f>SUM(L26,L29)</f>
        <v>2</v>
      </c>
      <c r="M33" s="13">
        <f>SUM(M26,M29)</f>
        <v>2</v>
      </c>
    </row>
    <row r="34" spans="1:13" x14ac:dyDescent="0.25">
      <c r="A34" s="6"/>
      <c r="C34" s="13">
        <f>C33-C32</f>
        <v>0</v>
      </c>
      <c r="D34" s="13">
        <f>D33-D32</f>
        <v>0</v>
      </c>
      <c r="E34" s="13">
        <f>E33-E32</f>
        <v>0</v>
      </c>
      <c r="F34" s="13">
        <f>F33-F32</f>
        <v>0</v>
      </c>
      <c r="G34" s="13">
        <f>G33-G32</f>
        <v>1</v>
      </c>
      <c r="H34" s="13">
        <f>H33-H32</f>
        <v>1</v>
      </c>
      <c r="I34" s="13">
        <f>I33-I32</f>
        <v>1</v>
      </c>
      <c r="J34" s="13">
        <f>J33-J32</f>
        <v>0</v>
      </c>
      <c r="K34" s="13">
        <f>K33-K32</f>
        <v>0</v>
      </c>
      <c r="L34" s="13">
        <f>L33-L32</f>
        <v>1</v>
      </c>
      <c r="M34" s="13">
        <f>M33-M32</f>
        <v>1</v>
      </c>
    </row>
    <row r="35" spans="1:13" x14ac:dyDescent="0.25">
      <c r="A35" s="7" t="s">
        <v>214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  <c r="L35" s="19">
        <v>0</v>
      </c>
      <c r="M35" s="19">
        <v>0</v>
      </c>
    </row>
    <row r="36" spans="1:13" x14ac:dyDescent="0.25">
      <c r="A36" s="6" t="s">
        <v>215</v>
      </c>
      <c r="C36" s="13">
        <v>0</v>
      </c>
      <c r="D36" s="13">
        <v>1</v>
      </c>
      <c r="E36" s="13">
        <v>1</v>
      </c>
      <c r="F36" s="13">
        <v>1</v>
      </c>
      <c r="G36" s="13">
        <v>1</v>
      </c>
      <c r="H36" s="13">
        <v>1</v>
      </c>
      <c r="I36" s="13">
        <v>1</v>
      </c>
      <c r="J36" s="13">
        <v>1</v>
      </c>
      <c r="K36" s="13">
        <v>1</v>
      </c>
      <c r="L36" s="13">
        <v>1</v>
      </c>
      <c r="M36" s="13">
        <v>1</v>
      </c>
    </row>
    <row r="37" spans="1:13" x14ac:dyDescent="0.25">
      <c r="A37" s="6"/>
      <c r="C37" s="13">
        <f>SUM(C32,C35)</f>
        <v>0</v>
      </c>
      <c r="D37" s="13">
        <f>SUM(D32,D35)</f>
        <v>1</v>
      </c>
      <c r="E37" s="13">
        <f>SUM(E32,E35)</f>
        <v>1</v>
      </c>
      <c r="F37" s="13">
        <f>SUM(F32,F35)</f>
        <v>1</v>
      </c>
      <c r="G37" s="13">
        <f>SUM(G32,G35)</f>
        <v>1</v>
      </c>
      <c r="H37" s="13">
        <f>SUM(H32,H35)</f>
        <v>1</v>
      </c>
      <c r="I37" s="13">
        <f>SUM(I32,I35)</f>
        <v>1</v>
      </c>
      <c r="J37" s="13">
        <f>SUM(J32,J35)</f>
        <v>2</v>
      </c>
      <c r="K37" s="13">
        <f>SUM(K32,K35)</f>
        <v>2</v>
      </c>
      <c r="L37" s="13">
        <f>SUM(L32,L35)</f>
        <v>1</v>
      </c>
      <c r="M37" s="13">
        <f>SUM(M32,M35)</f>
        <v>1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1</v>
      </c>
      <c r="K38" s="13">
        <f>K37-K36</f>
        <v>1</v>
      </c>
      <c r="L38" s="13">
        <f>L37-L36</f>
        <v>0</v>
      </c>
      <c r="M38" s="13">
        <f>M37-M36</f>
        <v>0</v>
      </c>
    </row>
    <row r="39" spans="1:13" x14ac:dyDescent="0.25">
      <c r="A39" s="7" t="s">
        <v>115</v>
      </c>
      <c r="B39" s="20">
        <v>0.11</v>
      </c>
      <c r="C39" s="23">
        <v>0.98740000000000006</v>
      </c>
      <c r="D39" s="23">
        <v>0.92530000000000001</v>
      </c>
      <c r="E39" s="23">
        <v>0.83360000000000001</v>
      </c>
      <c r="F39" s="24">
        <v>0.751</v>
      </c>
      <c r="G39" s="23">
        <v>0.67659999999999998</v>
      </c>
      <c r="H39" s="23">
        <v>0.60950000000000004</v>
      </c>
      <c r="I39" s="23">
        <v>0.54910000000000003</v>
      </c>
      <c r="J39" s="23">
        <v>0.49469999999999997</v>
      </c>
      <c r="K39" s="23">
        <v>0.44569999999999999</v>
      </c>
      <c r="L39" s="23">
        <v>0.40150000000000002</v>
      </c>
      <c r="M39" s="23">
        <v>0.36170000000000002</v>
      </c>
    </row>
    <row r="40" spans="1:13" x14ac:dyDescent="0.25">
      <c r="A40" s="6" t="s">
        <v>116</v>
      </c>
      <c r="C40" s="13">
        <v>0</v>
      </c>
      <c r="D40" s="13">
        <v>1</v>
      </c>
      <c r="E40" s="13">
        <v>1</v>
      </c>
      <c r="F40" s="13">
        <v>1</v>
      </c>
      <c r="G40" s="13">
        <v>1</v>
      </c>
      <c r="H40" s="13">
        <v>1</v>
      </c>
      <c r="I40" s="13">
        <v>1</v>
      </c>
      <c r="J40" s="13">
        <v>1</v>
      </c>
      <c r="K40" s="13">
        <v>1</v>
      </c>
      <c r="L40" s="13">
        <v>0</v>
      </c>
      <c r="M40" s="13">
        <v>0</v>
      </c>
    </row>
    <row r="41" spans="1:13" x14ac:dyDescent="0.25">
      <c r="A41" s="6"/>
      <c r="C41" s="13">
        <f>C36*C39</f>
        <v>0</v>
      </c>
      <c r="D41" s="13">
        <f>D36*D39</f>
        <v>0.92530000000000001</v>
      </c>
      <c r="E41" s="13">
        <f>E36*E39</f>
        <v>0.83360000000000001</v>
      </c>
      <c r="F41" s="13">
        <f>F36*F39</f>
        <v>0.751</v>
      </c>
      <c r="G41" s="13">
        <f>G36*G39</f>
        <v>0.67659999999999998</v>
      </c>
      <c r="H41" s="13">
        <f>H36*H39</f>
        <v>0.60950000000000004</v>
      </c>
      <c r="I41" s="13">
        <f>I36*I39</f>
        <v>0.54910000000000003</v>
      </c>
      <c r="J41" s="13">
        <f>J36*J39</f>
        <v>0.49469999999999997</v>
      </c>
      <c r="K41" s="13">
        <f>K36*K39</f>
        <v>0.44569999999999999</v>
      </c>
      <c r="L41" s="13">
        <f>L36*L39</f>
        <v>0.40150000000000002</v>
      </c>
      <c r="M41" s="13">
        <f>M36*M39</f>
        <v>0.36170000000000002</v>
      </c>
    </row>
    <row r="42" spans="1:13" x14ac:dyDescent="0.25">
      <c r="A42" s="6"/>
      <c r="C42" s="13">
        <f>C41-C40</f>
        <v>0</v>
      </c>
      <c r="D42" s="13">
        <f>D41-D40</f>
        <v>-7.4699999999999989E-2</v>
      </c>
      <c r="E42" s="13">
        <f>E41-E40</f>
        <v>-0.16639999999999999</v>
      </c>
      <c r="F42" s="13">
        <f>F41-F40</f>
        <v>-0.249</v>
      </c>
      <c r="G42" s="13">
        <f>G41-G40</f>
        <v>-0.32340000000000002</v>
      </c>
      <c r="H42" s="13">
        <f>H41-H40</f>
        <v>-0.39049999999999996</v>
      </c>
      <c r="I42" s="13">
        <f>I41-I40</f>
        <v>-0.45089999999999997</v>
      </c>
      <c r="J42" s="13">
        <f>J41-J40</f>
        <v>-0.50530000000000008</v>
      </c>
      <c r="K42" s="13">
        <f>K41-K40</f>
        <v>-0.55430000000000001</v>
      </c>
      <c r="L42" s="13">
        <f>L41-L40</f>
        <v>0.40150000000000002</v>
      </c>
      <c r="M42" s="13">
        <f>M41-M40</f>
        <v>0.36170000000000002</v>
      </c>
    </row>
    <row r="43" spans="1:13" x14ac:dyDescent="0.25">
      <c r="A43" s="7" t="s">
        <v>216</v>
      </c>
      <c r="C43" s="10">
        <v>7</v>
      </c>
    </row>
    <row r="44" spans="1:13" x14ac:dyDescent="0.25">
      <c r="H44" s="7" t="s">
        <v>217</v>
      </c>
    </row>
    <row r="45" spans="1:13" x14ac:dyDescent="0.25">
      <c r="A45" s="6" t="s">
        <v>218</v>
      </c>
      <c r="C45" s="13">
        <v>7</v>
      </c>
      <c r="F45" s="10">
        <v>10</v>
      </c>
      <c r="G45" s="15">
        <v>0.02</v>
      </c>
      <c r="H45" s="15">
        <v>0.03</v>
      </c>
      <c r="I45" s="15">
        <v>0.04</v>
      </c>
      <c r="J45" s="15">
        <v>0.05</v>
      </c>
    </row>
    <row r="46" spans="1:13" x14ac:dyDescent="0.25">
      <c r="A46" s="7" t="s">
        <v>121</v>
      </c>
      <c r="B46" s="7" t="s">
        <v>122</v>
      </c>
      <c r="C46" s="10">
        <v>1</v>
      </c>
      <c r="F46" s="27">
        <v>20</v>
      </c>
      <c r="G46" s="21">
        <v>8</v>
      </c>
      <c r="H46" s="23">
        <v>8.1</v>
      </c>
      <c r="I46" s="23">
        <v>8.3000000000000007</v>
      </c>
      <c r="J46" s="23">
        <v>8.4</v>
      </c>
    </row>
    <row r="47" spans="1:13" x14ac:dyDescent="0.25">
      <c r="A47" s="6" t="s">
        <v>219</v>
      </c>
      <c r="C47" s="13">
        <v>10</v>
      </c>
      <c r="F47" s="27">
        <v>25</v>
      </c>
      <c r="G47" s="21">
        <v>8</v>
      </c>
      <c r="H47" s="23">
        <v>8.1</v>
      </c>
      <c r="I47" s="23">
        <v>8.3000000000000007</v>
      </c>
      <c r="J47" s="23">
        <v>8.4</v>
      </c>
    </row>
    <row r="48" spans="1:13" x14ac:dyDescent="0.25">
      <c r="E48" s="7" t="s">
        <v>220</v>
      </c>
      <c r="F48" s="27">
        <v>30</v>
      </c>
      <c r="G48" s="21">
        <v>8</v>
      </c>
      <c r="H48" s="23">
        <v>8.1</v>
      </c>
      <c r="I48" s="23">
        <v>8.3000000000000007</v>
      </c>
      <c r="J48" s="23">
        <v>8.4</v>
      </c>
    </row>
    <row r="49" spans="1:13" x14ac:dyDescent="0.25">
      <c r="F49" s="27">
        <v>35</v>
      </c>
      <c r="G49" s="21">
        <v>8</v>
      </c>
      <c r="H49" s="23">
        <v>8.1</v>
      </c>
      <c r="I49" s="23">
        <v>8.3000000000000007</v>
      </c>
      <c r="J49" s="23">
        <v>8.4</v>
      </c>
    </row>
    <row r="50" spans="1:13" x14ac:dyDescent="0.25">
      <c r="F50" s="27">
        <v>40</v>
      </c>
      <c r="G50" s="21">
        <v>8</v>
      </c>
      <c r="H50" s="23">
        <v>8.1</v>
      </c>
      <c r="I50" s="23">
        <v>8.3000000000000007</v>
      </c>
      <c r="J50" s="23">
        <v>8.4</v>
      </c>
    </row>
    <row r="51" spans="1:13" x14ac:dyDescent="0.25">
      <c r="A51" s="9" t="s">
        <v>221</v>
      </c>
    </row>
    <row r="52" spans="1:13" x14ac:dyDescent="0.25">
      <c r="A52" s="7" t="s">
        <v>222</v>
      </c>
      <c r="C52" s="7" t="s">
        <v>223</v>
      </c>
      <c r="D52" s="20">
        <v>-2E-3</v>
      </c>
      <c r="E52" s="20">
        <v>2.3E-2</v>
      </c>
      <c r="F52" s="20">
        <v>1.4E-2</v>
      </c>
      <c r="G52" s="20">
        <v>7.9000000000000001E-2</v>
      </c>
      <c r="H52" s="20">
        <v>7.1999999999999995E-2</v>
      </c>
      <c r="I52" s="20">
        <v>4.5999999999999999E-2</v>
      </c>
      <c r="J52" s="20">
        <v>4.5999999999999999E-2</v>
      </c>
      <c r="K52" s="20">
        <v>0.03</v>
      </c>
      <c r="L52" s="20">
        <v>0.03</v>
      </c>
      <c r="M52" s="20">
        <v>0.03</v>
      </c>
    </row>
    <row r="53" spans="1:13" x14ac:dyDescent="0.25">
      <c r="A53" s="7"/>
      <c r="C53" s="7"/>
      <c r="D53" s="20"/>
      <c r="E53" s="20"/>
      <c r="F53" s="20"/>
      <c r="G53" s="20"/>
      <c r="H53" s="20"/>
      <c r="I53" s="20"/>
      <c r="J53" s="20"/>
      <c r="K53" s="20"/>
      <c r="L53" s="20"/>
      <c r="M53" s="20"/>
    </row>
    <row r="54" spans="1:13" x14ac:dyDescent="0.25">
      <c r="A54" s="7"/>
      <c r="C54" s="7"/>
      <c r="D54" s="20"/>
      <c r="E54" s="20"/>
      <c r="F54" s="20"/>
      <c r="G54" s="20"/>
      <c r="H54" s="20"/>
      <c r="I54" s="20"/>
      <c r="J54" s="20"/>
      <c r="K54" s="20"/>
      <c r="L54" s="20"/>
      <c r="M54" s="20"/>
    </row>
    <row r="55" spans="1:13" x14ac:dyDescent="0.25">
      <c r="A55" s="7" t="s">
        <v>224</v>
      </c>
      <c r="C55" s="20">
        <v>0.20300000000000001</v>
      </c>
      <c r="D55" s="20">
        <v>0.19600000000000001</v>
      </c>
      <c r="E55" s="20">
        <v>0.215</v>
      </c>
      <c r="F55" s="20">
        <v>0.22700000000000001</v>
      </c>
      <c r="G55" s="20">
        <v>0.22700000000000001</v>
      </c>
      <c r="H55" s="20">
        <v>0.23799999999999999</v>
      </c>
      <c r="I55" s="20">
        <v>0.249</v>
      </c>
      <c r="J55" s="20">
        <v>0.26</v>
      </c>
      <c r="K55" s="20">
        <v>0.26</v>
      </c>
      <c r="L55" s="20">
        <v>0.26</v>
      </c>
      <c r="M55" s="20">
        <v>0.26</v>
      </c>
    </row>
    <row r="56" spans="1:13" x14ac:dyDescent="0.25">
      <c r="A56" s="7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 t="s">
        <v>107</v>
      </c>
      <c r="C58" s="20">
        <v>3.5999999999999997E-2</v>
      </c>
      <c r="D58" s="20">
        <v>3.4000000000000002E-2</v>
      </c>
      <c r="E58" s="20">
        <v>3.5000000000000003E-2</v>
      </c>
      <c r="F58" s="20">
        <v>0.05</v>
      </c>
      <c r="G58" s="20">
        <v>5.5E-2</v>
      </c>
      <c r="H58" s="20">
        <v>5.2999999999999999E-2</v>
      </c>
      <c r="I58" s="20">
        <v>5.0999999999999997E-2</v>
      </c>
      <c r="J58" s="20">
        <v>4.9000000000000002E-2</v>
      </c>
      <c r="K58" s="20">
        <v>4.9000000000000002E-2</v>
      </c>
      <c r="L58" s="20">
        <v>4.9000000000000002E-2</v>
      </c>
      <c r="M58" s="20">
        <v>4.9000000000000002E-2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</row>
    <row r="61" spans="1:13" x14ac:dyDescent="0.25">
      <c r="A61" s="7" t="s">
        <v>225</v>
      </c>
      <c r="C61" s="20">
        <v>0.16800000000000001</v>
      </c>
      <c r="D61" s="20">
        <v>0.16300000000000001</v>
      </c>
      <c r="E61" s="20">
        <v>0.18</v>
      </c>
      <c r="F61" s="20">
        <v>0.17699999999999999</v>
      </c>
      <c r="G61" s="20">
        <v>0.17100000000000001</v>
      </c>
      <c r="H61" s="20">
        <v>0.185</v>
      </c>
      <c r="I61" s="20">
        <v>0.19800000000000001</v>
      </c>
      <c r="J61" s="20">
        <v>0.21099999999999999</v>
      </c>
      <c r="K61" s="20">
        <v>0.21099999999999999</v>
      </c>
      <c r="L61" s="20">
        <v>0.21099999999999999</v>
      </c>
      <c r="M61" s="20">
        <v>0.21099999999999999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240</v>
      </c>
      <c r="C64" s="20">
        <v>3.4000000000000002E-2</v>
      </c>
      <c r="D64" s="20">
        <v>3.4000000000000002E-2</v>
      </c>
      <c r="E64" s="20">
        <v>3.4000000000000002E-2</v>
      </c>
      <c r="F64" s="20">
        <v>3.4000000000000002E-2</v>
      </c>
      <c r="G64" s="20">
        <v>3.4000000000000002E-2</v>
      </c>
      <c r="H64" s="20">
        <v>3.4000000000000002E-2</v>
      </c>
      <c r="I64" s="20">
        <v>3.4000000000000002E-2</v>
      </c>
      <c r="J64" s="20">
        <v>3.4000000000000002E-2</v>
      </c>
      <c r="K64" s="20">
        <v>3.4000000000000002E-2</v>
      </c>
      <c r="L64" s="20">
        <v>3.4000000000000002E-2</v>
      </c>
      <c r="M64" s="20">
        <v>3.4000000000000002E-2</v>
      </c>
    </row>
    <row r="65" spans="1:13" x14ac:dyDescent="0.25">
      <c r="A65" s="7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16" t="s">
        <v>127</v>
      </c>
    </row>
    <row r="68" spans="1:13" x14ac:dyDescent="0.25">
      <c r="A68" s="7" t="s">
        <v>227</v>
      </c>
    </row>
    <row r="69" spans="1:13" x14ac:dyDescent="0.25">
      <c r="A69" s="16" t="s">
        <v>61</v>
      </c>
    </row>
    <row r="70" spans="1:13" x14ac:dyDescent="0.25">
      <c r="A70" s="9" t="s">
        <v>62</v>
      </c>
      <c r="M70" s="32" t="s">
        <v>63</v>
      </c>
    </row>
    <row r="71" spans="1:13" x14ac:dyDescent="0.25">
      <c r="E71" s="5" t="s">
        <v>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2:M5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276</v>
      </c>
    </row>
    <row r="3" spans="1:13" x14ac:dyDescent="0.25">
      <c r="A3" s="6" t="s">
        <v>9</v>
      </c>
    </row>
    <row r="4" spans="1:13" x14ac:dyDescent="0.25">
      <c r="A4" s="6" t="s">
        <v>275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203</v>
      </c>
      <c r="C8" s="10">
        <v>13</v>
      </c>
      <c r="D8" s="10">
        <v>13</v>
      </c>
      <c r="E8" s="10">
        <v>14</v>
      </c>
      <c r="F8" s="10">
        <v>14</v>
      </c>
      <c r="G8" s="10">
        <v>15</v>
      </c>
      <c r="H8" s="10">
        <v>15</v>
      </c>
      <c r="I8" s="10">
        <v>16</v>
      </c>
      <c r="J8" s="10">
        <v>16</v>
      </c>
      <c r="K8" s="10">
        <v>17</v>
      </c>
      <c r="L8" s="10">
        <v>17</v>
      </c>
      <c r="M8" s="10">
        <v>18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13</v>
      </c>
      <c r="D10" s="10">
        <v>13</v>
      </c>
      <c r="E10" s="10">
        <v>14</v>
      </c>
      <c r="F10" s="10">
        <v>14</v>
      </c>
      <c r="G10" s="10">
        <v>15</v>
      </c>
      <c r="H10" s="10">
        <v>15</v>
      </c>
      <c r="I10" s="10">
        <v>16</v>
      </c>
      <c r="J10" s="10">
        <v>16</v>
      </c>
      <c r="K10" s="10">
        <v>17</v>
      </c>
      <c r="L10" s="10">
        <v>17</v>
      </c>
      <c r="M10" s="10">
        <v>18</v>
      </c>
    </row>
    <row r="11" spans="1:13" x14ac:dyDescent="0.25">
      <c r="A11" s="7"/>
      <c r="C11" s="10">
        <f>SUM(C8:C9)</f>
        <v>13</v>
      </c>
      <c r="D11" s="10">
        <f>SUM(D8:D9)</f>
        <v>13</v>
      </c>
      <c r="E11" s="10">
        <f>SUM(E8:E9)</f>
        <v>14</v>
      </c>
      <c r="F11" s="10">
        <f>SUM(F8:F9)</f>
        <v>14</v>
      </c>
      <c r="G11" s="10">
        <f>SUM(G8:G9)</f>
        <v>15</v>
      </c>
      <c r="H11" s="10">
        <f>SUM(H8:H9)</f>
        <v>15</v>
      </c>
      <c r="I11" s="10">
        <f>SUM(I8:I9)</f>
        <v>16</v>
      </c>
      <c r="J11" s="10">
        <f>SUM(J8:J9)</f>
        <v>16</v>
      </c>
      <c r="K11" s="10">
        <f>SUM(K8:K9)</f>
        <v>17</v>
      </c>
      <c r="L11" s="10">
        <f>SUM(L8:L9)</f>
        <v>17</v>
      </c>
      <c r="M11" s="10">
        <f>SUM(M8:M9)</f>
        <v>18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 s="10">
        <f>L11-L10</f>
        <v>0</v>
      </c>
      <c r="M12" s="10">
        <f>M11-M10</f>
        <v>0</v>
      </c>
    </row>
    <row r="13" spans="1:13" x14ac:dyDescent="0.25">
      <c r="A13" s="7" t="s">
        <v>206</v>
      </c>
      <c r="B13" s="7" t="s">
        <v>254</v>
      </c>
      <c r="C13" s="20">
        <v>0.66300000000000003</v>
      </c>
      <c r="D13" s="20">
        <v>0.59799999999999998</v>
      </c>
      <c r="E13" s="20">
        <v>0.53100000000000003</v>
      </c>
      <c r="F13" s="20">
        <v>0.46400000000000002</v>
      </c>
      <c r="G13" s="20">
        <v>0.39900000000000002</v>
      </c>
      <c r="H13" s="20">
        <v>0.33800000000000002</v>
      </c>
      <c r="I13" s="20">
        <v>0.28199999999999997</v>
      </c>
      <c r="J13" s="20">
        <v>0.23100000000000001</v>
      </c>
      <c r="K13" s="20">
        <v>0.185</v>
      </c>
      <c r="L13" s="20">
        <v>0.14599999999999999</v>
      </c>
      <c r="M13" s="20">
        <v>0.113</v>
      </c>
    </row>
    <row r="14" spans="1:13" x14ac:dyDescent="0.25">
      <c r="A14" s="7" t="s">
        <v>208</v>
      </c>
      <c r="C14" s="10">
        <v>9</v>
      </c>
      <c r="D14" s="10">
        <v>8</v>
      </c>
      <c r="E14" s="10">
        <v>7</v>
      </c>
      <c r="F14" s="10">
        <v>7</v>
      </c>
      <c r="G14" s="10">
        <v>6</v>
      </c>
      <c r="H14" s="10">
        <v>5</v>
      </c>
      <c r="I14" s="10">
        <v>4</v>
      </c>
      <c r="J14" s="10">
        <v>4</v>
      </c>
      <c r="K14" s="10">
        <v>3</v>
      </c>
      <c r="L14" s="10">
        <v>2</v>
      </c>
      <c r="M14" s="10">
        <v>2</v>
      </c>
    </row>
    <row r="15" spans="1:13" x14ac:dyDescent="0.25">
      <c r="A15" s="7"/>
      <c r="C15" s="10">
        <f>C10*C13</f>
        <v>8.6189999999999998</v>
      </c>
      <c r="D15" s="10">
        <f>D10*D13</f>
        <v>7.774</v>
      </c>
      <c r="E15" s="10">
        <f>E10*E13</f>
        <v>7.4340000000000002</v>
      </c>
      <c r="F15" s="10">
        <f>F10*F13</f>
        <v>6.4960000000000004</v>
      </c>
      <c r="G15" s="10">
        <f>G10*G13</f>
        <v>5.9850000000000003</v>
      </c>
      <c r="H15" s="10">
        <f>H10*H13</f>
        <v>5.07</v>
      </c>
      <c r="I15" s="10">
        <f>I10*I13</f>
        <v>4.5119999999999996</v>
      </c>
      <c r="J15" s="10">
        <f>J10*J13</f>
        <v>3.6960000000000002</v>
      </c>
      <c r="K15" s="10">
        <f>K10*K13</f>
        <v>3.145</v>
      </c>
      <c r="L15" s="10">
        <f>L10*L13</f>
        <v>2.4819999999999998</v>
      </c>
      <c r="M15" s="10">
        <f>M10*M13</f>
        <v>2.0340000000000003</v>
      </c>
    </row>
    <row r="16" spans="1:13" x14ac:dyDescent="0.25">
      <c r="A16" s="7"/>
      <c r="C16" s="10">
        <f>C15-C14</f>
        <v>-0.38100000000000023</v>
      </c>
      <c r="D16" s="10">
        <f>D15-D14</f>
        <v>-0.22599999999999998</v>
      </c>
      <c r="E16" s="10">
        <f>E15-E14</f>
        <v>0.43400000000000016</v>
      </c>
      <c r="F16" s="10">
        <f>F15-F14</f>
        <v>-0.50399999999999956</v>
      </c>
      <c r="G16" s="10">
        <f>G15-G14</f>
        <v>-1.499999999999968E-2</v>
      </c>
      <c r="H16" s="10">
        <f>H15-H14</f>
        <v>7.0000000000000284E-2</v>
      </c>
      <c r="I16" s="10">
        <f>I15-I14</f>
        <v>0.51199999999999957</v>
      </c>
      <c r="J16" s="10">
        <f>J15-J14</f>
        <v>-0.30399999999999983</v>
      </c>
      <c r="K16" s="10">
        <f>K15-K14</f>
        <v>0.14500000000000002</v>
      </c>
      <c r="L16" s="10">
        <f>L15-L14</f>
        <v>0.48199999999999976</v>
      </c>
      <c r="M16" s="10">
        <f>M15-M14</f>
        <v>3.4000000000000252E-2</v>
      </c>
    </row>
    <row r="17" spans="1:13" x14ac:dyDescent="0.25">
      <c r="A17" s="7" t="s">
        <v>205</v>
      </c>
      <c r="C17" s="10">
        <v>9</v>
      </c>
      <c r="D17" s="10">
        <v>8</v>
      </c>
      <c r="E17" s="10">
        <v>7</v>
      </c>
      <c r="F17" s="10">
        <v>7</v>
      </c>
      <c r="G17" s="10">
        <v>6</v>
      </c>
      <c r="H17" s="10">
        <v>5</v>
      </c>
      <c r="I17" s="10">
        <v>4</v>
      </c>
      <c r="J17" s="10">
        <v>4</v>
      </c>
      <c r="K17" s="10">
        <v>3</v>
      </c>
      <c r="L17" s="10">
        <v>2</v>
      </c>
      <c r="M17" s="10">
        <v>2</v>
      </c>
    </row>
    <row r="18" spans="1:13" x14ac:dyDescent="0.25">
      <c r="A18" s="6" t="s">
        <v>106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  <c r="H18" s="13">
        <v>1</v>
      </c>
      <c r="I18" s="13">
        <v>1</v>
      </c>
      <c r="J18" s="13">
        <v>1</v>
      </c>
      <c r="K18" s="13">
        <v>1</v>
      </c>
      <c r="L18" s="13">
        <v>1</v>
      </c>
      <c r="M18" s="13">
        <v>1</v>
      </c>
    </row>
    <row r="19" spans="1:13" x14ac:dyDescent="0.25">
      <c r="A19" s="7" t="s">
        <v>107</v>
      </c>
      <c r="C19" s="19">
        <v>0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  <c r="L19" s="19">
        <v>0</v>
      </c>
      <c r="M19" s="19">
        <v>0</v>
      </c>
    </row>
    <row r="20" spans="1:13" x14ac:dyDescent="0.25">
      <c r="A20" s="6" t="s">
        <v>211</v>
      </c>
      <c r="C20" s="13">
        <v>2</v>
      </c>
      <c r="D20" s="13">
        <v>2</v>
      </c>
      <c r="E20" s="13">
        <v>2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>
        <v>0</v>
      </c>
    </row>
    <row r="21" spans="1:13" x14ac:dyDescent="0.25">
      <c r="A21" s="6"/>
      <c r="C21" s="13">
        <f>SUM(C18,C19)</f>
        <v>2</v>
      </c>
      <c r="D21" s="13">
        <f>SUM(D18,D19)</f>
        <v>2</v>
      </c>
      <c r="E21" s="13">
        <f>SUM(E18,E19)</f>
        <v>2</v>
      </c>
      <c r="F21" s="13">
        <f>SUM(F18,F19)</f>
        <v>2</v>
      </c>
      <c r="G21" s="13">
        <f>SUM(G18,G19)</f>
        <v>2</v>
      </c>
      <c r="H21" s="13">
        <f>SUM(H18,H19)</f>
        <v>1</v>
      </c>
      <c r="I21" s="13">
        <f>SUM(I18,I19)</f>
        <v>1</v>
      </c>
      <c r="J21" s="13">
        <f>SUM(J18,J19)</f>
        <v>1</v>
      </c>
      <c r="K21" s="13">
        <f>SUM(K18,K19)</f>
        <v>1</v>
      </c>
      <c r="L21" s="13">
        <f>SUM(L18,L19)</f>
        <v>1</v>
      </c>
      <c r="M21" s="13">
        <f>SUM(M18,M19)</f>
        <v>1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0</v>
      </c>
      <c r="F22" s="13">
        <f>F21-F20</f>
        <v>1</v>
      </c>
      <c r="G22" s="13">
        <f>G21-G20</f>
        <v>1</v>
      </c>
      <c r="H22" s="13">
        <f>H21-H20</f>
        <v>0</v>
      </c>
      <c r="I22" s="13">
        <f>I21-I20</f>
        <v>0</v>
      </c>
      <c r="J22" s="13">
        <f>J21-J20</f>
        <v>0</v>
      </c>
      <c r="K22" s="13">
        <f>K21-K20</f>
        <v>0</v>
      </c>
      <c r="L22" s="13">
        <f>L21-L20</f>
        <v>0</v>
      </c>
      <c r="M22" s="13">
        <f>M21-M20</f>
        <v>1</v>
      </c>
    </row>
    <row r="23" spans="1:13" x14ac:dyDescent="0.25">
      <c r="A23" s="7" t="s">
        <v>210</v>
      </c>
      <c r="B23" s="20">
        <v>1.4999999999999999E-2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</row>
    <row r="24" spans="1:13" x14ac:dyDescent="0.25">
      <c r="A24" s="7"/>
      <c r="B24" s="20"/>
      <c r="C24" s="19">
        <f>C10*B23</f>
        <v>0.19500000000000001</v>
      </c>
      <c r="D24" s="19">
        <f>D10*B23</f>
        <v>0.19500000000000001</v>
      </c>
      <c r="E24" s="19">
        <f>E10*B23</f>
        <v>0.21</v>
      </c>
      <c r="F24" s="19">
        <f>F10*B23</f>
        <v>0.21</v>
      </c>
      <c r="G24" s="19">
        <f>G10*B23</f>
        <v>0.22499999999999998</v>
      </c>
      <c r="H24" s="19">
        <f>H10*B23</f>
        <v>0.22499999999999998</v>
      </c>
      <c r="I24" s="19">
        <f>I10*B23</f>
        <v>0.24</v>
      </c>
      <c r="J24" s="19">
        <f>J10*B23</f>
        <v>0.24</v>
      </c>
      <c r="K24" s="19">
        <f>K10*B23</f>
        <v>0.255</v>
      </c>
      <c r="L24" s="19">
        <f>L10*B23</f>
        <v>0.255</v>
      </c>
      <c r="M24" s="19">
        <f>M10*B23</f>
        <v>0.27</v>
      </c>
    </row>
    <row r="25" spans="1:13" x14ac:dyDescent="0.25">
      <c r="A25" s="7"/>
      <c r="B25" s="20"/>
      <c r="C25" s="19">
        <f>C24-C23</f>
        <v>0.19500000000000001</v>
      </c>
      <c r="D25" s="19">
        <f>D24-D23</f>
        <v>0.19500000000000001</v>
      </c>
      <c r="E25" s="19">
        <f>E24-E23</f>
        <v>0.21</v>
      </c>
      <c r="F25" s="19">
        <f>F24-F23</f>
        <v>0.21</v>
      </c>
      <c r="G25" s="19">
        <f>G24-G23</f>
        <v>0.22499999999999998</v>
      </c>
      <c r="H25" s="19">
        <f>H24-H23</f>
        <v>0.22499999999999998</v>
      </c>
      <c r="I25" s="19">
        <f>I24-I23</f>
        <v>0.24</v>
      </c>
      <c r="J25" s="19">
        <f>J24-J23</f>
        <v>0.24</v>
      </c>
      <c r="K25" s="19">
        <f>K24-K23</f>
        <v>0.255</v>
      </c>
      <c r="L25" s="19">
        <f>L24-L23</f>
        <v>0.255</v>
      </c>
      <c r="M25" s="19">
        <f>M24-M23</f>
        <v>0.27</v>
      </c>
    </row>
    <row r="26" spans="1:13" x14ac:dyDescent="0.25">
      <c r="A26" s="6" t="s">
        <v>108</v>
      </c>
      <c r="C26" s="13">
        <v>2</v>
      </c>
      <c r="D26" s="13">
        <v>2</v>
      </c>
      <c r="E26" s="13">
        <v>1</v>
      </c>
      <c r="F26" s="13">
        <v>1</v>
      </c>
      <c r="G26" s="13">
        <v>1</v>
      </c>
      <c r="H26" s="13">
        <v>1</v>
      </c>
      <c r="I26" s="13">
        <v>1</v>
      </c>
      <c r="J26" s="13">
        <v>1</v>
      </c>
      <c r="K26" s="13">
        <v>1</v>
      </c>
      <c r="L26" s="13">
        <v>0</v>
      </c>
      <c r="M26" s="13">
        <v>0</v>
      </c>
    </row>
    <row r="27" spans="1:13" x14ac:dyDescent="0.25">
      <c r="A27" s="6"/>
      <c r="C27" s="13">
        <f>SUM(C20,C23)</f>
        <v>2</v>
      </c>
      <c r="D27" s="13">
        <f>SUM(D20,D23)</f>
        <v>2</v>
      </c>
      <c r="E27" s="13">
        <f>SUM(E20,E23)</f>
        <v>2</v>
      </c>
      <c r="F27" s="13">
        <f>SUM(F20,F23)</f>
        <v>1</v>
      </c>
      <c r="G27" s="13">
        <f>SUM(G20,G23)</f>
        <v>1</v>
      </c>
      <c r="H27" s="13">
        <f>SUM(H20,H23)</f>
        <v>1</v>
      </c>
      <c r="I27" s="13">
        <f>SUM(I20,I23)</f>
        <v>1</v>
      </c>
      <c r="J27" s="13">
        <f>SUM(J20,J23)</f>
        <v>1</v>
      </c>
      <c r="K27" s="13">
        <f>SUM(K20,K23)</f>
        <v>1</v>
      </c>
      <c r="L27" s="13">
        <f>SUM(L20,L23)</f>
        <v>1</v>
      </c>
      <c r="M27" s="13">
        <f>SUM(M20,M23)</f>
        <v>0</v>
      </c>
    </row>
    <row r="28" spans="1:13" x14ac:dyDescent="0.25">
      <c r="A28" s="6"/>
      <c r="C28" s="13">
        <f>C27-C26</f>
        <v>0</v>
      </c>
      <c r="D28" s="13">
        <f>D27-D26</f>
        <v>0</v>
      </c>
      <c r="E28" s="13">
        <f>E27-E26</f>
        <v>1</v>
      </c>
      <c r="F28" s="13">
        <f>F27-F26</f>
        <v>0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0</v>
      </c>
      <c r="L28" s="13">
        <f>L27-L26</f>
        <v>1</v>
      </c>
      <c r="M28" s="13">
        <f>M27-M26</f>
        <v>0</v>
      </c>
    </row>
    <row r="29" spans="1:13" x14ac:dyDescent="0.25">
      <c r="A29" s="7" t="s">
        <v>212</v>
      </c>
      <c r="B29" s="20">
        <v>0.218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</row>
    <row r="30" spans="1:13" x14ac:dyDescent="0.25">
      <c r="A30" s="7"/>
      <c r="B30" s="20"/>
      <c r="C30" s="19">
        <f>C26*B29</f>
        <v>0.436</v>
      </c>
      <c r="D30" s="19">
        <f>D26*B29</f>
        <v>0.436</v>
      </c>
      <c r="E30" s="19">
        <f>E26*B29</f>
        <v>0.218</v>
      </c>
      <c r="F30" s="19">
        <f>F26*B29</f>
        <v>0.218</v>
      </c>
      <c r="G30" s="19">
        <f>G26*B29</f>
        <v>0.218</v>
      </c>
      <c r="H30" s="19">
        <f>H26*B29</f>
        <v>0.218</v>
      </c>
      <c r="I30" s="19">
        <f>I26*B29</f>
        <v>0.218</v>
      </c>
      <c r="J30" s="19">
        <f>J26*B29</f>
        <v>0.218</v>
      </c>
      <c r="K30" s="19">
        <f>K26*B29</f>
        <v>0.218</v>
      </c>
      <c r="L30" s="19">
        <f>L26*B29</f>
        <v>0</v>
      </c>
      <c r="M30" s="19">
        <f>M26*B29</f>
        <v>0</v>
      </c>
    </row>
    <row r="31" spans="1:13" x14ac:dyDescent="0.25">
      <c r="A31" s="7"/>
      <c r="B31" s="20"/>
      <c r="C31" s="19">
        <f>C30-C29</f>
        <v>0.436</v>
      </c>
      <c r="D31" s="19">
        <f>D30-D29</f>
        <v>0.436</v>
      </c>
      <c r="E31" s="19">
        <f>E30-E29</f>
        <v>0.218</v>
      </c>
      <c r="F31" s="19">
        <f>F30-F29</f>
        <v>0.218</v>
      </c>
      <c r="G31" s="19">
        <f>G30-G29</f>
        <v>0.218</v>
      </c>
      <c r="H31" s="19">
        <f>H30-H29</f>
        <v>0.218</v>
      </c>
      <c r="I31" s="19">
        <f>I30-I29</f>
        <v>0.218</v>
      </c>
      <c r="J31" s="19">
        <f>J30-J29</f>
        <v>0.218</v>
      </c>
      <c r="K31" s="19">
        <f>K30-K29</f>
        <v>0.218</v>
      </c>
      <c r="L31" s="19">
        <f>L30-L29</f>
        <v>0</v>
      </c>
      <c r="M31" s="19">
        <f>M30-M29</f>
        <v>0</v>
      </c>
    </row>
    <row r="32" spans="1:13" x14ac:dyDescent="0.25">
      <c r="A32" s="6" t="s">
        <v>213</v>
      </c>
      <c r="C32" s="13">
        <v>1</v>
      </c>
      <c r="D32" s="13">
        <v>1</v>
      </c>
      <c r="E32" s="13">
        <v>1</v>
      </c>
      <c r="F32" s="13">
        <v>1</v>
      </c>
      <c r="G32" s="13">
        <v>1</v>
      </c>
      <c r="H32" s="13">
        <v>1</v>
      </c>
      <c r="I32" s="13">
        <v>1</v>
      </c>
      <c r="J32" s="13">
        <v>1</v>
      </c>
      <c r="K32" s="13">
        <v>0</v>
      </c>
      <c r="L32" s="13">
        <v>0</v>
      </c>
      <c r="M32" s="13">
        <v>0</v>
      </c>
    </row>
    <row r="33" spans="1:13" x14ac:dyDescent="0.25">
      <c r="A33" s="6"/>
      <c r="C33" s="13">
        <f>SUM(C26,C29)</f>
        <v>2</v>
      </c>
      <c r="D33" s="13">
        <f>SUM(D26,D29)</f>
        <v>2</v>
      </c>
      <c r="E33" s="13">
        <f>SUM(E26,E29)</f>
        <v>1</v>
      </c>
      <c r="F33" s="13">
        <f>SUM(F26,F29)</f>
        <v>1</v>
      </c>
      <c r="G33" s="13">
        <f>SUM(G26,G29)</f>
        <v>1</v>
      </c>
      <c r="H33" s="13">
        <f>SUM(H26,H29)</f>
        <v>1</v>
      </c>
      <c r="I33" s="13">
        <f>SUM(I26,I29)</f>
        <v>1</v>
      </c>
      <c r="J33" s="13">
        <f>SUM(J26,J29)</f>
        <v>1</v>
      </c>
      <c r="K33" s="13">
        <f>SUM(K26,K29)</f>
        <v>1</v>
      </c>
      <c r="L33" s="13">
        <f>SUM(L26,L29)</f>
        <v>0</v>
      </c>
      <c r="M33" s="13">
        <f>SUM(M26,M29)</f>
        <v>0</v>
      </c>
    </row>
    <row r="34" spans="1:13" x14ac:dyDescent="0.25">
      <c r="A34" s="6"/>
      <c r="C34" s="13">
        <f>C33-C32</f>
        <v>1</v>
      </c>
      <c r="D34" s="13">
        <f>D33-D32</f>
        <v>1</v>
      </c>
      <c r="E34" s="13">
        <f>E33-E32</f>
        <v>0</v>
      </c>
      <c r="F34" s="13">
        <f>F33-F32</f>
        <v>0</v>
      </c>
      <c r="G34" s="13">
        <f>G33-G32</f>
        <v>0</v>
      </c>
      <c r="H34" s="13">
        <f>H33-H32</f>
        <v>0</v>
      </c>
      <c r="I34" s="13">
        <f>I33-I32</f>
        <v>0</v>
      </c>
      <c r="J34" s="13">
        <f>J33-J32</f>
        <v>0</v>
      </c>
      <c r="K34" s="13">
        <f>K33-K32</f>
        <v>1</v>
      </c>
      <c r="L34" s="13">
        <f>L33-L32</f>
        <v>0</v>
      </c>
      <c r="M34" s="13">
        <f>M33-M32</f>
        <v>0</v>
      </c>
    </row>
    <row r="35" spans="1:13" x14ac:dyDescent="0.25">
      <c r="A35" s="7" t="s">
        <v>214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  <c r="L35" s="19">
        <v>0</v>
      </c>
      <c r="M35" s="19">
        <v>0</v>
      </c>
    </row>
    <row r="36" spans="1:13" x14ac:dyDescent="0.25">
      <c r="A36" s="6" t="s">
        <v>215</v>
      </c>
      <c r="C36" s="13">
        <v>1</v>
      </c>
      <c r="D36" s="13">
        <v>1</v>
      </c>
      <c r="E36" s="13">
        <v>1</v>
      </c>
      <c r="F36" s="13">
        <v>1</v>
      </c>
      <c r="G36" s="13">
        <v>1</v>
      </c>
      <c r="H36" s="13">
        <v>1</v>
      </c>
      <c r="I36" s="13">
        <v>1</v>
      </c>
      <c r="J36" s="13">
        <v>0</v>
      </c>
      <c r="K36" s="13">
        <v>0</v>
      </c>
      <c r="L36" s="13">
        <v>0</v>
      </c>
      <c r="M36" s="13">
        <v>0</v>
      </c>
    </row>
    <row r="37" spans="1:13" x14ac:dyDescent="0.25">
      <c r="A37" s="6"/>
      <c r="C37" s="13">
        <f>SUM(C32,C35)</f>
        <v>1</v>
      </c>
      <c r="D37" s="13">
        <f>SUM(D32,D35)</f>
        <v>1</v>
      </c>
      <c r="E37" s="13">
        <f>SUM(E32,E35)</f>
        <v>1</v>
      </c>
      <c r="F37" s="13">
        <f>SUM(F32,F35)</f>
        <v>1</v>
      </c>
      <c r="G37" s="13">
        <f>SUM(G32,G35)</f>
        <v>1</v>
      </c>
      <c r="H37" s="13">
        <f>SUM(H32,H35)</f>
        <v>1</v>
      </c>
      <c r="I37" s="13">
        <f>SUM(I32,I35)</f>
        <v>1</v>
      </c>
      <c r="J37" s="13">
        <f>SUM(J32,J35)</f>
        <v>1</v>
      </c>
      <c r="K37" s="13">
        <f>SUM(K32,K35)</f>
        <v>0</v>
      </c>
      <c r="L37" s="13">
        <f>SUM(L32,L35)</f>
        <v>0</v>
      </c>
      <c r="M37" s="13">
        <f>SUM(M32,M35)</f>
        <v>0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1</v>
      </c>
      <c r="K38" s="13">
        <f>K37-K36</f>
        <v>0</v>
      </c>
      <c r="L38" s="13">
        <f>L37-L36</f>
        <v>0</v>
      </c>
      <c r="M38" s="13">
        <f>M37-M36</f>
        <v>0</v>
      </c>
    </row>
    <row r="39" spans="1:13" x14ac:dyDescent="0.25">
      <c r="A39" s="7" t="s">
        <v>115</v>
      </c>
      <c r="B39" s="20">
        <v>0.11</v>
      </c>
      <c r="C39" s="23">
        <v>0.32590000000000002</v>
      </c>
      <c r="D39" s="23">
        <v>0.29360000000000003</v>
      </c>
      <c r="E39" s="23">
        <v>0.26450000000000001</v>
      </c>
      <c r="F39" s="23">
        <v>0.23830000000000001</v>
      </c>
      <c r="G39" s="23">
        <v>0.2147</v>
      </c>
      <c r="H39" s="23">
        <v>0.19339999999999999</v>
      </c>
      <c r="I39" s="23">
        <v>0.17419999999999999</v>
      </c>
      <c r="J39" s="24">
        <v>0.157</v>
      </c>
      <c r="K39" s="23">
        <v>0.1414</v>
      </c>
      <c r="L39" s="23">
        <v>0.12740000000000001</v>
      </c>
      <c r="M39" s="23">
        <v>0.1148</v>
      </c>
    </row>
    <row r="40" spans="1:13" x14ac:dyDescent="0.25">
      <c r="A40" s="6" t="s">
        <v>116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</row>
    <row r="41" spans="1:13" x14ac:dyDescent="0.25">
      <c r="A41" s="6"/>
      <c r="C41" s="13">
        <f>C36*C39</f>
        <v>0.32590000000000002</v>
      </c>
      <c r="D41" s="13">
        <f>D36*D39</f>
        <v>0.29360000000000003</v>
      </c>
      <c r="E41" s="13">
        <f>E36*E39</f>
        <v>0.26450000000000001</v>
      </c>
      <c r="F41" s="13">
        <f>F36*F39</f>
        <v>0.23830000000000001</v>
      </c>
      <c r="G41" s="13">
        <f>G36*G39</f>
        <v>0.2147</v>
      </c>
      <c r="H41" s="13">
        <f>H36*H39</f>
        <v>0.19339999999999999</v>
      </c>
      <c r="I41" s="13">
        <f>I36*I39</f>
        <v>0.17419999999999999</v>
      </c>
      <c r="J41" s="13">
        <f>J36*J39</f>
        <v>0</v>
      </c>
      <c r="K41" s="13">
        <f>K36*K39</f>
        <v>0</v>
      </c>
      <c r="L41" s="13">
        <f>L36*L39</f>
        <v>0</v>
      </c>
      <c r="M41" s="13">
        <f>M36*M39</f>
        <v>0</v>
      </c>
    </row>
    <row r="42" spans="1:13" x14ac:dyDescent="0.25">
      <c r="A42" s="6"/>
      <c r="C42" s="13">
        <f>C41-C40</f>
        <v>0.32590000000000002</v>
      </c>
      <c r="D42" s="13">
        <f>D41-D40</f>
        <v>0.29360000000000003</v>
      </c>
      <c r="E42" s="13">
        <f>E41-E40</f>
        <v>0.26450000000000001</v>
      </c>
      <c r="F42" s="13">
        <f>F41-F40</f>
        <v>0.23830000000000001</v>
      </c>
      <c r="G42" s="13">
        <f>G41-G40</f>
        <v>0.2147</v>
      </c>
      <c r="H42" s="13">
        <f>H41-H40</f>
        <v>0.19339999999999999</v>
      </c>
      <c r="I42" s="13">
        <f>I41-I40</f>
        <v>0.17419999999999999</v>
      </c>
      <c r="J42" s="13">
        <f>J41-J40</f>
        <v>0</v>
      </c>
      <c r="K42" s="13">
        <f>K41-K40</f>
        <v>0</v>
      </c>
      <c r="L42" s="13">
        <f>L41-L40</f>
        <v>0</v>
      </c>
      <c r="M42" s="13">
        <f>M41-M40</f>
        <v>0</v>
      </c>
    </row>
    <row r="43" spans="1:13" x14ac:dyDescent="0.25">
      <c r="A43" s="9" t="s">
        <v>221</v>
      </c>
    </row>
    <row r="44" spans="1:13" x14ac:dyDescent="0.25">
      <c r="A44" s="7" t="s">
        <v>222</v>
      </c>
      <c r="C44" s="20">
        <v>0.03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  <c r="L44" s="20">
        <v>0.03</v>
      </c>
      <c r="M44" s="20">
        <v>0.03</v>
      </c>
    </row>
    <row r="45" spans="1:13" x14ac:dyDescent="0.25">
      <c r="A45" s="7" t="s">
        <v>224</v>
      </c>
      <c r="C45" s="20">
        <v>0.26</v>
      </c>
      <c r="D45" s="20">
        <v>0.26</v>
      </c>
      <c r="E45" s="20">
        <v>0.26</v>
      </c>
      <c r="F45" s="20">
        <v>0.26</v>
      </c>
      <c r="G45" s="20">
        <v>0.26</v>
      </c>
      <c r="H45" s="20">
        <v>0.26</v>
      </c>
      <c r="I45" s="20">
        <v>0.26</v>
      </c>
      <c r="J45" s="20">
        <v>0.26</v>
      </c>
      <c r="K45" s="20">
        <v>0.26</v>
      </c>
      <c r="L45" s="20">
        <v>0.26</v>
      </c>
      <c r="M45" s="20">
        <v>0.26</v>
      </c>
    </row>
    <row r="46" spans="1:13" x14ac:dyDescent="0.25">
      <c r="A46" s="7" t="s">
        <v>107</v>
      </c>
      <c r="C46" s="20">
        <v>4.9000000000000002E-2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  <c r="L46" s="20">
        <v>4.9000000000000002E-2</v>
      </c>
      <c r="M46" s="20">
        <v>4.9000000000000002E-2</v>
      </c>
    </row>
    <row r="47" spans="1:13" x14ac:dyDescent="0.25">
      <c r="A47" s="7" t="s">
        <v>225</v>
      </c>
      <c r="C47" s="20">
        <v>0.21099999999999999</v>
      </c>
      <c r="D47" s="20">
        <v>0.21099999999999999</v>
      </c>
      <c r="E47" s="20">
        <v>0.21099999999999999</v>
      </c>
      <c r="F47" s="20">
        <v>0.21099999999999999</v>
      </c>
      <c r="G47" s="20">
        <v>0.21099999999999999</v>
      </c>
      <c r="H47" s="20">
        <v>0.21099999999999999</v>
      </c>
      <c r="I47" s="20">
        <v>0.21099999999999999</v>
      </c>
      <c r="J47" s="20">
        <v>0.21099999999999999</v>
      </c>
      <c r="K47" s="20">
        <v>0.21099999999999999</v>
      </c>
      <c r="L47" s="20">
        <v>0.21099999999999999</v>
      </c>
      <c r="M47" s="20">
        <v>0.21099999999999999</v>
      </c>
    </row>
    <row r="48" spans="1:13" x14ac:dyDescent="0.25">
      <c r="A48" s="7" t="s">
        <v>240</v>
      </c>
      <c r="C48" s="20">
        <v>3.4000000000000002E-2</v>
      </c>
      <c r="D48" s="20">
        <v>3.4000000000000002E-2</v>
      </c>
      <c r="E48" s="20">
        <v>3.4000000000000002E-2</v>
      </c>
      <c r="F48" s="20">
        <v>3.4000000000000002E-2</v>
      </c>
      <c r="G48" s="20">
        <v>3.4000000000000002E-2</v>
      </c>
      <c r="H48" s="20">
        <v>3.4000000000000002E-2</v>
      </c>
      <c r="I48" s="20">
        <v>3.4000000000000002E-2</v>
      </c>
      <c r="J48" s="20">
        <v>3.4000000000000002E-2</v>
      </c>
      <c r="K48" s="20">
        <v>3.4000000000000002E-2</v>
      </c>
      <c r="L48" s="20">
        <v>3.4000000000000002E-2</v>
      </c>
      <c r="M48" s="20">
        <v>3.4000000000000002E-2</v>
      </c>
    </row>
    <row r="49" spans="1:13" x14ac:dyDescent="0.25">
      <c r="A49" s="16" t="s">
        <v>127</v>
      </c>
    </row>
    <row r="50" spans="1:13" x14ac:dyDescent="0.25">
      <c r="A50" s="7" t="s">
        <v>227</v>
      </c>
    </row>
    <row r="51" spans="1:13" x14ac:dyDescent="0.25">
      <c r="A51" s="16" t="s">
        <v>61</v>
      </c>
    </row>
    <row r="52" spans="1:13" x14ac:dyDescent="0.25">
      <c r="A52" s="9" t="s">
        <v>62</v>
      </c>
      <c r="M52" s="32" t="s">
        <v>63</v>
      </c>
    </row>
    <row r="53" spans="1:13" x14ac:dyDescent="0.25">
      <c r="A53" s="9"/>
      <c r="M53" s="32"/>
    </row>
    <row r="54" spans="1:13" x14ac:dyDescent="0.25">
      <c r="A54" s="9"/>
      <c r="M54" s="32"/>
    </row>
    <row r="55" spans="1:13" x14ac:dyDescent="0.25">
      <c r="G55" s="5" t="s">
        <v>6</v>
      </c>
    </row>
    <row r="56" spans="1:13" x14ac:dyDescent="0.25">
      <c r="G56" s="5"/>
    </row>
    <row r="57" spans="1:13" x14ac:dyDescent="0.25">
      <c r="G57" s="5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2:M5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277</v>
      </c>
    </row>
    <row r="3" spans="1:13" x14ac:dyDescent="0.25">
      <c r="A3" s="6" t="s">
        <v>9</v>
      </c>
    </row>
    <row r="4" spans="1:13" x14ac:dyDescent="0.25">
      <c r="A4" s="6" t="s">
        <v>275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203</v>
      </c>
      <c r="C8" s="10">
        <v>18</v>
      </c>
      <c r="D8" s="10">
        <v>19</v>
      </c>
      <c r="E8" s="10">
        <v>19</v>
      </c>
      <c r="F8" s="10">
        <v>20</v>
      </c>
      <c r="G8" s="10">
        <v>20</v>
      </c>
      <c r="H8" s="10">
        <v>21</v>
      </c>
      <c r="I8" s="10">
        <v>22</v>
      </c>
      <c r="J8" s="10">
        <v>22</v>
      </c>
      <c r="K8" s="10">
        <v>23</v>
      </c>
    </row>
    <row r="9" spans="1:13" x14ac:dyDescent="0.25">
      <c r="A9" s="7" t="s">
        <v>204</v>
      </c>
    </row>
    <row r="10" spans="1:13" x14ac:dyDescent="0.25">
      <c r="A10" s="7" t="s">
        <v>253</v>
      </c>
      <c r="C10" s="10">
        <v>18</v>
      </c>
      <c r="D10" s="10">
        <v>19</v>
      </c>
      <c r="E10" s="10">
        <v>19</v>
      </c>
      <c r="F10" s="10">
        <v>20</v>
      </c>
      <c r="G10" s="10">
        <v>20</v>
      </c>
      <c r="H10" s="10">
        <v>21</v>
      </c>
      <c r="I10" s="10">
        <v>22</v>
      </c>
      <c r="J10" s="10">
        <v>22</v>
      </c>
      <c r="K10" s="10">
        <v>23</v>
      </c>
    </row>
    <row r="11" spans="1:13" x14ac:dyDescent="0.25">
      <c r="A11" s="7"/>
      <c r="C11" s="10">
        <f>SUM(C8:C9)</f>
        <v>18</v>
      </c>
      <c r="D11" s="10">
        <f>SUM(D8:D9)</f>
        <v>19</v>
      </c>
      <c r="E11" s="10">
        <f>SUM(E8:E9)</f>
        <v>19</v>
      </c>
      <c r="F11" s="10">
        <f>SUM(F8:F9)</f>
        <v>20</v>
      </c>
      <c r="G11" s="10">
        <f>SUM(G8:G9)</f>
        <v>20</v>
      </c>
      <c r="H11" s="10">
        <f>SUM(H8:H9)</f>
        <v>21</v>
      </c>
      <c r="I11" s="10">
        <f>SUM(I8:I9)</f>
        <v>22</v>
      </c>
      <c r="J11" s="10">
        <f>SUM(J8:J9)</f>
        <v>22</v>
      </c>
      <c r="K11" s="10">
        <f>SUM(K8:K9)</f>
        <v>23</v>
      </c>
      <c r="L11">
        <f>SUM(L8:L9)</f>
        <v>0</v>
      </c>
      <c r="M11">
        <f>SUM(M8:M9)</f>
        <v>0</v>
      </c>
    </row>
    <row r="12" spans="1:13" x14ac:dyDescent="0.25">
      <c r="A12" s="7"/>
      <c r="C12" s="10">
        <f>C11-C10</f>
        <v>0</v>
      </c>
      <c r="D12" s="10">
        <f>D11-D10</f>
        <v>0</v>
      </c>
      <c r="E12" s="10">
        <f>E11-E10</f>
        <v>0</v>
      </c>
      <c r="F12" s="10">
        <f>F11-F10</f>
        <v>0</v>
      </c>
      <c r="G12" s="10">
        <f>G11-G10</f>
        <v>0</v>
      </c>
      <c r="H12" s="10">
        <f>H11-H10</f>
        <v>0</v>
      </c>
      <c r="I12" s="10">
        <f>I11-I10</f>
        <v>0</v>
      </c>
      <c r="J12" s="10">
        <f>J11-J10</f>
        <v>0</v>
      </c>
      <c r="K12" s="10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206</v>
      </c>
      <c r="B13" s="7" t="s">
        <v>254</v>
      </c>
      <c r="C13" s="20">
        <v>8.5999999999999993E-2</v>
      </c>
      <c r="D13" s="20">
        <v>6.4000000000000001E-2</v>
      </c>
      <c r="E13" s="20">
        <v>4.7E-2</v>
      </c>
      <c r="F13" s="20">
        <v>3.3000000000000002E-2</v>
      </c>
      <c r="G13" s="20">
        <v>2.3E-2</v>
      </c>
      <c r="H13" s="20">
        <v>1.6E-2</v>
      </c>
      <c r="I13" s="20">
        <v>1.0999999999999999E-2</v>
      </c>
      <c r="J13" s="20">
        <v>7.0000000000000001E-3</v>
      </c>
      <c r="K13" s="20">
        <v>5.0000000000000001E-3</v>
      </c>
    </row>
    <row r="14" spans="1:13" x14ac:dyDescent="0.25">
      <c r="A14" s="7" t="s">
        <v>208</v>
      </c>
      <c r="C14" s="10">
        <v>2</v>
      </c>
      <c r="D14" s="10">
        <v>1</v>
      </c>
      <c r="E14" s="10">
        <v>1</v>
      </c>
      <c r="F14" s="10">
        <v>1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</row>
    <row r="15" spans="1:13" x14ac:dyDescent="0.25">
      <c r="A15" s="7"/>
      <c r="C15" s="10">
        <f>C10*C13</f>
        <v>1.5479999999999998</v>
      </c>
      <c r="D15" s="10">
        <f>D10*D13</f>
        <v>1.216</v>
      </c>
      <c r="E15" s="10">
        <f>E10*E13</f>
        <v>0.89300000000000002</v>
      </c>
      <c r="F15" s="10">
        <f>F10*F13</f>
        <v>0.66</v>
      </c>
      <c r="G15" s="10">
        <f>G10*G13</f>
        <v>0.45999999999999996</v>
      </c>
      <c r="H15" s="10">
        <f>H10*H13</f>
        <v>0.33600000000000002</v>
      </c>
      <c r="I15" s="10">
        <f>I10*I13</f>
        <v>0.24199999999999999</v>
      </c>
      <c r="J15" s="10">
        <f>J10*J13</f>
        <v>0.154</v>
      </c>
      <c r="K15" s="10">
        <f>K10*K13</f>
        <v>0.115</v>
      </c>
      <c r="L15">
        <f>L10*L13</f>
        <v>0</v>
      </c>
      <c r="M15">
        <f>M10*M13</f>
        <v>0</v>
      </c>
    </row>
    <row r="16" spans="1:13" x14ac:dyDescent="0.25">
      <c r="A16" s="7"/>
      <c r="C16" s="10">
        <f>C15-C14</f>
        <v>-0.45200000000000018</v>
      </c>
      <c r="D16" s="10">
        <f>D15-D14</f>
        <v>0.21599999999999997</v>
      </c>
      <c r="E16" s="10">
        <f>E15-E14</f>
        <v>-0.10699999999999998</v>
      </c>
      <c r="F16" s="10">
        <f>F15-F14</f>
        <v>-0.33999999999999997</v>
      </c>
      <c r="G16" s="10">
        <f>G15-G14</f>
        <v>0.45999999999999996</v>
      </c>
      <c r="H16" s="10">
        <f>H15-H14</f>
        <v>0.33600000000000002</v>
      </c>
      <c r="I16" s="10">
        <f>I15-I14</f>
        <v>0.24199999999999999</v>
      </c>
      <c r="J16" s="10">
        <f>J15-J14</f>
        <v>0.154</v>
      </c>
      <c r="K16" s="10">
        <f>K15-K14</f>
        <v>0.115</v>
      </c>
      <c r="L16">
        <f>L15-L14</f>
        <v>0</v>
      </c>
      <c r="M16">
        <f>M15-M14</f>
        <v>0</v>
      </c>
    </row>
    <row r="17" spans="1:13" x14ac:dyDescent="0.25">
      <c r="A17" s="7" t="s">
        <v>205</v>
      </c>
      <c r="C17" s="10">
        <v>2</v>
      </c>
      <c r="D17" s="10">
        <v>1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</row>
    <row r="18" spans="1:13" x14ac:dyDescent="0.25">
      <c r="A18" s="6" t="s">
        <v>106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1:13" x14ac:dyDescent="0.25">
      <c r="A19" s="7" t="s">
        <v>107</v>
      </c>
      <c r="C19" s="19">
        <v>0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</row>
    <row r="20" spans="1:13" x14ac:dyDescent="0.25">
      <c r="A20" s="6" t="s">
        <v>211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1:13" x14ac:dyDescent="0.25">
      <c r="A21" s="6"/>
      <c r="C21" s="13">
        <f>SUM(C18,C19)</f>
        <v>0</v>
      </c>
      <c r="D21" s="13">
        <f>SUM(D18,D19)</f>
        <v>0</v>
      </c>
      <c r="E21" s="13">
        <f>SUM(E18,E19)</f>
        <v>0</v>
      </c>
      <c r="F21" s="13">
        <f>SUM(F18,F19)</f>
        <v>0</v>
      </c>
      <c r="G21" s="13">
        <f>SUM(G18,G19)</f>
        <v>0</v>
      </c>
      <c r="H21" s="13">
        <f>SUM(H18,H19)</f>
        <v>0</v>
      </c>
      <c r="I21" s="13">
        <f>SUM(I18,I19)</f>
        <v>0</v>
      </c>
      <c r="J21" s="13">
        <f>SUM(J18,J19)</f>
        <v>0</v>
      </c>
      <c r="K21" s="13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0</v>
      </c>
      <c r="F22" s="13">
        <f>F21-F20</f>
        <v>0</v>
      </c>
      <c r="G22" s="13">
        <f>G21-G20</f>
        <v>0</v>
      </c>
      <c r="H22" s="13">
        <f>H21-H20</f>
        <v>0</v>
      </c>
      <c r="I22" s="13">
        <f>I21-I20</f>
        <v>0</v>
      </c>
      <c r="J22" s="13">
        <f>J21-J20</f>
        <v>0</v>
      </c>
      <c r="K22" s="13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210</v>
      </c>
      <c r="B23" s="20">
        <v>1.4999999999999999E-2</v>
      </c>
      <c r="C23" s="19">
        <v>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</row>
    <row r="24" spans="1:13" x14ac:dyDescent="0.25">
      <c r="A24" s="7"/>
      <c r="B24" s="20"/>
      <c r="C24" s="19">
        <f>C10*B23</f>
        <v>0.27</v>
      </c>
      <c r="D24" s="19">
        <f>D10*B23</f>
        <v>0.28499999999999998</v>
      </c>
      <c r="E24" s="19">
        <f>E10*B23</f>
        <v>0.28499999999999998</v>
      </c>
      <c r="F24" s="19">
        <f>F10*B23</f>
        <v>0.3</v>
      </c>
      <c r="G24" s="19">
        <f>G10*B23</f>
        <v>0.3</v>
      </c>
      <c r="H24" s="19">
        <f>H10*B23</f>
        <v>0.315</v>
      </c>
      <c r="I24" s="19">
        <f>I10*B23</f>
        <v>0.32999999999999996</v>
      </c>
      <c r="J24" s="19">
        <f>J10*B23</f>
        <v>0.32999999999999996</v>
      </c>
      <c r="K24" s="19">
        <f>K10*B23</f>
        <v>0.34499999999999997</v>
      </c>
      <c r="L24">
        <f>L10*B23</f>
        <v>0</v>
      </c>
      <c r="M24">
        <f>M10*B23</f>
        <v>0</v>
      </c>
    </row>
    <row r="25" spans="1:13" x14ac:dyDescent="0.25">
      <c r="A25" s="7"/>
      <c r="B25" s="20"/>
      <c r="C25" s="19">
        <f>C24-C23</f>
        <v>0.27</v>
      </c>
      <c r="D25" s="19">
        <f>D24-D23</f>
        <v>0.28499999999999998</v>
      </c>
      <c r="E25" s="19">
        <f>E24-E23</f>
        <v>0.28499999999999998</v>
      </c>
      <c r="F25" s="19">
        <f>F24-F23</f>
        <v>0.3</v>
      </c>
      <c r="G25" s="19">
        <f>G24-G23</f>
        <v>0.3</v>
      </c>
      <c r="H25" s="19">
        <f>H24-H23</f>
        <v>0.315</v>
      </c>
      <c r="I25" s="19">
        <f>I24-I23</f>
        <v>0.32999999999999996</v>
      </c>
      <c r="J25" s="19">
        <f>J24-J23</f>
        <v>0.32999999999999996</v>
      </c>
      <c r="K25" s="19">
        <f>K24-K23</f>
        <v>0.34499999999999997</v>
      </c>
      <c r="L25">
        <f>L24-L23</f>
        <v>0</v>
      </c>
      <c r="M25">
        <f>M24-M23</f>
        <v>0</v>
      </c>
    </row>
    <row r="26" spans="1:13" x14ac:dyDescent="0.25">
      <c r="A26" s="6" t="s">
        <v>108</v>
      </c>
      <c r="C26" s="13">
        <v>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1:13" x14ac:dyDescent="0.25">
      <c r="A27" s="6"/>
      <c r="C27" s="13">
        <f>SUM(C20,C23)</f>
        <v>0</v>
      </c>
      <c r="D27" s="13">
        <f>SUM(D20,D23)</f>
        <v>0</v>
      </c>
      <c r="E27" s="13">
        <f>SUM(E20,E23)</f>
        <v>0</v>
      </c>
      <c r="F27" s="13">
        <f>SUM(F20,F23)</f>
        <v>0</v>
      </c>
      <c r="G27" s="13">
        <f>SUM(G20,G23)</f>
        <v>0</v>
      </c>
      <c r="H27" s="13">
        <f>SUM(H20,H23)</f>
        <v>0</v>
      </c>
      <c r="I27" s="13">
        <f>SUM(I20,I23)</f>
        <v>0</v>
      </c>
      <c r="J27" s="13">
        <f>SUM(J20,J23)</f>
        <v>0</v>
      </c>
      <c r="K27" s="13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6"/>
      <c r="C28" s="13">
        <f>C27-C26</f>
        <v>0</v>
      </c>
      <c r="D28" s="13">
        <f>D27-D26</f>
        <v>0</v>
      </c>
      <c r="E28" s="13">
        <f>E27-E26</f>
        <v>0</v>
      </c>
      <c r="F28" s="13">
        <f>F27-F26</f>
        <v>0</v>
      </c>
      <c r="G28" s="13">
        <f>G27-G26</f>
        <v>0</v>
      </c>
      <c r="H28" s="13">
        <f>H27-H26</f>
        <v>0</v>
      </c>
      <c r="I28" s="13">
        <f>I27-I26</f>
        <v>0</v>
      </c>
      <c r="J28" s="13">
        <f>J27-J26</f>
        <v>0</v>
      </c>
      <c r="K28" s="13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212</v>
      </c>
      <c r="B29" s="20">
        <v>0.218</v>
      </c>
      <c r="C29" s="19">
        <v>0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</row>
    <row r="30" spans="1:13" x14ac:dyDescent="0.25">
      <c r="A30" s="7"/>
      <c r="B30" s="20"/>
      <c r="C30" s="19">
        <f>C26*B29</f>
        <v>0</v>
      </c>
      <c r="D30" s="19">
        <f>D26*B29</f>
        <v>0</v>
      </c>
      <c r="E30" s="19">
        <f>E26*B29</f>
        <v>0</v>
      </c>
      <c r="F30" s="19">
        <f>F26*B29</f>
        <v>0</v>
      </c>
      <c r="G30" s="19">
        <f>G26*B29</f>
        <v>0</v>
      </c>
      <c r="H30" s="19">
        <f>H26*B29</f>
        <v>0</v>
      </c>
      <c r="I30" s="19">
        <f>I26*B29</f>
        <v>0</v>
      </c>
      <c r="J30" s="19">
        <f>J26*B29</f>
        <v>0</v>
      </c>
      <c r="K30" s="19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B31" s="20"/>
      <c r="C31" s="19">
        <f>C30-C29</f>
        <v>0</v>
      </c>
      <c r="D31" s="19">
        <f>D30-D29</f>
        <v>0</v>
      </c>
      <c r="E31" s="19">
        <f>E30-E29</f>
        <v>0</v>
      </c>
      <c r="F31" s="19">
        <f>F30-F29</f>
        <v>0</v>
      </c>
      <c r="G31" s="19">
        <f>G30-G29</f>
        <v>0</v>
      </c>
      <c r="H31" s="19">
        <f>H30-H29</f>
        <v>0</v>
      </c>
      <c r="I31" s="19">
        <f>I30-I29</f>
        <v>0</v>
      </c>
      <c r="J31" s="19">
        <f>J30-J29</f>
        <v>0</v>
      </c>
      <c r="K31" s="19">
        <f>K30-K29</f>
        <v>0</v>
      </c>
      <c r="L31">
        <f>L30-L29</f>
        <v>0</v>
      </c>
      <c r="M31">
        <f>M30-M29</f>
        <v>0</v>
      </c>
    </row>
    <row r="32" spans="1:13" x14ac:dyDescent="0.25">
      <c r="A32" s="6" t="s">
        <v>213</v>
      </c>
      <c r="C32" s="13">
        <v>0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1:13" x14ac:dyDescent="0.25">
      <c r="A33" s="6"/>
      <c r="C33" s="13">
        <f>SUM(C26,C29)</f>
        <v>0</v>
      </c>
      <c r="D33" s="13">
        <f>SUM(D26,D29)</f>
        <v>0</v>
      </c>
      <c r="E33" s="13">
        <f>SUM(E26,E29)</f>
        <v>0</v>
      </c>
      <c r="F33" s="13">
        <f>SUM(F26,F29)</f>
        <v>0</v>
      </c>
      <c r="G33" s="13">
        <f>SUM(G26,G29)</f>
        <v>0</v>
      </c>
      <c r="H33" s="13">
        <f>SUM(H26,H29)</f>
        <v>0</v>
      </c>
      <c r="I33" s="13">
        <f>SUM(I26,I29)</f>
        <v>0</v>
      </c>
      <c r="J33" s="13">
        <f>SUM(J26,J29)</f>
        <v>0</v>
      </c>
      <c r="K33" s="1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6"/>
      <c r="C34" s="13">
        <f>C33-C32</f>
        <v>0</v>
      </c>
      <c r="D34" s="13">
        <f>D33-D32</f>
        <v>0</v>
      </c>
      <c r="E34" s="13">
        <f>E33-E32</f>
        <v>0</v>
      </c>
      <c r="F34" s="13">
        <f>F33-F32</f>
        <v>0</v>
      </c>
      <c r="G34" s="13">
        <f>G33-G32</f>
        <v>0</v>
      </c>
      <c r="H34" s="13">
        <f>H33-H32</f>
        <v>0</v>
      </c>
      <c r="I34" s="13">
        <f>I33-I32</f>
        <v>0</v>
      </c>
      <c r="J34" s="13">
        <f>J33-J32</f>
        <v>0</v>
      </c>
      <c r="K34" s="13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214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</row>
    <row r="36" spans="1:13" x14ac:dyDescent="0.25">
      <c r="A36" s="6" t="s">
        <v>215</v>
      </c>
      <c r="C36" s="13">
        <v>0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</row>
    <row r="37" spans="1:13" x14ac:dyDescent="0.25">
      <c r="A37" s="6"/>
      <c r="C37" s="13">
        <f>SUM(C32,C35)</f>
        <v>0</v>
      </c>
      <c r="D37" s="13">
        <f>SUM(D32,D35)</f>
        <v>0</v>
      </c>
      <c r="E37" s="13">
        <f>SUM(E32,E35)</f>
        <v>0</v>
      </c>
      <c r="F37" s="13">
        <f>SUM(F32,F35)</f>
        <v>0</v>
      </c>
      <c r="G37" s="13">
        <f>SUM(G32,G35)</f>
        <v>0</v>
      </c>
      <c r="H37" s="13">
        <f>SUM(H32,H35)</f>
        <v>0</v>
      </c>
      <c r="I37" s="13">
        <f>SUM(I32,I35)</f>
        <v>0</v>
      </c>
      <c r="J37" s="13">
        <f>SUM(J32,J35)</f>
        <v>0</v>
      </c>
      <c r="K37" s="13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115</v>
      </c>
      <c r="B39" s="20">
        <v>0.11</v>
      </c>
      <c r="C39" s="23">
        <v>0.10340000000000001</v>
      </c>
      <c r="D39" s="23">
        <v>9.3100000000000002E-2</v>
      </c>
      <c r="E39" s="23">
        <v>8.3900000000000002E-2</v>
      </c>
      <c r="F39" s="23">
        <v>7.5600000000000001E-2</v>
      </c>
      <c r="G39" s="23">
        <v>6.8099999999999994E-2</v>
      </c>
      <c r="H39" s="23">
        <v>6.1400000000000003E-2</v>
      </c>
      <c r="I39" s="23">
        <v>5.5300000000000002E-2</v>
      </c>
      <c r="J39" s="23">
        <v>4.9799999999999997E-2</v>
      </c>
      <c r="K39" s="23">
        <v>4.4900000000000002E-2</v>
      </c>
    </row>
    <row r="40" spans="1:13" x14ac:dyDescent="0.25">
      <c r="A40" s="6" t="s">
        <v>116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</row>
    <row r="41" spans="1:13" x14ac:dyDescent="0.25">
      <c r="A41" s="6"/>
      <c r="C41" s="13">
        <f>C36*C39</f>
        <v>0</v>
      </c>
      <c r="D41" s="13">
        <f>D36*D39</f>
        <v>0</v>
      </c>
      <c r="E41" s="13">
        <f>E36*E39</f>
        <v>0</v>
      </c>
      <c r="F41" s="13">
        <f>F36*F39</f>
        <v>0</v>
      </c>
      <c r="G41" s="13">
        <f>G36*G39</f>
        <v>0</v>
      </c>
      <c r="H41" s="13">
        <f>H36*H39</f>
        <v>0</v>
      </c>
      <c r="I41" s="13">
        <f>I36*I39</f>
        <v>0</v>
      </c>
      <c r="J41" s="13">
        <f>J36*J39</f>
        <v>0</v>
      </c>
      <c r="K41" s="13">
        <f>K36*K39</f>
        <v>0</v>
      </c>
      <c r="L41">
        <f>L36*L39</f>
        <v>0</v>
      </c>
      <c r="M41">
        <f>M36*M39</f>
        <v>0</v>
      </c>
    </row>
    <row r="42" spans="1:13" x14ac:dyDescent="0.25">
      <c r="A42" s="6"/>
      <c r="C42" s="13">
        <f>C41-C40</f>
        <v>0</v>
      </c>
      <c r="D42" s="13">
        <f>D41-D40</f>
        <v>0</v>
      </c>
      <c r="E42" s="13">
        <f>E41-E40</f>
        <v>0</v>
      </c>
      <c r="F42" s="13">
        <f>F41-F40</f>
        <v>0</v>
      </c>
      <c r="G42" s="13">
        <f>G41-G40</f>
        <v>0</v>
      </c>
      <c r="H42" s="13">
        <f>H41-H40</f>
        <v>0</v>
      </c>
      <c r="I42" s="13">
        <f>I41-I40</f>
        <v>0</v>
      </c>
      <c r="J42" s="13">
        <f>J41-J40</f>
        <v>0</v>
      </c>
      <c r="K42" s="13">
        <f>K41-K40</f>
        <v>0</v>
      </c>
      <c r="L42">
        <f>L41-L40</f>
        <v>0</v>
      </c>
      <c r="M42">
        <f>M41-M40</f>
        <v>0</v>
      </c>
    </row>
    <row r="43" spans="1:13" x14ac:dyDescent="0.25">
      <c r="A43" s="9" t="s">
        <v>221</v>
      </c>
    </row>
    <row r="44" spans="1:13" x14ac:dyDescent="0.25">
      <c r="A44" s="7" t="s">
        <v>222</v>
      </c>
      <c r="C44" s="20">
        <v>0.03</v>
      </c>
      <c r="D44" s="20">
        <v>0.03</v>
      </c>
      <c r="E44" s="20">
        <v>0.03</v>
      </c>
      <c r="F44" s="20">
        <v>0.03</v>
      </c>
      <c r="G44" s="20">
        <v>0.03</v>
      </c>
      <c r="H44" s="20">
        <v>0.03</v>
      </c>
      <c r="I44" s="20">
        <v>0.03</v>
      </c>
      <c r="J44" s="20">
        <v>0.03</v>
      </c>
      <c r="K44" s="20">
        <v>0.03</v>
      </c>
    </row>
    <row r="45" spans="1:13" x14ac:dyDescent="0.25">
      <c r="A45" s="7" t="s">
        <v>224</v>
      </c>
      <c r="C45" s="20">
        <v>0.26</v>
      </c>
      <c r="D45" s="20">
        <v>0.26</v>
      </c>
      <c r="E45" s="20">
        <v>0.26</v>
      </c>
      <c r="F45" s="20">
        <v>0.26</v>
      </c>
      <c r="G45" s="20">
        <v>0.26</v>
      </c>
      <c r="H45" s="20">
        <v>0.26</v>
      </c>
      <c r="I45" s="20">
        <v>0.26</v>
      </c>
      <c r="J45" s="20">
        <v>0.26</v>
      </c>
      <c r="K45" s="20">
        <v>0.26</v>
      </c>
    </row>
    <row r="46" spans="1:13" x14ac:dyDescent="0.25">
      <c r="A46" s="7" t="s">
        <v>107</v>
      </c>
      <c r="C46" s="20">
        <v>4.9000000000000002E-2</v>
      </c>
      <c r="D46" s="20">
        <v>4.9000000000000002E-2</v>
      </c>
      <c r="E46" s="20">
        <v>4.9000000000000002E-2</v>
      </c>
      <c r="F46" s="20">
        <v>4.9000000000000002E-2</v>
      </c>
      <c r="G46" s="20">
        <v>4.9000000000000002E-2</v>
      </c>
      <c r="H46" s="20">
        <v>4.9000000000000002E-2</v>
      </c>
      <c r="I46" s="20">
        <v>4.9000000000000002E-2</v>
      </c>
      <c r="J46" s="20">
        <v>4.9000000000000002E-2</v>
      </c>
      <c r="K46" s="20">
        <v>4.9000000000000002E-2</v>
      </c>
    </row>
    <row r="47" spans="1:13" x14ac:dyDescent="0.25">
      <c r="A47" s="7" t="s">
        <v>225</v>
      </c>
      <c r="C47" s="20">
        <v>0.21099999999999999</v>
      </c>
      <c r="D47" s="20">
        <v>0.21099999999999999</v>
      </c>
      <c r="E47" s="20">
        <v>0.21099999999999999</v>
      </c>
      <c r="F47" s="20">
        <v>0.21099999999999999</v>
      </c>
      <c r="G47" s="20">
        <v>0.21099999999999999</v>
      </c>
      <c r="H47" s="20">
        <v>0.21099999999999999</v>
      </c>
      <c r="I47" s="20">
        <v>0.21099999999999999</v>
      </c>
      <c r="J47" s="20">
        <v>0.21099999999999999</v>
      </c>
      <c r="K47" s="20">
        <v>0.21099999999999999</v>
      </c>
    </row>
    <row r="48" spans="1:13" x14ac:dyDescent="0.25">
      <c r="A48" s="7" t="s">
        <v>240</v>
      </c>
      <c r="C48" s="20">
        <v>3.4000000000000002E-2</v>
      </c>
      <c r="D48" s="20">
        <v>3.4000000000000002E-2</v>
      </c>
      <c r="E48" s="20">
        <v>3.4000000000000002E-2</v>
      </c>
      <c r="F48" s="20">
        <v>3.4000000000000002E-2</v>
      </c>
      <c r="G48" s="20">
        <v>3.4000000000000002E-2</v>
      </c>
      <c r="H48" s="20">
        <v>3.4000000000000002E-2</v>
      </c>
      <c r="I48" s="20">
        <v>3.4000000000000002E-2</v>
      </c>
      <c r="J48" s="20">
        <v>3.4000000000000002E-2</v>
      </c>
      <c r="K48" s="20">
        <v>3.4000000000000002E-2</v>
      </c>
    </row>
    <row r="49" spans="1:13" x14ac:dyDescent="0.25">
      <c r="A49" s="16" t="s">
        <v>127</v>
      </c>
    </row>
    <row r="50" spans="1:13" x14ac:dyDescent="0.25">
      <c r="A50" s="7" t="s">
        <v>227</v>
      </c>
    </row>
    <row r="51" spans="1:13" x14ac:dyDescent="0.25">
      <c r="A51" s="16" t="s">
        <v>61</v>
      </c>
    </row>
    <row r="52" spans="1:13" x14ac:dyDescent="0.25">
      <c r="A52" s="9" t="s">
        <v>62</v>
      </c>
      <c r="M52" s="32" t="s">
        <v>63</v>
      </c>
    </row>
    <row r="53" spans="1:13" x14ac:dyDescent="0.25">
      <c r="A53" s="9"/>
      <c r="M53" s="32"/>
    </row>
    <row r="54" spans="1:13" x14ac:dyDescent="0.25">
      <c r="A54" s="9"/>
      <c r="M54" s="32"/>
    </row>
    <row r="55" spans="1:13" x14ac:dyDescent="0.25">
      <c r="G55" s="5" t="s">
        <v>6</v>
      </c>
    </row>
    <row r="56" spans="1:13" x14ac:dyDescent="0.25">
      <c r="G56" s="5"/>
    </row>
    <row r="57" spans="1:13" x14ac:dyDescent="0.25">
      <c r="G57" s="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2:M72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278</v>
      </c>
    </row>
    <row r="3" spans="1:13" x14ac:dyDescent="0.25">
      <c r="A3" s="6" t="s">
        <v>9</v>
      </c>
    </row>
    <row r="4" spans="1:13" x14ac:dyDescent="0.25">
      <c r="A4" s="6" t="s">
        <v>279</v>
      </c>
    </row>
    <row r="5" spans="1:13" x14ac:dyDescent="0.25">
      <c r="A5" s="6" t="s">
        <v>11</v>
      </c>
    </row>
    <row r="6" spans="1:13" x14ac:dyDescent="0.25">
      <c r="C6" s="9" t="s">
        <v>95</v>
      </c>
      <c r="H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  <c r="K7" s="9" t="s">
        <v>200</v>
      </c>
      <c r="L7" s="9" t="s">
        <v>201</v>
      </c>
      <c r="M7" s="9" t="s">
        <v>202</v>
      </c>
    </row>
    <row r="8" spans="1:13" x14ac:dyDescent="0.25">
      <c r="A8" s="7" t="s">
        <v>280</v>
      </c>
      <c r="C8" s="10">
        <v>59</v>
      </c>
      <c r="D8" s="10">
        <v>216</v>
      </c>
      <c r="E8" s="10">
        <v>199</v>
      </c>
      <c r="F8" s="10">
        <v>185</v>
      </c>
      <c r="G8" s="10">
        <v>176</v>
      </c>
      <c r="H8" s="10">
        <v>166</v>
      </c>
      <c r="I8" s="10">
        <v>157</v>
      </c>
      <c r="J8" s="10">
        <v>149</v>
      </c>
      <c r="K8" s="10">
        <v>142</v>
      </c>
      <c r="L8" s="10">
        <v>131</v>
      </c>
      <c r="M8" s="10">
        <v>122</v>
      </c>
    </row>
    <row r="9" spans="1:13" x14ac:dyDescent="0.25">
      <c r="A9" s="7" t="s">
        <v>281</v>
      </c>
      <c r="D9" s="10">
        <v>6</v>
      </c>
      <c r="E9" s="10">
        <v>7</v>
      </c>
      <c r="F9" s="10">
        <v>11</v>
      </c>
      <c r="G9" s="10">
        <v>8</v>
      </c>
      <c r="H9" s="10">
        <v>8</v>
      </c>
      <c r="I9" s="10">
        <v>9</v>
      </c>
      <c r="J9" s="10">
        <v>9</v>
      </c>
      <c r="K9" s="10">
        <v>4</v>
      </c>
      <c r="L9" s="10">
        <v>4</v>
      </c>
      <c r="M9" s="10">
        <v>4</v>
      </c>
    </row>
    <row r="10" spans="1:13" x14ac:dyDescent="0.25">
      <c r="A10" s="7" t="s">
        <v>282</v>
      </c>
      <c r="B10" s="20">
        <v>0.1</v>
      </c>
      <c r="C10" s="19">
        <v>-6</v>
      </c>
      <c r="D10" s="19">
        <v>-22</v>
      </c>
      <c r="E10" s="19">
        <v>-21</v>
      </c>
      <c r="F10" s="19">
        <v>-20</v>
      </c>
      <c r="G10" s="19">
        <v>-18</v>
      </c>
      <c r="H10" s="19">
        <v>-17</v>
      </c>
      <c r="I10" s="19">
        <v>-17</v>
      </c>
      <c r="J10" s="19">
        <v>-16</v>
      </c>
      <c r="K10" s="19">
        <v>-15</v>
      </c>
      <c r="L10" s="19">
        <v>-14</v>
      </c>
      <c r="M10" s="19">
        <v>-13</v>
      </c>
    </row>
    <row r="11" spans="1:13" x14ac:dyDescent="0.25">
      <c r="A11" s="7"/>
      <c r="B11" s="20"/>
      <c r="C11" s="19">
        <f>SUM(C8:C9)</f>
        <v>59</v>
      </c>
      <c r="D11" s="19">
        <f>SUM(D8:D9)</f>
        <v>222</v>
      </c>
      <c r="E11" s="19">
        <f>SUM(E8:E9)</f>
        <v>206</v>
      </c>
      <c r="F11" s="19">
        <f>SUM(F8:F9)</f>
        <v>196</v>
      </c>
      <c r="G11" s="19">
        <f>SUM(G8:G9)</f>
        <v>184</v>
      </c>
      <c r="H11" s="19">
        <f>SUM(H8:H9)</f>
        <v>174</v>
      </c>
      <c r="I11" s="19">
        <f>SUM(I8:I9)</f>
        <v>166</v>
      </c>
      <c r="J11" s="19">
        <f>SUM(J8:J9)</f>
        <v>158</v>
      </c>
      <c r="K11" s="19">
        <f>SUM(K8:K9)</f>
        <v>146</v>
      </c>
      <c r="L11" s="19">
        <f>SUM(L8:L9)</f>
        <v>135</v>
      </c>
      <c r="M11" s="19">
        <f>SUM(M8:M9)</f>
        <v>126</v>
      </c>
    </row>
    <row r="12" spans="1:13" x14ac:dyDescent="0.25">
      <c r="A12" s="7"/>
      <c r="B12" s="20"/>
      <c r="C12" s="19">
        <f>C11-C10</f>
        <v>65</v>
      </c>
      <c r="D12" s="19">
        <f>D11-D10</f>
        <v>244</v>
      </c>
      <c r="E12" s="19">
        <f>E11-E10</f>
        <v>227</v>
      </c>
      <c r="F12" s="19">
        <f>F11-F10</f>
        <v>216</v>
      </c>
      <c r="G12" s="19">
        <f>G11-G10</f>
        <v>202</v>
      </c>
      <c r="H12" s="19">
        <f>H11-H10</f>
        <v>191</v>
      </c>
      <c r="I12" s="19">
        <f>I11-I10</f>
        <v>183</v>
      </c>
      <c r="J12" s="19">
        <f>J11-J10</f>
        <v>174</v>
      </c>
      <c r="K12" s="19">
        <f>K11-K10</f>
        <v>161</v>
      </c>
      <c r="L12" s="19">
        <f>L11-L10</f>
        <v>149</v>
      </c>
      <c r="M12" s="19">
        <f>M11-M10</f>
        <v>139</v>
      </c>
    </row>
    <row r="13" spans="1:13" x14ac:dyDescent="0.25">
      <c r="A13" s="7" t="s">
        <v>208</v>
      </c>
      <c r="C13" s="10">
        <v>53</v>
      </c>
      <c r="D13" s="10">
        <v>199</v>
      </c>
      <c r="E13" s="10">
        <v>185</v>
      </c>
      <c r="F13" s="10">
        <v>176</v>
      </c>
      <c r="G13" s="10">
        <v>166</v>
      </c>
      <c r="H13" s="10">
        <v>157</v>
      </c>
      <c r="I13" s="10">
        <v>149</v>
      </c>
      <c r="J13" s="10">
        <v>142</v>
      </c>
      <c r="K13" s="10">
        <v>131</v>
      </c>
      <c r="L13" s="10">
        <v>122</v>
      </c>
      <c r="M13" s="10">
        <v>113</v>
      </c>
    </row>
    <row r="14" spans="1:13" x14ac:dyDescent="0.25">
      <c r="A14" s="7" t="s">
        <v>283</v>
      </c>
      <c r="C14" s="10">
        <v>56</v>
      </c>
      <c r="D14" s="10">
        <v>208</v>
      </c>
      <c r="E14" s="10">
        <v>192</v>
      </c>
      <c r="F14" s="10">
        <v>181</v>
      </c>
      <c r="G14" s="10">
        <v>171</v>
      </c>
      <c r="H14" s="10">
        <v>162</v>
      </c>
      <c r="I14" s="10">
        <v>153</v>
      </c>
      <c r="J14" s="10">
        <v>145</v>
      </c>
      <c r="K14" s="10">
        <v>137</v>
      </c>
      <c r="L14" s="10">
        <v>127</v>
      </c>
      <c r="M14" s="10">
        <v>117</v>
      </c>
    </row>
    <row r="15" spans="1:13" x14ac:dyDescent="0.25">
      <c r="A15" s="7"/>
      <c r="C15" s="10">
        <f>C10*C13</f>
        <v>-318</v>
      </c>
      <c r="D15" s="10">
        <f>D10*D13</f>
        <v>-4378</v>
      </c>
      <c r="E15" s="10">
        <f>E10*E13</f>
        <v>-3885</v>
      </c>
      <c r="F15" s="10">
        <f>F10*F13</f>
        <v>-3520</v>
      </c>
      <c r="G15" s="10">
        <f>G10*G13</f>
        <v>-2988</v>
      </c>
      <c r="H15" s="10">
        <f>H10*H13</f>
        <v>-2669</v>
      </c>
      <c r="I15" s="10">
        <f>I10*I13</f>
        <v>-2533</v>
      </c>
      <c r="J15" s="10">
        <f>J10*J13</f>
        <v>-2272</v>
      </c>
      <c r="K15" s="10">
        <f>K10*K13</f>
        <v>-1965</v>
      </c>
      <c r="L15" s="10">
        <f>L10*L13</f>
        <v>-1708</v>
      </c>
      <c r="M15" s="10">
        <f>M10*M13</f>
        <v>-1469</v>
      </c>
    </row>
    <row r="16" spans="1:13" x14ac:dyDescent="0.25">
      <c r="A16" s="7"/>
      <c r="C16" s="10">
        <f>C15-C14</f>
        <v>-374</v>
      </c>
      <c r="D16" s="10">
        <f>D15-D14</f>
        <v>-4586</v>
      </c>
      <c r="E16" s="10">
        <f>E15-E14</f>
        <v>-4077</v>
      </c>
      <c r="F16" s="10">
        <f>F15-F14</f>
        <v>-3701</v>
      </c>
      <c r="G16" s="10">
        <f>G15-G14</f>
        <v>-3159</v>
      </c>
      <c r="H16" s="10">
        <f>H15-H14</f>
        <v>-2831</v>
      </c>
      <c r="I16" s="10">
        <f>I15-I14</f>
        <v>-2686</v>
      </c>
      <c r="J16" s="10">
        <f>J15-J14</f>
        <v>-2417</v>
      </c>
      <c r="K16" s="10">
        <f>K15-K14</f>
        <v>-2102</v>
      </c>
      <c r="L16" s="10">
        <f>L15-L14</f>
        <v>-1835</v>
      </c>
      <c r="M16" s="10">
        <f>M15-M14</f>
        <v>-1586</v>
      </c>
    </row>
    <row r="17" spans="1:13" x14ac:dyDescent="0.25">
      <c r="A17" s="7" t="s">
        <v>284</v>
      </c>
      <c r="C17" s="19">
        <v>-16</v>
      </c>
      <c r="D17" s="19">
        <v>-10</v>
      </c>
      <c r="E17" s="19">
        <v>0</v>
      </c>
      <c r="F17" s="7" t="s">
        <v>90</v>
      </c>
      <c r="G17" s="7" t="s">
        <v>90</v>
      </c>
      <c r="H17" s="7" t="s">
        <v>90</v>
      </c>
      <c r="I17" s="7" t="s">
        <v>90</v>
      </c>
      <c r="J17" s="7" t="s">
        <v>90</v>
      </c>
      <c r="K17" s="7" t="s">
        <v>90</v>
      </c>
      <c r="L17" s="7" t="s">
        <v>90</v>
      </c>
      <c r="M17" s="7" t="s">
        <v>90</v>
      </c>
    </row>
    <row r="18" spans="1:13" x14ac:dyDescent="0.25">
      <c r="A18" s="6" t="s">
        <v>285</v>
      </c>
      <c r="C18" s="13">
        <v>40</v>
      </c>
      <c r="D18" s="13">
        <v>198</v>
      </c>
      <c r="E18" s="13">
        <v>192</v>
      </c>
      <c r="F18" s="13">
        <v>181</v>
      </c>
      <c r="G18" s="13">
        <v>171</v>
      </c>
      <c r="H18" s="13">
        <v>162</v>
      </c>
      <c r="I18" s="13">
        <v>153</v>
      </c>
      <c r="J18" s="13">
        <v>145</v>
      </c>
      <c r="K18" s="13">
        <v>137</v>
      </c>
      <c r="L18" s="13">
        <v>127</v>
      </c>
      <c r="M18" s="13">
        <v>117</v>
      </c>
    </row>
    <row r="19" spans="1:13" x14ac:dyDescent="0.25">
      <c r="A19" s="6" t="s">
        <v>106</v>
      </c>
      <c r="C19" s="13">
        <v>10</v>
      </c>
      <c r="D19" s="13">
        <v>51</v>
      </c>
      <c r="E19" s="13">
        <v>51</v>
      </c>
      <c r="F19" s="13">
        <v>50</v>
      </c>
      <c r="G19" s="13">
        <v>49</v>
      </c>
      <c r="H19" s="13">
        <v>47</v>
      </c>
      <c r="I19" s="13">
        <v>46</v>
      </c>
      <c r="J19" s="13">
        <v>44</v>
      </c>
      <c r="K19" s="13">
        <v>42</v>
      </c>
      <c r="L19" s="13">
        <v>39</v>
      </c>
      <c r="M19" s="13">
        <v>36</v>
      </c>
    </row>
    <row r="20" spans="1:13" x14ac:dyDescent="0.25">
      <c r="A20" s="7" t="s">
        <v>107</v>
      </c>
      <c r="C20" s="19">
        <v>-1</v>
      </c>
      <c r="D20" s="19">
        <v>-7</v>
      </c>
      <c r="E20" s="19">
        <v>-7</v>
      </c>
      <c r="F20" s="19">
        <v>-9</v>
      </c>
      <c r="G20" s="19">
        <v>-9</v>
      </c>
      <c r="H20" s="19">
        <v>-9</v>
      </c>
      <c r="I20" s="19">
        <v>-8</v>
      </c>
      <c r="J20" s="19">
        <v>-7</v>
      </c>
      <c r="K20" s="19">
        <v>-7</v>
      </c>
      <c r="L20" s="19">
        <v>-6</v>
      </c>
      <c r="M20" s="19">
        <v>-6</v>
      </c>
    </row>
    <row r="21" spans="1:13" x14ac:dyDescent="0.25">
      <c r="A21" s="7"/>
      <c r="C21" s="19">
        <f>SUM(C18,C19)</f>
        <v>50</v>
      </c>
      <c r="D21" s="19">
        <f>SUM(D18,D19)</f>
        <v>249</v>
      </c>
      <c r="E21" s="19">
        <f>SUM(E18,E19)</f>
        <v>243</v>
      </c>
      <c r="F21" s="19">
        <f>SUM(F18,F19)</f>
        <v>231</v>
      </c>
      <c r="G21" s="19">
        <f>SUM(G18,G19)</f>
        <v>220</v>
      </c>
      <c r="H21" s="19">
        <f>SUM(H18,H19)</f>
        <v>209</v>
      </c>
      <c r="I21" s="19">
        <f>SUM(I18,I19)</f>
        <v>199</v>
      </c>
      <c r="J21" s="19">
        <f>SUM(J18,J19)</f>
        <v>189</v>
      </c>
      <c r="K21" s="19">
        <f>SUM(K18,K19)</f>
        <v>179</v>
      </c>
      <c r="L21" s="19">
        <f>SUM(L18,L19)</f>
        <v>166</v>
      </c>
      <c r="M21" s="19">
        <f>SUM(M18,M19)</f>
        <v>153</v>
      </c>
    </row>
    <row r="22" spans="1:13" x14ac:dyDescent="0.25">
      <c r="A22" s="7"/>
      <c r="C22" s="19">
        <f>C21-C20</f>
        <v>51</v>
      </c>
      <c r="D22" s="19">
        <f>D21-D20</f>
        <v>256</v>
      </c>
      <c r="E22" s="19">
        <f>E21-E20</f>
        <v>250</v>
      </c>
      <c r="F22" s="19">
        <f>F21-F20</f>
        <v>240</v>
      </c>
      <c r="G22" s="19">
        <f>G21-G20</f>
        <v>229</v>
      </c>
      <c r="H22" s="19">
        <f>H21-H20</f>
        <v>218</v>
      </c>
      <c r="I22" s="19">
        <f>I21-I20</f>
        <v>207</v>
      </c>
      <c r="J22" s="19">
        <f>J21-J20</f>
        <v>196</v>
      </c>
      <c r="K22" s="19">
        <f>K21-K20</f>
        <v>186</v>
      </c>
      <c r="L22" s="19">
        <f>L21-L20</f>
        <v>172</v>
      </c>
      <c r="M22" s="19">
        <f>M21-M20</f>
        <v>159</v>
      </c>
    </row>
    <row r="23" spans="1:13" x14ac:dyDescent="0.25">
      <c r="A23" s="6" t="s">
        <v>211</v>
      </c>
      <c r="C23" s="13">
        <v>9</v>
      </c>
      <c r="D23" s="13">
        <v>44</v>
      </c>
      <c r="E23" s="13">
        <v>45</v>
      </c>
      <c r="F23" s="13">
        <v>41</v>
      </c>
      <c r="G23" s="13">
        <v>39</v>
      </c>
      <c r="H23" s="13">
        <v>38</v>
      </c>
      <c r="I23" s="13">
        <v>38</v>
      </c>
      <c r="J23" s="13">
        <v>37</v>
      </c>
      <c r="K23" s="13">
        <v>35</v>
      </c>
      <c r="L23" s="13">
        <v>32</v>
      </c>
      <c r="M23" s="13">
        <v>30</v>
      </c>
    </row>
    <row r="24" spans="1:13" x14ac:dyDescent="0.25">
      <c r="A24" s="6"/>
      <c r="C24" s="13">
        <f>C10*B23</f>
        <v>0</v>
      </c>
      <c r="D24" s="13">
        <f>D10*B23</f>
        <v>0</v>
      </c>
      <c r="E24" s="13">
        <f>E10*B23</f>
        <v>0</v>
      </c>
      <c r="F24" s="13">
        <f>F10*B23</f>
        <v>0</v>
      </c>
      <c r="G24" s="13">
        <f>G10*B23</f>
        <v>0</v>
      </c>
      <c r="H24" s="13">
        <f>H10*B23</f>
        <v>0</v>
      </c>
      <c r="I24" s="13">
        <f>I10*B23</f>
        <v>0</v>
      </c>
      <c r="J24" s="13">
        <f>J10*B23</f>
        <v>0</v>
      </c>
      <c r="K24" s="13">
        <f>K10*B23</f>
        <v>0</v>
      </c>
      <c r="L24" s="13">
        <f>L10*B23</f>
        <v>0</v>
      </c>
      <c r="M24" s="13">
        <f>M10*B23</f>
        <v>0</v>
      </c>
    </row>
    <row r="25" spans="1:13" x14ac:dyDescent="0.25">
      <c r="A25" s="6"/>
      <c r="C25" s="13">
        <f>C24-C23</f>
        <v>-9</v>
      </c>
      <c r="D25" s="13">
        <f>D24-D23</f>
        <v>-44</v>
      </c>
      <c r="E25" s="13">
        <f>E24-E23</f>
        <v>-45</v>
      </c>
      <c r="F25" s="13">
        <f>F24-F23</f>
        <v>-41</v>
      </c>
      <c r="G25" s="13">
        <f>G24-G23</f>
        <v>-39</v>
      </c>
      <c r="H25" s="13">
        <f>H24-H23</f>
        <v>-38</v>
      </c>
      <c r="I25" s="13">
        <f>I24-I23</f>
        <v>-38</v>
      </c>
      <c r="J25" s="13">
        <f>J24-J23</f>
        <v>-37</v>
      </c>
      <c r="K25" s="13">
        <f>K24-K23</f>
        <v>-35</v>
      </c>
      <c r="L25" s="13">
        <f>L24-L23</f>
        <v>-32</v>
      </c>
      <c r="M25" s="13">
        <f>M24-M23</f>
        <v>-30</v>
      </c>
    </row>
    <row r="26" spans="1:13" x14ac:dyDescent="0.25">
      <c r="A26" s="7" t="s">
        <v>210</v>
      </c>
      <c r="B26" s="20">
        <v>1.4999999999999999E-2</v>
      </c>
      <c r="C26" s="19">
        <v>-1</v>
      </c>
      <c r="D26" s="19">
        <v>-3</v>
      </c>
      <c r="E26" s="19">
        <v>-3</v>
      </c>
      <c r="F26" s="19">
        <v>-3</v>
      </c>
      <c r="G26" s="19">
        <v>-3</v>
      </c>
      <c r="H26" s="19">
        <v>-2</v>
      </c>
      <c r="I26" s="19">
        <v>-2</v>
      </c>
      <c r="J26" s="19">
        <v>-2</v>
      </c>
      <c r="K26" s="19">
        <v>-2</v>
      </c>
      <c r="L26" s="19">
        <v>-2</v>
      </c>
      <c r="M26" s="19">
        <v>-2</v>
      </c>
    </row>
    <row r="27" spans="1:13" x14ac:dyDescent="0.25">
      <c r="A27" s="7"/>
      <c r="B27" s="20"/>
      <c r="C27" s="19">
        <f>SUM(C20,C23)</f>
        <v>8</v>
      </c>
      <c r="D27" s="19">
        <f>SUM(D20,D23)</f>
        <v>37</v>
      </c>
      <c r="E27" s="19">
        <f>SUM(E20,E23)</f>
        <v>38</v>
      </c>
      <c r="F27" s="19">
        <f>SUM(F20,F23)</f>
        <v>32</v>
      </c>
      <c r="G27" s="19">
        <f>SUM(G20,G23)</f>
        <v>30</v>
      </c>
      <c r="H27" s="19">
        <f>SUM(H20,H23)</f>
        <v>29</v>
      </c>
      <c r="I27" s="19">
        <f>SUM(I20,I23)</f>
        <v>30</v>
      </c>
      <c r="J27" s="19">
        <f>SUM(J20,J23)</f>
        <v>30</v>
      </c>
      <c r="K27" s="19">
        <f>SUM(K20,K23)</f>
        <v>28</v>
      </c>
      <c r="L27" s="19">
        <f>SUM(L20,L23)</f>
        <v>26</v>
      </c>
      <c r="M27" s="19">
        <f>SUM(M20,M23)</f>
        <v>24</v>
      </c>
    </row>
    <row r="28" spans="1:13" x14ac:dyDescent="0.25">
      <c r="A28" s="7"/>
      <c r="B28" s="20"/>
      <c r="C28" s="19">
        <f>C27-C26</f>
        <v>9</v>
      </c>
      <c r="D28" s="19">
        <f>D27-D26</f>
        <v>40</v>
      </c>
      <c r="E28" s="19">
        <f>E27-E26</f>
        <v>41</v>
      </c>
      <c r="F28" s="19">
        <f>F27-F26</f>
        <v>35</v>
      </c>
      <c r="G28" s="19">
        <f>G27-G26</f>
        <v>33</v>
      </c>
      <c r="H28" s="19">
        <f>H27-H26</f>
        <v>31</v>
      </c>
      <c r="I28" s="19">
        <f>I27-I26</f>
        <v>32</v>
      </c>
      <c r="J28" s="19">
        <f>J27-J26</f>
        <v>32</v>
      </c>
      <c r="K28" s="19">
        <f>K27-K26</f>
        <v>30</v>
      </c>
      <c r="L28" s="19">
        <f>L27-L26</f>
        <v>28</v>
      </c>
      <c r="M28" s="19">
        <f>M27-M26</f>
        <v>26</v>
      </c>
    </row>
    <row r="29" spans="1:13" x14ac:dyDescent="0.25">
      <c r="A29" s="7" t="s">
        <v>286</v>
      </c>
      <c r="B29" s="20">
        <v>0.15</v>
      </c>
      <c r="C29" s="19">
        <v>-6</v>
      </c>
      <c r="D29" s="19">
        <v>-30</v>
      </c>
      <c r="E29" s="19">
        <v>-29</v>
      </c>
      <c r="F29" s="19">
        <v>-27</v>
      </c>
      <c r="G29" s="19">
        <v>-26</v>
      </c>
      <c r="H29" s="19">
        <v>-24</v>
      </c>
      <c r="I29" s="19">
        <v>-23</v>
      </c>
      <c r="J29" s="19">
        <v>-22</v>
      </c>
      <c r="K29" s="19">
        <v>-20</v>
      </c>
      <c r="L29" s="19">
        <v>-19</v>
      </c>
      <c r="M29" s="19">
        <v>-18</v>
      </c>
    </row>
    <row r="30" spans="1:13" x14ac:dyDescent="0.25">
      <c r="A30" s="7"/>
      <c r="B30" s="20"/>
      <c r="C30" s="19">
        <f>C26*B29</f>
        <v>-0.15</v>
      </c>
      <c r="D30" s="19">
        <f>D26*B29</f>
        <v>-0.44999999999999996</v>
      </c>
      <c r="E30" s="19">
        <f>E26*B29</f>
        <v>-0.44999999999999996</v>
      </c>
      <c r="F30" s="19">
        <f>F26*B29</f>
        <v>-0.44999999999999996</v>
      </c>
      <c r="G30" s="19">
        <f>G26*B29</f>
        <v>-0.44999999999999996</v>
      </c>
      <c r="H30" s="19">
        <f>H26*B29</f>
        <v>-0.3</v>
      </c>
      <c r="I30" s="19">
        <f>I26*B29</f>
        <v>-0.3</v>
      </c>
      <c r="J30" s="19">
        <f>J26*B29</f>
        <v>-0.3</v>
      </c>
      <c r="K30" s="19">
        <f>K26*B29</f>
        <v>-0.3</v>
      </c>
      <c r="L30" s="19">
        <f>L26*B29</f>
        <v>-0.3</v>
      </c>
      <c r="M30" s="19">
        <f>M26*B29</f>
        <v>-0.3</v>
      </c>
    </row>
    <row r="31" spans="1:13" x14ac:dyDescent="0.25">
      <c r="A31" s="7"/>
      <c r="B31" s="20"/>
      <c r="C31" s="19">
        <f>C30-C29</f>
        <v>5.85</v>
      </c>
      <c r="D31" s="19">
        <f>D30-D29</f>
        <v>29.55</v>
      </c>
      <c r="E31" s="19">
        <f>E30-E29</f>
        <v>28.55</v>
      </c>
      <c r="F31" s="19">
        <f>F30-F29</f>
        <v>26.55</v>
      </c>
      <c r="G31" s="19">
        <f>G30-G29</f>
        <v>25.55</v>
      </c>
      <c r="H31" s="19">
        <f>H30-H29</f>
        <v>23.7</v>
      </c>
      <c r="I31" s="19">
        <f>I30-I29</f>
        <v>22.7</v>
      </c>
      <c r="J31" s="19">
        <f>J30-J29</f>
        <v>21.7</v>
      </c>
      <c r="K31" s="19">
        <f>K30-K29</f>
        <v>19.7</v>
      </c>
      <c r="L31" s="19">
        <f>L30-L29</f>
        <v>18.7</v>
      </c>
      <c r="M31" s="19">
        <f>M30-M29</f>
        <v>17.7</v>
      </c>
    </row>
    <row r="32" spans="1:13" x14ac:dyDescent="0.25">
      <c r="A32" s="6" t="s">
        <v>108</v>
      </c>
      <c r="C32" s="13">
        <v>2</v>
      </c>
      <c r="D32" s="13">
        <v>11</v>
      </c>
      <c r="E32" s="13">
        <v>13</v>
      </c>
      <c r="F32" s="13">
        <v>11</v>
      </c>
      <c r="G32" s="13">
        <v>11</v>
      </c>
      <c r="H32" s="13">
        <v>12</v>
      </c>
      <c r="I32" s="13">
        <v>13</v>
      </c>
      <c r="J32" s="13">
        <v>13</v>
      </c>
      <c r="K32" s="13">
        <v>12</v>
      </c>
      <c r="L32" s="13">
        <v>11</v>
      </c>
      <c r="M32" s="13">
        <v>11</v>
      </c>
    </row>
    <row r="33" spans="1:13" x14ac:dyDescent="0.25">
      <c r="A33" s="6"/>
      <c r="C33" s="13">
        <f>SUM(C26,C29)</f>
        <v>-7</v>
      </c>
      <c r="D33" s="13">
        <f>SUM(D26,D29)</f>
        <v>-33</v>
      </c>
      <c r="E33" s="13">
        <f>SUM(E26,E29)</f>
        <v>-32</v>
      </c>
      <c r="F33" s="13">
        <f>SUM(F26,F29)</f>
        <v>-30</v>
      </c>
      <c r="G33" s="13">
        <f>SUM(G26,G29)</f>
        <v>-29</v>
      </c>
      <c r="H33" s="13">
        <f>SUM(H26,H29)</f>
        <v>-26</v>
      </c>
      <c r="I33" s="13">
        <f>SUM(I26,I29)</f>
        <v>-25</v>
      </c>
      <c r="J33" s="13">
        <f>SUM(J26,J29)</f>
        <v>-24</v>
      </c>
      <c r="K33" s="13">
        <f>SUM(K26,K29)</f>
        <v>-22</v>
      </c>
      <c r="L33" s="13">
        <f>SUM(L26,L29)</f>
        <v>-21</v>
      </c>
      <c r="M33" s="13">
        <f>SUM(M26,M29)</f>
        <v>-20</v>
      </c>
    </row>
    <row r="34" spans="1:13" x14ac:dyDescent="0.25">
      <c r="A34" s="6"/>
      <c r="C34" s="13">
        <f>C33-C32</f>
        <v>-9</v>
      </c>
      <c r="D34" s="13">
        <f>D33-D32</f>
        <v>-44</v>
      </c>
      <c r="E34" s="13">
        <f>E33-E32</f>
        <v>-45</v>
      </c>
      <c r="F34" s="13">
        <f>F33-F32</f>
        <v>-41</v>
      </c>
      <c r="G34" s="13">
        <f>G33-G32</f>
        <v>-40</v>
      </c>
      <c r="H34" s="13">
        <f>H33-H32</f>
        <v>-38</v>
      </c>
      <c r="I34" s="13">
        <f>I33-I32</f>
        <v>-38</v>
      </c>
      <c r="J34" s="13">
        <f>J33-J32</f>
        <v>-37</v>
      </c>
      <c r="K34" s="13">
        <f>K33-K32</f>
        <v>-34</v>
      </c>
      <c r="L34" s="13">
        <f>L33-L32</f>
        <v>-32</v>
      </c>
      <c r="M34" s="13">
        <f>M33-M32</f>
        <v>-31</v>
      </c>
    </row>
    <row r="35" spans="1:13" x14ac:dyDescent="0.25">
      <c r="A35" s="7" t="s">
        <v>212</v>
      </c>
      <c r="B35" s="20">
        <v>0.218</v>
      </c>
      <c r="C35" s="31">
        <v>-1</v>
      </c>
      <c r="D35" s="19">
        <v>-2</v>
      </c>
      <c r="E35" s="19">
        <v>-3</v>
      </c>
      <c r="F35" s="19">
        <v>-2</v>
      </c>
      <c r="G35" s="19">
        <v>-2</v>
      </c>
      <c r="H35" s="19">
        <v>-3</v>
      </c>
      <c r="I35" s="19">
        <v>-3</v>
      </c>
      <c r="J35" s="19">
        <v>-3</v>
      </c>
      <c r="K35" s="19">
        <v>-3</v>
      </c>
      <c r="L35" s="19">
        <v>-2</v>
      </c>
      <c r="M35" s="19">
        <v>-2</v>
      </c>
    </row>
    <row r="36" spans="1:13" x14ac:dyDescent="0.25">
      <c r="A36" s="6" t="s">
        <v>213</v>
      </c>
      <c r="C36" s="13">
        <v>2</v>
      </c>
      <c r="D36" s="13">
        <v>9</v>
      </c>
      <c r="E36" s="13">
        <v>10</v>
      </c>
      <c r="F36" s="13">
        <v>9</v>
      </c>
      <c r="G36" s="13">
        <v>9</v>
      </c>
      <c r="H36" s="13">
        <v>9</v>
      </c>
      <c r="I36" s="13">
        <v>10</v>
      </c>
      <c r="J36" s="13">
        <v>10</v>
      </c>
      <c r="K36" s="13">
        <v>10</v>
      </c>
      <c r="L36" s="13">
        <v>9</v>
      </c>
      <c r="M36" s="13">
        <v>8</v>
      </c>
    </row>
    <row r="37" spans="1:13" x14ac:dyDescent="0.25">
      <c r="A37" s="6"/>
      <c r="C37" s="13">
        <f>SUM(C32,C35)</f>
        <v>1</v>
      </c>
      <c r="D37" s="13">
        <f>SUM(D32,D35)</f>
        <v>9</v>
      </c>
      <c r="E37" s="13">
        <f>SUM(E32,E35)</f>
        <v>10</v>
      </c>
      <c r="F37" s="13">
        <f>SUM(F32,F35)</f>
        <v>9</v>
      </c>
      <c r="G37" s="13">
        <f>SUM(G32,G35)</f>
        <v>9</v>
      </c>
      <c r="H37" s="13">
        <f>SUM(H32,H35)</f>
        <v>9</v>
      </c>
      <c r="I37" s="13">
        <f>SUM(I32,I35)</f>
        <v>10</v>
      </c>
      <c r="J37" s="13">
        <f>SUM(J32,J35)</f>
        <v>10</v>
      </c>
      <c r="K37" s="13">
        <f>SUM(K32,K35)</f>
        <v>9</v>
      </c>
      <c r="L37" s="13">
        <f>SUM(L32,L35)</f>
        <v>9</v>
      </c>
      <c r="M37" s="13">
        <f>SUM(M32,M35)</f>
        <v>9</v>
      </c>
    </row>
    <row r="38" spans="1:13" x14ac:dyDescent="0.25">
      <c r="A38" s="6"/>
      <c r="C38" s="13">
        <f>C37-C36</f>
        <v>-1</v>
      </c>
      <c r="D38" s="13">
        <f>D37-D36</f>
        <v>0</v>
      </c>
      <c r="E38" s="13">
        <f>E37-E36</f>
        <v>0</v>
      </c>
      <c r="F38" s="13">
        <f>F37-F36</f>
        <v>0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-1</v>
      </c>
      <c r="L38" s="13">
        <f>L37-L36</f>
        <v>0</v>
      </c>
      <c r="M38" s="13">
        <f>M37-M36</f>
        <v>1</v>
      </c>
    </row>
    <row r="39" spans="1:13" x14ac:dyDescent="0.25">
      <c r="A39" s="7" t="s">
        <v>214</v>
      </c>
      <c r="C39" s="10">
        <v>0</v>
      </c>
      <c r="D39" s="10">
        <v>1</v>
      </c>
      <c r="E39" s="10">
        <v>1</v>
      </c>
      <c r="F39" s="10">
        <v>1</v>
      </c>
      <c r="G39" s="10">
        <v>1</v>
      </c>
      <c r="H39" s="10">
        <v>1</v>
      </c>
      <c r="I39" s="10">
        <v>1</v>
      </c>
      <c r="J39" s="10">
        <v>1</v>
      </c>
      <c r="K39" s="10">
        <v>1</v>
      </c>
      <c r="L39" s="10">
        <v>1</v>
      </c>
      <c r="M39" s="10">
        <v>1</v>
      </c>
    </row>
    <row r="40" spans="1:13" x14ac:dyDescent="0.25">
      <c r="A40" s="6" t="s">
        <v>215</v>
      </c>
      <c r="C40" s="13">
        <v>2</v>
      </c>
      <c r="D40" s="13">
        <v>10</v>
      </c>
      <c r="E40" s="13">
        <v>11</v>
      </c>
      <c r="F40" s="13">
        <v>10</v>
      </c>
      <c r="G40" s="13">
        <v>9</v>
      </c>
      <c r="H40" s="13">
        <v>10</v>
      </c>
      <c r="I40" s="13">
        <v>11</v>
      </c>
      <c r="J40" s="13">
        <v>11</v>
      </c>
      <c r="K40" s="13">
        <v>10</v>
      </c>
      <c r="L40" s="13">
        <v>10</v>
      </c>
      <c r="M40" s="13">
        <v>9</v>
      </c>
    </row>
    <row r="41" spans="1:13" x14ac:dyDescent="0.25">
      <c r="A41" s="6"/>
      <c r="C41" s="13">
        <f>C36*C39</f>
        <v>0</v>
      </c>
      <c r="D41" s="13">
        <f>D36*D39</f>
        <v>9</v>
      </c>
      <c r="E41" s="13">
        <f>E36*E39</f>
        <v>10</v>
      </c>
      <c r="F41" s="13">
        <f>F36*F39</f>
        <v>9</v>
      </c>
      <c r="G41" s="13">
        <f>G36*G39</f>
        <v>9</v>
      </c>
      <c r="H41" s="13">
        <f>H36*H39</f>
        <v>9</v>
      </c>
      <c r="I41" s="13">
        <f>I36*I39</f>
        <v>10</v>
      </c>
      <c r="J41" s="13">
        <f>J36*J39</f>
        <v>10</v>
      </c>
      <c r="K41" s="13">
        <f>K36*K39</f>
        <v>10</v>
      </c>
      <c r="L41" s="13">
        <f>L36*L39</f>
        <v>9</v>
      </c>
      <c r="M41" s="13">
        <f>M36*M39</f>
        <v>8</v>
      </c>
    </row>
    <row r="42" spans="1:13" x14ac:dyDescent="0.25">
      <c r="A42" s="6"/>
      <c r="C42" s="13">
        <f>C41-C40</f>
        <v>-2</v>
      </c>
      <c r="D42" s="13">
        <f>D41-D40</f>
        <v>-1</v>
      </c>
      <c r="E42" s="13">
        <f>E41-E40</f>
        <v>-1</v>
      </c>
      <c r="F42" s="13">
        <f>F41-F40</f>
        <v>-1</v>
      </c>
      <c r="G42" s="13">
        <f>G41-G40</f>
        <v>0</v>
      </c>
      <c r="H42" s="13">
        <f>H41-H40</f>
        <v>-1</v>
      </c>
      <c r="I42" s="13">
        <f>I41-I40</f>
        <v>-1</v>
      </c>
      <c r="J42" s="13">
        <f>J41-J40</f>
        <v>-1</v>
      </c>
      <c r="K42" s="13">
        <f>K41-K40</f>
        <v>0</v>
      </c>
      <c r="L42" s="13">
        <f>L41-L40</f>
        <v>-1</v>
      </c>
      <c r="M42" s="13">
        <f>M41-M40</f>
        <v>-1</v>
      </c>
    </row>
    <row r="43" spans="1:13" x14ac:dyDescent="0.25">
      <c r="A43" s="7" t="s">
        <v>115</v>
      </c>
      <c r="B43" s="20">
        <v>0.11</v>
      </c>
      <c r="C43" s="23">
        <v>0.98740000000000006</v>
      </c>
      <c r="D43" s="23">
        <v>0.92530000000000001</v>
      </c>
      <c r="E43" s="23">
        <v>0.83360000000000001</v>
      </c>
      <c r="F43" s="24">
        <v>0.751</v>
      </c>
      <c r="G43" s="23">
        <v>0.67659999999999998</v>
      </c>
      <c r="H43" s="23">
        <v>0.60950000000000004</v>
      </c>
      <c r="I43" s="23">
        <v>0.54910000000000003</v>
      </c>
      <c r="J43" s="23">
        <v>0.49469999999999997</v>
      </c>
      <c r="K43" s="23">
        <v>0.44569999999999999</v>
      </c>
      <c r="L43" s="23">
        <v>0.40150000000000002</v>
      </c>
      <c r="M43" s="23">
        <v>0.36170000000000002</v>
      </c>
    </row>
    <row r="44" spans="1:13" x14ac:dyDescent="0.25">
      <c r="A44" s="6" t="s">
        <v>116</v>
      </c>
      <c r="C44" s="13">
        <v>2</v>
      </c>
      <c r="D44" s="13">
        <v>9</v>
      </c>
      <c r="E44" s="13">
        <v>9</v>
      </c>
      <c r="F44" s="13">
        <v>7</v>
      </c>
      <c r="G44" s="13">
        <v>6</v>
      </c>
      <c r="H44" s="13">
        <v>6</v>
      </c>
      <c r="I44" s="13">
        <v>6</v>
      </c>
      <c r="J44" s="13">
        <v>5</v>
      </c>
      <c r="K44" s="13">
        <v>5</v>
      </c>
      <c r="L44" s="13">
        <v>4</v>
      </c>
      <c r="M44" s="13">
        <v>3</v>
      </c>
    </row>
    <row r="45" spans="1:13" x14ac:dyDescent="0.25">
      <c r="A45" s="7" t="s">
        <v>216</v>
      </c>
      <c r="C45" s="10">
        <v>79</v>
      </c>
      <c r="G45" s="7" t="s">
        <v>287</v>
      </c>
    </row>
    <row r="46" spans="1:13" x14ac:dyDescent="0.25">
      <c r="F46" s="10">
        <v>80</v>
      </c>
      <c r="G46" s="15">
        <v>0.1</v>
      </c>
      <c r="H46" s="20">
        <v>0.125</v>
      </c>
      <c r="I46" s="20">
        <v>0.15</v>
      </c>
    </row>
    <row r="47" spans="1:13" x14ac:dyDescent="0.25">
      <c r="A47" s="6" t="s">
        <v>218</v>
      </c>
      <c r="C47" s="13">
        <v>79</v>
      </c>
      <c r="F47" s="15">
        <v>0.05</v>
      </c>
      <c r="G47" s="21">
        <v>200</v>
      </c>
      <c r="H47" s="21">
        <v>160</v>
      </c>
      <c r="I47" s="21">
        <v>120</v>
      </c>
    </row>
    <row r="48" spans="1:13" x14ac:dyDescent="0.25">
      <c r="A48" s="7" t="s">
        <v>121</v>
      </c>
      <c r="B48" s="7" t="s">
        <v>288</v>
      </c>
      <c r="C48" s="7" t="s">
        <v>223</v>
      </c>
      <c r="E48" s="7" t="s">
        <v>282</v>
      </c>
      <c r="F48" s="15">
        <v>0.1</v>
      </c>
      <c r="G48" s="21">
        <v>130</v>
      </c>
      <c r="H48" s="21">
        <v>100</v>
      </c>
      <c r="I48" s="21">
        <v>80</v>
      </c>
    </row>
    <row r="49" spans="1:13" x14ac:dyDescent="0.25">
      <c r="A49" s="6" t="s">
        <v>219</v>
      </c>
      <c r="C49" s="13">
        <v>80</v>
      </c>
      <c r="F49" s="15">
        <v>0.15</v>
      </c>
      <c r="G49" s="21">
        <v>90</v>
      </c>
      <c r="H49" s="21">
        <v>70</v>
      </c>
      <c r="I49" s="21">
        <v>50</v>
      </c>
    </row>
    <row r="50" spans="1:13" x14ac:dyDescent="0.25">
      <c r="A50" s="9" t="s">
        <v>221</v>
      </c>
    </row>
    <row r="51" spans="1:13" x14ac:dyDescent="0.25">
      <c r="A51" s="7" t="s">
        <v>222</v>
      </c>
      <c r="C51" s="7" t="s">
        <v>223</v>
      </c>
      <c r="D51" s="20">
        <v>2.5999999999999999E-2</v>
      </c>
      <c r="E51" s="20">
        <v>3.3000000000000002E-2</v>
      </c>
      <c r="F51" s="20">
        <v>5.7000000000000002E-2</v>
      </c>
      <c r="G51" s="20">
        <v>4.8000000000000001E-2</v>
      </c>
      <c r="H51" s="20">
        <v>4.7E-2</v>
      </c>
      <c r="I51" s="20">
        <v>5.7000000000000002E-2</v>
      </c>
      <c r="J51" s="20">
        <v>5.7000000000000002E-2</v>
      </c>
      <c r="K51" s="20">
        <v>0.03</v>
      </c>
      <c r="L51" s="20">
        <v>0.03</v>
      </c>
      <c r="M51" s="20">
        <v>0.03</v>
      </c>
    </row>
    <row r="52" spans="1:13" x14ac:dyDescent="0.25">
      <c r="A52" s="7" t="s">
        <v>289</v>
      </c>
      <c r="C52" s="20">
        <v>0.06</v>
      </c>
      <c r="D52" s="20">
        <v>0.06</v>
      </c>
      <c r="E52" s="20">
        <v>0.06</v>
      </c>
      <c r="F52" s="20">
        <v>0.06</v>
      </c>
      <c r="G52" s="20">
        <v>0.06</v>
      </c>
      <c r="H52" s="20">
        <v>0.06</v>
      </c>
      <c r="I52" s="20">
        <v>0.06</v>
      </c>
      <c r="J52" s="20">
        <v>0.06</v>
      </c>
      <c r="K52" s="20">
        <v>0.06</v>
      </c>
      <c r="L52" s="20">
        <v>0.06</v>
      </c>
      <c r="M52" s="20">
        <v>0.06</v>
      </c>
    </row>
    <row r="53" spans="1:13" x14ac:dyDescent="0.25">
      <c r="A53" s="7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</row>
    <row r="54" spans="1:13" x14ac:dyDescent="0.25">
      <c r="A54" s="7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</row>
    <row r="55" spans="1:13" x14ac:dyDescent="0.25">
      <c r="A55" s="7" t="s">
        <v>224</v>
      </c>
      <c r="C55" s="20">
        <v>0.26200000000000001</v>
      </c>
      <c r="D55" s="20">
        <v>0.25600000000000001</v>
      </c>
      <c r="E55" s="20">
        <v>0.26800000000000002</v>
      </c>
      <c r="F55" s="20">
        <v>0.27700000000000002</v>
      </c>
      <c r="G55" s="20">
        <v>0.28499999999999998</v>
      </c>
      <c r="H55" s="20">
        <v>0.29099999999999998</v>
      </c>
      <c r="I55" s="20">
        <v>0.29799999999999999</v>
      </c>
      <c r="J55" s="20">
        <v>0.30399999999999999</v>
      </c>
      <c r="K55" s="20">
        <v>0.30399999999999999</v>
      </c>
      <c r="L55" s="20">
        <v>0.30399999999999999</v>
      </c>
      <c r="M55" s="20">
        <v>0.30399999999999999</v>
      </c>
    </row>
    <row r="56" spans="1:13" x14ac:dyDescent="0.25">
      <c r="A56" s="7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</row>
    <row r="57" spans="1:13" x14ac:dyDescent="0.25">
      <c r="A57" s="7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1:13" x14ac:dyDescent="0.25">
      <c r="A58" s="7" t="s">
        <v>107</v>
      </c>
      <c r="C58" s="20">
        <v>3.5999999999999997E-2</v>
      </c>
      <c r="D58" s="20">
        <v>3.4000000000000002E-2</v>
      </c>
      <c r="E58" s="20">
        <v>3.5000000000000003E-2</v>
      </c>
      <c r="F58" s="20">
        <v>0.05</v>
      </c>
      <c r="G58" s="20">
        <v>5.5E-2</v>
      </c>
      <c r="H58" s="20">
        <v>5.2999999999999999E-2</v>
      </c>
      <c r="I58" s="20">
        <v>5.0999999999999997E-2</v>
      </c>
      <c r="J58" s="20">
        <v>4.9000000000000002E-2</v>
      </c>
      <c r="K58" s="20">
        <v>4.9000000000000002E-2</v>
      </c>
      <c r="L58" s="20">
        <v>4.9000000000000002E-2</v>
      </c>
      <c r="M58" s="20">
        <v>4.9000000000000002E-2</v>
      </c>
    </row>
    <row r="59" spans="1:13" x14ac:dyDescent="0.25">
      <c r="A59" s="7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1:13" x14ac:dyDescent="0.25">
      <c r="A60" s="7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</row>
    <row r="61" spans="1:13" x14ac:dyDescent="0.25">
      <c r="A61" s="7" t="s">
        <v>225</v>
      </c>
      <c r="C61" s="20">
        <v>0.22600000000000001</v>
      </c>
      <c r="D61" s="20">
        <v>0.223</v>
      </c>
      <c r="E61" s="20">
        <v>0.23300000000000001</v>
      </c>
      <c r="F61" s="20">
        <v>0.22700000000000001</v>
      </c>
      <c r="G61" s="20">
        <v>0.23</v>
      </c>
      <c r="H61" s="20">
        <v>0.23799999999999999</v>
      </c>
      <c r="I61" s="20">
        <v>0.247</v>
      </c>
      <c r="J61" s="20">
        <v>0.255</v>
      </c>
      <c r="K61" s="20">
        <v>0.255</v>
      </c>
      <c r="L61" s="20">
        <v>0.255</v>
      </c>
      <c r="M61" s="20">
        <v>0.255</v>
      </c>
    </row>
    <row r="62" spans="1:13" x14ac:dyDescent="0.25">
      <c r="A62" s="7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1:13" x14ac:dyDescent="0.25">
      <c r="A63" s="7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1:13" x14ac:dyDescent="0.25">
      <c r="A64" s="7" t="s">
        <v>240</v>
      </c>
      <c r="C64" s="20">
        <v>-5.0000000000000001E-3</v>
      </c>
      <c r="D64" s="20">
        <v>-5.0000000000000001E-3</v>
      </c>
      <c r="E64" s="20">
        <v>-5.0000000000000001E-3</v>
      </c>
      <c r="F64" s="20">
        <v>-5.0000000000000001E-3</v>
      </c>
      <c r="G64" s="20">
        <v>-5.0000000000000001E-3</v>
      </c>
      <c r="H64" s="20">
        <v>-5.0000000000000001E-3</v>
      </c>
      <c r="I64" s="20">
        <v>-5.0000000000000001E-3</v>
      </c>
      <c r="J64" s="20">
        <v>-5.0000000000000001E-3</v>
      </c>
      <c r="K64" s="20">
        <v>-5.0000000000000001E-3</v>
      </c>
      <c r="L64" s="20">
        <v>-5.0000000000000001E-3</v>
      </c>
      <c r="M64" s="20">
        <v>-5.0000000000000001E-3</v>
      </c>
    </row>
    <row r="65" spans="1:13" x14ac:dyDescent="0.25">
      <c r="A65" s="7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1:13" x14ac:dyDescent="0.25">
      <c r="A66" s="7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1:13" x14ac:dyDescent="0.25">
      <c r="A67" s="16" t="s">
        <v>127</v>
      </c>
    </row>
    <row r="68" spans="1:13" x14ac:dyDescent="0.25">
      <c r="A68" s="7" t="s">
        <v>290</v>
      </c>
    </row>
    <row r="69" spans="1:13" x14ac:dyDescent="0.25">
      <c r="A69" s="7" t="s">
        <v>291</v>
      </c>
    </row>
    <row r="70" spans="1:13" x14ac:dyDescent="0.25">
      <c r="A70" s="16" t="s">
        <v>61</v>
      </c>
    </row>
    <row r="71" spans="1:13" x14ac:dyDescent="0.25">
      <c r="A71" s="9" t="s">
        <v>62</v>
      </c>
      <c r="M71" s="32" t="s">
        <v>63</v>
      </c>
    </row>
    <row r="72" spans="1:13" x14ac:dyDescent="0.25">
      <c r="E72" s="5" t="s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2:M6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292</v>
      </c>
    </row>
    <row r="3" spans="1:13" x14ac:dyDescent="0.25">
      <c r="A3" s="6" t="s">
        <v>9</v>
      </c>
    </row>
    <row r="4" spans="1:13" x14ac:dyDescent="0.25">
      <c r="A4" s="6" t="s">
        <v>279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229</v>
      </c>
      <c r="D7" s="9" t="s">
        <v>230</v>
      </c>
      <c r="E7" s="9" t="s">
        <v>231</v>
      </c>
      <c r="F7" s="9" t="s">
        <v>232</v>
      </c>
      <c r="G7" s="9" t="s">
        <v>233</v>
      </c>
      <c r="H7" s="9" t="s">
        <v>234</v>
      </c>
      <c r="I7" s="9" t="s">
        <v>235</v>
      </c>
      <c r="J7" s="9" t="s">
        <v>236</v>
      </c>
      <c r="K7" s="9" t="s">
        <v>237</v>
      </c>
      <c r="L7" s="9" t="s">
        <v>238</v>
      </c>
      <c r="M7" s="9" t="s">
        <v>239</v>
      </c>
    </row>
    <row r="8" spans="1:13" x14ac:dyDescent="0.25">
      <c r="A8" s="7" t="s">
        <v>280</v>
      </c>
      <c r="C8" s="10">
        <v>113</v>
      </c>
      <c r="D8" s="10">
        <v>105</v>
      </c>
      <c r="E8" s="10">
        <v>97</v>
      </c>
      <c r="F8" s="10">
        <v>90</v>
      </c>
      <c r="G8" s="10">
        <v>83</v>
      </c>
      <c r="H8" s="10">
        <v>77</v>
      </c>
      <c r="I8" s="10">
        <v>72</v>
      </c>
      <c r="J8" s="10">
        <v>66</v>
      </c>
      <c r="K8" s="10">
        <v>62</v>
      </c>
      <c r="L8" s="10">
        <v>57</v>
      </c>
      <c r="M8" s="10">
        <v>53</v>
      </c>
    </row>
    <row r="9" spans="1:13" x14ac:dyDescent="0.25">
      <c r="A9" s="7" t="s">
        <v>281</v>
      </c>
      <c r="C9" s="10">
        <v>3</v>
      </c>
      <c r="D9" s="10">
        <v>3</v>
      </c>
      <c r="E9" s="10">
        <v>3</v>
      </c>
      <c r="F9" s="10">
        <v>3</v>
      </c>
      <c r="G9" s="10">
        <v>3</v>
      </c>
      <c r="H9" s="10">
        <v>2</v>
      </c>
      <c r="I9" s="10">
        <v>2</v>
      </c>
      <c r="J9" s="10">
        <v>2</v>
      </c>
      <c r="K9" s="10">
        <v>2</v>
      </c>
      <c r="L9" s="10">
        <v>2</v>
      </c>
      <c r="M9" s="10">
        <v>2</v>
      </c>
    </row>
    <row r="10" spans="1:13" x14ac:dyDescent="0.25">
      <c r="A10" s="7" t="s">
        <v>282</v>
      </c>
      <c r="B10" s="20">
        <v>0.1</v>
      </c>
      <c r="C10" s="19">
        <v>-12</v>
      </c>
      <c r="D10" s="19">
        <v>-11</v>
      </c>
      <c r="E10" s="19">
        <v>-10</v>
      </c>
      <c r="F10" s="19">
        <v>-9</v>
      </c>
      <c r="G10" s="19">
        <v>-9</v>
      </c>
      <c r="H10" s="19">
        <v>-8</v>
      </c>
      <c r="I10" s="19">
        <v>-7</v>
      </c>
      <c r="J10" s="19">
        <v>-7</v>
      </c>
      <c r="K10" s="19">
        <v>-6</v>
      </c>
      <c r="L10" s="19">
        <v>-6</v>
      </c>
      <c r="M10" s="19">
        <v>-5</v>
      </c>
    </row>
    <row r="11" spans="1:13" x14ac:dyDescent="0.25">
      <c r="A11" s="7"/>
      <c r="B11" s="20"/>
      <c r="C11" s="19">
        <f>SUM(C8:C9)</f>
        <v>116</v>
      </c>
      <c r="D11" s="19">
        <f>SUM(D8:D9)</f>
        <v>108</v>
      </c>
      <c r="E11" s="19">
        <f>SUM(E8:E9)</f>
        <v>100</v>
      </c>
      <c r="F11" s="19">
        <f>SUM(F8:F9)</f>
        <v>93</v>
      </c>
      <c r="G11" s="19">
        <f>SUM(G8:G9)</f>
        <v>86</v>
      </c>
      <c r="H11" s="19">
        <f>SUM(H8:H9)</f>
        <v>79</v>
      </c>
      <c r="I11" s="19">
        <f>SUM(I8:I9)</f>
        <v>74</v>
      </c>
      <c r="J11" s="19">
        <f>SUM(J8:J9)</f>
        <v>68</v>
      </c>
      <c r="K11" s="19">
        <f>SUM(K8:K9)</f>
        <v>64</v>
      </c>
      <c r="L11" s="19">
        <f>SUM(L8:L9)</f>
        <v>59</v>
      </c>
      <c r="M11" s="19">
        <f>SUM(M8:M9)</f>
        <v>55</v>
      </c>
    </row>
    <row r="12" spans="1:13" x14ac:dyDescent="0.25">
      <c r="A12" s="7"/>
      <c r="B12" s="20"/>
      <c r="C12" s="19">
        <f>C11-C10</f>
        <v>128</v>
      </c>
      <c r="D12" s="19">
        <f>D11-D10</f>
        <v>119</v>
      </c>
      <c r="E12" s="19">
        <f>E11-E10</f>
        <v>110</v>
      </c>
      <c r="F12" s="19">
        <f>F11-F10</f>
        <v>102</v>
      </c>
      <c r="G12" s="19">
        <f>G11-G10</f>
        <v>95</v>
      </c>
      <c r="H12" s="19">
        <f>H11-H10</f>
        <v>87</v>
      </c>
      <c r="I12" s="19">
        <f>I11-I10</f>
        <v>81</v>
      </c>
      <c r="J12" s="19">
        <f>J11-J10</f>
        <v>75</v>
      </c>
      <c r="K12" s="19">
        <f>K11-K10</f>
        <v>70</v>
      </c>
      <c r="L12" s="19">
        <f>L11-L10</f>
        <v>65</v>
      </c>
      <c r="M12" s="19">
        <f>M11-M10</f>
        <v>60</v>
      </c>
    </row>
    <row r="13" spans="1:13" x14ac:dyDescent="0.25">
      <c r="A13" s="7" t="s">
        <v>208</v>
      </c>
      <c r="C13" s="10">
        <v>105</v>
      </c>
      <c r="D13" s="10">
        <v>97</v>
      </c>
      <c r="E13" s="10">
        <v>90</v>
      </c>
      <c r="F13" s="10">
        <v>83</v>
      </c>
      <c r="G13" s="10">
        <v>77</v>
      </c>
      <c r="H13" s="10">
        <v>72</v>
      </c>
      <c r="I13" s="10">
        <v>66</v>
      </c>
      <c r="J13" s="10">
        <v>62</v>
      </c>
      <c r="K13" s="10">
        <v>57</v>
      </c>
      <c r="L13" s="10">
        <v>53</v>
      </c>
      <c r="M13" s="10">
        <v>49</v>
      </c>
    </row>
    <row r="14" spans="1:13" x14ac:dyDescent="0.25">
      <c r="A14" s="7" t="s">
        <v>283</v>
      </c>
      <c r="C14" s="10">
        <v>109</v>
      </c>
      <c r="D14" s="10">
        <v>101</v>
      </c>
      <c r="E14" s="10">
        <v>94</v>
      </c>
      <c r="F14" s="10">
        <v>87</v>
      </c>
      <c r="G14" s="10">
        <v>80</v>
      </c>
      <c r="H14" s="10">
        <v>75</v>
      </c>
      <c r="I14" s="10">
        <v>69</v>
      </c>
      <c r="J14" s="10">
        <v>64</v>
      </c>
      <c r="K14" s="10">
        <v>59</v>
      </c>
      <c r="L14" s="10">
        <v>55</v>
      </c>
      <c r="M14" s="10">
        <v>51</v>
      </c>
    </row>
    <row r="15" spans="1:13" x14ac:dyDescent="0.25">
      <c r="A15" s="7"/>
      <c r="C15" s="10">
        <f>C10*C13</f>
        <v>-1260</v>
      </c>
      <c r="D15" s="10">
        <f>D10*D13</f>
        <v>-1067</v>
      </c>
      <c r="E15" s="10">
        <f>E10*E13</f>
        <v>-900</v>
      </c>
      <c r="F15" s="10">
        <f>F10*F13</f>
        <v>-747</v>
      </c>
      <c r="G15" s="10">
        <f>G10*G13</f>
        <v>-693</v>
      </c>
      <c r="H15" s="10">
        <f>H10*H13</f>
        <v>-576</v>
      </c>
      <c r="I15" s="10">
        <f>I10*I13</f>
        <v>-462</v>
      </c>
      <c r="J15" s="10">
        <f>J10*J13</f>
        <v>-434</v>
      </c>
      <c r="K15" s="10">
        <f>K10*K13</f>
        <v>-342</v>
      </c>
      <c r="L15" s="10">
        <f>L10*L13</f>
        <v>-318</v>
      </c>
      <c r="M15" s="10">
        <f>M10*M13</f>
        <v>-245</v>
      </c>
    </row>
    <row r="16" spans="1:13" x14ac:dyDescent="0.25">
      <c r="A16" s="7"/>
      <c r="C16" s="10">
        <f>C15-C14</f>
        <v>-1369</v>
      </c>
      <c r="D16" s="10">
        <f>D15-D14</f>
        <v>-1168</v>
      </c>
      <c r="E16" s="10">
        <f>E15-E14</f>
        <v>-994</v>
      </c>
      <c r="F16" s="10">
        <f>F15-F14</f>
        <v>-834</v>
      </c>
      <c r="G16" s="10">
        <f>G15-G14</f>
        <v>-773</v>
      </c>
      <c r="H16" s="10">
        <f>H15-H14</f>
        <v>-651</v>
      </c>
      <c r="I16" s="10">
        <f>I15-I14</f>
        <v>-531</v>
      </c>
      <c r="J16" s="10">
        <f>J15-J14</f>
        <v>-498</v>
      </c>
      <c r="K16" s="10">
        <f>K15-K14</f>
        <v>-401</v>
      </c>
      <c r="L16" s="10">
        <f>L15-L14</f>
        <v>-373</v>
      </c>
      <c r="M16" s="10">
        <f>M15-M14</f>
        <v>-296</v>
      </c>
    </row>
    <row r="17" spans="1:13" x14ac:dyDescent="0.25">
      <c r="A17" s="7" t="s">
        <v>284</v>
      </c>
      <c r="C17" s="7" t="s">
        <v>90</v>
      </c>
      <c r="D17" s="7" t="s">
        <v>90</v>
      </c>
      <c r="E17" s="7" t="s">
        <v>90</v>
      </c>
      <c r="F17" s="7" t="s">
        <v>90</v>
      </c>
      <c r="G17" s="7" t="s">
        <v>90</v>
      </c>
      <c r="H17" s="7" t="s">
        <v>90</v>
      </c>
      <c r="I17" s="7" t="s">
        <v>90</v>
      </c>
      <c r="J17" s="7" t="s">
        <v>90</v>
      </c>
      <c r="K17" s="7" t="s">
        <v>90</v>
      </c>
      <c r="L17" s="7" t="s">
        <v>90</v>
      </c>
      <c r="M17" s="7" t="s">
        <v>90</v>
      </c>
    </row>
    <row r="18" spans="1:13" x14ac:dyDescent="0.25">
      <c r="A18" s="7" t="s">
        <v>285</v>
      </c>
      <c r="C18" s="13">
        <v>109</v>
      </c>
      <c r="D18" s="13">
        <v>101</v>
      </c>
      <c r="E18" s="13">
        <v>94</v>
      </c>
      <c r="F18" s="13">
        <v>87</v>
      </c>
      <c r="G18" s="13">
        <v>80</v>
      </c>
      <c r="H18" s="13">
        <v>75</v>
      </c>
      <c r="I18" s="13">
        <v>69</v>
      </c>
      <c r="J18" s="13">
        <v>64</v>
      </c>
      <c r="K18" s="13">
        <v>59</v>
      </c>
      <c r="L18" s="13">
        <v>55</v>
      </c>
      <c r="M18" s="13">
        <v>51</v>
      </c>
    </row>
    <row r="19" spans="1:13" x14ac:dyDescent="0.25">
      <c r="A19" s="6" t="s">
        <v>106</v>
      </c>
      <c r="C19" s="13">
        <v>33</v>
      </c>
      <c r="D19" s="13">
        <v>31</v>
      </c>
      <c r="E19" s="13">
        <v>28</v>
      </c>
      <c r="F19" s="13">
        <v>26</v>
      </c>
      <c r="G19" s="13">
        <v>24</v>
      </c>
      <c r="H19" s="13">
        <v>23</v>
      </c>
      <c r="I19" s="13">
        <v>21</v>
      </c>
      <c r="J19" s="13">
        <v>19</v>
      </c>
      <c r="K19" s="13">
        <v>18</v>
      </c>
      <c r="L19" s="13">
        <v>17</v>
      </c>
      <c r="M19" s="13">
        <v>16</v>
      </c>
    </row>
    <row r="20" spans="1:13" x14ac:dyDescent="0.25">
      <c r="A20" s="7" t="s">
        <v>107</v>
      </c>
      <c r="C20" s="19">
        <v>-5</v>
      </c>
      <c r="D20" s="19">
        <v>-5</v>
      </c>
      <c r="E20" s="19">
        <v>-5</v>
      </c>
      <c r="F20" s="19">
        <v>-4</v>
      </c>
      <c r="G20" s="19">
        <v>-4</v>
      </c>
      <c r="H20" s="19">
        <v>-4</v>
      </c>
      <c r="I20" s="19">
        <v>-3</v>
      </c>
      <c r="J20" s="19">
        <v>-3</v>
      </c>
      <c r="K20" s="19">
        <v>-3</v>
      </c>
      <c r="L20" s="19">
        <v>-3</v>
      </c>
      <c r="M20" s="19">
        <v>-2</v>
      </c>
    </row>
    <row r="21" spans="1:13" x14ac:dyDescent="0.25">
      <c r="A21" s="7"/>
      <c r="C21" s="19">
        <f>SUM(C18,C19)</f>
        <v>142</v>
      </c>
      <c r="D21" s="19">
        <f>SUM(D18,D19)</f>
        <v>132</v>
      </c>
      <c r="E21" s="19">
        <f>SUM(E18,E19)</f>
        <v>122</v>
      </c>
      <c r="F21" s="19">
        <f>SUM(F18,F19)</f>
        <v>113</v>
      </c>
      <c r="G21" s="19">
        <f>SUM(G18,G19)</f>
        <v>104</v>
      </c>
      <c r="H21" s="19">
        <f>SUM(H18,H19)</f>
        <v>98</v>
      </c>
      <c r="I21" s="19">
        <f>SUM(I18,I19)</f>
        <v>90</v>
      </c>
      <c r="J21" s="19">
        <f>SUM(J18,J19)</f>
        <v>83</v>
      </c>
      <c r="K21" s="19">
        <f>SUM(K18,K19)</f>
        <v>77</v>
      </c>
      <c r="L21" s="19">
        <f>SUM(L18,L19)</f>
        <v>72</v>
      </c>
      <c r="M21" s="19">
        <f>SUM(M18,M19)</f>
        <v>67</v>
      </c>
    </row>
    <row r="22" spans="1:13" x14ac:dyDescent="0.25">
      <c r="A22" s="7"/>
      <c r="C22" s="19">
        <f>C21-C20</f>
        <v>147</v>
      </c>
      <c r="D22" s="19">
        <f>D21-D20</f>
        <v>137</v>
      </c>
      <c r="E22" s="19">
        <f>E21-E20</f>
        <v>127</v>
      </c>
      <c r="F22" s="19">
        <f>F21-F20</f>
        <v>117</v>
      </c>
      <c r="G22" s="19">
        <f>G21-G20</f>
        <v>108</v>
      </c>
      <c r="H22" s="19">
        <f>H21-H20</f>
        <v>102</v>
      </c>
      <c r="I22" s="19">
        <f>I21-I20</f>
        <v>93</v>
      </c>
      <c r="J22" s="19">
        <f>J21-J20</f>
        <v>86</v>
      </c>
      <c r="K22" s="19">
        <f>K21-K20</f>
        <v>80</v>
      </c>
      <c r="L22" s="19">
        <f>L21-L20</f>
        <v>75</v>
      </c>
      <c r="M22" s="19">
        <f>M21-M20</f>
        <v>69</v>
      </c>
    </row>
    <row r="23" spans="1:13" x14ac:dyDescent="0.25">
      <c r="A23" s="6" t="s">
        <v>211</v>
      </c>
      <c r="C23" s="13">
        <v>28</v>
      </c>
      <c r="D23" s="13">
        <v>26</v>
      </c>
      <c r="E23" s="13">
        <v>24</v>
      </c>
      <c r="F23" s="13">
        <v>22</v>
      </c>
      <c r="G23" s="13">
        <v>21</v>
      </c>
      <c r="H23" s="13">
        <v>19</v>
      </c>
      <c r="I23" s="13">
        <v>18</v>
      </c>
      <c r="J23" s="13">
        <v>16</v>
      </c>
      <c r="K23" s="13">
        <v>15</v>
      </c>
      <c r="L23" s="13">
        <v>14</v>
      </c>
      <c r="M23" s="13">
        <v>13</v>
      </c>
    </row>
    <row r="24" spans="1:13" x14ac:dyDescent="0.25">
      <c r="A24" s="6"/>
      <c r="C24" s="13">
        <f>C10*B23</f>
        <v>0</v>
      </c>
      <c r="D24" s="13">
        <f>D10*B23</f>
        <v>0</v>
      </c>
      <c r="E24" s="13">
        <f>E10*B23</f>
        <v>0</v>
      </c>
      <c r="F24" s="13">
        <f>F10*B23</f>
        <v>0</v>
      </c>
      <c r="G24" s="13">
        <f>G10*B23</f>
        <v>0</v>
      </c>
      <c r="H24" s="13">
        <f>H10*B23</f>
        <v>0</v>
      </c>
      <c r="I24" s="13">
        <f>I10*B23</f>
        <v>0</v>
      </c>
      <c r="J24" s="13">
        <f>J10*B23</f>
        <v>0</v>
      </c>
      <c r="K24" s="13">
        <f>K10*B23</f>
        <v>0</v>
      </c>
      <c r="L24" s="13">
        <f>L10*B23</f>
        <v>0</v>
      </c>
      <c r="M24" s="13">
        <f>M10*B23</f>
        <v>0</v>
      </c>
    </row>
    <row r="25" spans="1:13" x14ac:dyDescent="0.25">
      <c r="A25" s="6"/>
      <c r="C25" s="13">
        <f>C24-C23</f>
        <v>-28</v>
      </c>
      <c r="D25" s="13">
        <f>D24-D23</f>
        <v>-26</v>
      </c>
      <c r="E25" s="13">
        <f>E24-E23</f>
        <v>-24</v>
      </c>
      <c r="F25" s="13">
        <f>F24-F23</f>
        <v>-22</v>
      </c>
      <c r="G25" s="13">
        <f>G24-G23</f>
        <v>-21</v>
      </c>
      <c r="H25" s="13">
        <f>H24-H23</f>
        <v>-19</v>
      </c>
      <c r="I25" s="13">
        <f>I24-I23</f>
        <v>-18</v>
      </c>
      <c r="J25" s="13">
        <f>J24-J23</f>
        <v>-16</v>
      </c>
      <c r="K25" s="13">
        <f>K24-K23</f>
        <v>-15</v>
      </c>
      <c r="L25" s="13">
        <f>L24-L23</f>
        <v>-14</v>
      </c>
      <c r="M25" s="13">
        <f>M24-M23</f>
        <v>-13</v>
      </c>
    </row>
    <row r="26" spans="1:13" x14ac:dyDescent="0.25">
      <c r="A26" s="7" t="s">
        <v>210</v>
      </c>
      <c r="B26" s="20">
        <v>1.4999999999999999E-2</v>
      </c>
      <c r="C26" s="19">
        <v>-2</v>
      </c>
      <c r="D26" s="19">
        <v>-2</v>
      </c>
      <c r="E26" s="19">
        <v>-1</v>
      </c>
      <c r="F26" s="19">
        <v>-1</v>
      </c>
      <c r="G26" s="19">
        <v>-1</v>
      </c>
      <c r="H26" s="19">
        <v>-1</v>
      </c>
      <c r="I26" s="19">
        <v>-1</v>
      </c>
      <c r="J26" s="19">
        <v>-1</v>
      </c>
      <c r="K26" s="19">
        <v>-1</v>
      </c>
      <c r="L26" s="19">
        <v>-1</v>
      </c>
      <c r="M26" s="19">
        <v>-1</v>
      </c>
    </row>
    <row r="27" spans="1:13" x14ac:dyDescent="0.25">
      <c r="A27" s="7"/>
      <c r="B27" s="20"/>
      <c r="C27" s="19">
        <f>SUM(C20,C23)</f>
        <v>23</v>
      </c>
      <c r="D27" s="19">
        <f>SUM(D20,D23)</f>
        <v>21</v>
      </c>
      <c r="E27" s="19">
        <f>SUM(E20,E23)</f>
        <v>19</v>
      </c>
      <c r="F27" s="19">
        <f>SUM(F20,F23)</f>
        <v>18</v>
      </c>
      <c r="G27" s="19">
        <f>SUM(G20,G23)</f>
        <v>17</v>
      </c>
      <c r="H27" s="19">
        <f>SUM(H20,H23)</f>
        <v>15</v>
      </c>
      <c r="I27" s="19">
        <f>SUM(I20,I23)</f>
        <v>15</v>
      </c>
      <c r="J27" s="19">
        <f>SUM(J20,J23)</f>
        <v>13</v>
      </c>
      <c r="K27" s="19">
        <f>SUM(K20,K23)</f>
        <v>12</v>
      </c>
      <c r="L27" s="19">
        <f>SUM(L20,L23)</f>
        <v>11</v>
      </c>
      <c r="M27" s="19">
        <f>SUM(M20,M23)</f>
        <v>11</v>
      </c>
    </row>
    <row r="28" spans="1:13" x14ac:dyDescent="0.25">
      <c r="A28" s="7"/>
      <c r="B28" s="20"/>
      <c r="C28" s="19">
        <f>C27-C26</f>
        <v>25</v>
      </c>
      <c r="D28" s="19">
        <f>D27-D26</f>
        <v>23</v>
      </c>
      <c r="E28" s="19">
        <f>E27-E26</f>
        <v>20</v>
      </c>
      <c r="F28" s="19">
        <f>F27-F26</f>
        <v>19</v>
      </c>
      <c r="G28" s="19">
        <f>G27-G26</f>
        <v>18</v>
      </c>
      <c r="H28" s="19">
        <f>H27-H26</f>
        <v>16</v>
      </c>
      <c r="I28" s="19">
        <f>I27-I26</f>
        <v>16</v>
      </c>
      <c r="J28" s="19">
        <f>J27-J26</f>
        <v>14</v>
      </c>
      <c r="K28" s="19">
        <f>K27-K26</f>
        <v>13</v>
      </c>
      <c r="L28" s="19">
        <f>L27-L26</f>
        <v>12</v>
      </c>
      <c r="M28" s="19">
        <f>M27-M26</f>
        <v>12</v>
      </c>
    </row>
    <row r="29" spans="1:13" x14ac:dyDescent="0.25">
      <c r="A29" s="7" t="s">
        <v>286</v>
      </c>
      <c r="B29" s="20">
        <v>0.15</v>
      </c>
      <c r="C29" s="19">
        <v>-16</v>
      </c>
      <c r="D29" s="19">
        <v>-15</v>
      </c>
      <c r="E29" s="19">
        <v>-14</v>
      </c>
      <c r="F29" s="19">
        <v>-13</v>
      </c>
      <c r="G29" s="19">
        <v>-12</v>
      </c>
      <c r="H29" s="19">
        <v>-11</v>
      </c>
      <c r="I29" s="19">
        <v>-10</v>
      </c>
      <c r="J29" s="19">
        <v>-10</v>
      </c>
      <c r="K29" s="19">
        <v>-9</v>
      </c>
      <c r="L29" s="19">
        <v>-8</v>
      </c>
      <c r="M29" s="19">
        <v>-8</v>
      </c>
    </row>
    <row r="30" spans="1:13" x14ac:dyDescent="0.25">
      <c r="A30" s="7"/>
      <c r="B30" s="20"/>
      <c r="C30" s="19">
        <f>C26*B29</f>
        <v>-0.3</v>
      </c>
      <c r="D30" s="19">
        <f>D26*B29</f>
        <v>-0.3</v>
      </c>
      <c r="E30" s="19">
        <f>E26*B29</f>
        <v>-0.15</v>
      </c>
      <c r="F30" s="19">
        <f>F26*B29</f>
        <v>-0.15</v>
      </c>
      <c r="G30" s="19">
        <f>G26*B29</f>
        <v>-0.15</v>
      </c>
      <c r="H30" s="19">
        <f>H26*B29</f>
        <v>-0.15</v>
      </c>
      <c r="I30" s="19">
        <f>I26*B29</f>
        <v>-0.15</v>
      </c>
      <c r="J30" s="19">
        <f>J26*B29</f>
        <v>-0.15</v>
      </c>
      <c r="K30" s="19">
        <f>K26*B29</f>
        <v>-0.15</v>
      </c>
      <c r="L30" s="19">
        <f>L26*B29</f>
        <v>-0.15</v>
      </c>
      <c r="M30" s="19">
        <f>M26*B29</f>
        <v>-0.15</v>
      </c>
    </row>
    <row r="31" spans="1:13" x14ac:dyDescent="0.25">
      <c r="A31" s="7"/>
      <c r="B31" s="20"/>
      <c r="C31" s="19">
        <f>C30-C29</f>
        <v>15.7</v>
      </c>
      <c r="D31" s="19">
        <f>D30-D29</f>
        <v>14.7</v>
      </c>
      <c r="E31" s="19">
        <f>E30-E29</f>
        <v>13.85</v>
      </c>
      <c r="F31" s="19">
        <f>F30-F29</f>
        <v>12.85</v>
      </c>
      <c r="G31" s="19">
        <f>G30-G29</f>
        <v>11.85</v>
      </c>
      <c r="H31" s="19">
        <f>H30-H29</f>
        <v>10.85</v>
      </c>
      <c r="I31" s="19">
        <f>I30-I29</f>
        <v>9.85</v>
      </c>
      <c r="J31" s="19">
        <f>J30-J29</f>
        <v>9.85</v>
      </c>
      <c r="K31" s="19">
        <f>K30-K29</f>
        <v>8.85</v>
      </c>
      <c r="L31" s="19">
        <f>L30-L29</f>
        <v>7.85</v>
      </c>
      <c r="M31" s="19">
        <f>M30-M29</f>
        <v>7.85</v>
      </c>
    </row>
    <row r="32" spans="1:13" x14ac:dyDescent="0.25">
      <c r="A32" s="6" t="s">
        <v>108</v>
      </c>
      <c r="C32" s="13">
        <v>10</v>
      </c>
      <c r="D32" s="13">
        <v>9</v>
      </c>
      <c r="E32" s="13">
        <v>8</v>
      </c>
      <c r="F32" s="13">
        <v>8</v>
      </c>
      <c r="G32" s="13">
        <v>7</v>
      </c>
      <c r="H32" s="13">
        <v>7</v>
      </c>
      <c r="I32" s="13">
        <v>6</v>
      </c>
      <c r="J32" s="13">
        <v>6</v>
      </c>
      <c r="K32" s="13">
        <v>5</v>
      </c>
      <c r="L32" s="13">
        <v>5</v>
      </c>
      <c r="M32" s="13">
        <v>5</v>
      </c>
    </row>
    <row r="33" spans="1:13" x14ac:dyDescent="0.25">
      <c r="A33" s="6"/>
      <c r="C33" s="13">
        <f>SUM(C26,C29)</f>
        <v>-18</v>
      </c>
      <c r="D33" s="13">
        <f>SUM(D26,D29)</f>
        <v>-17</v>
      </c>
      <c r="E33" s="13">
        <f>SUM(E26,E29)</f>
        <v>-15</v>
      </c>
      <c r="F33" s="13">
        <f>SUM(F26,F29)</f>
        <v>-14</v>
      </c>
      <c r="G33" s="13">
        <f>SUM(G26,G29)</f>
        <v>-13</v>
      </c>
      <c r="H33" s="13">
        <f>SUM(H26,H29)</f>
        <v>-12</v>
      </c>
      <c r="I33" s="13">
        <f>SUM(I26,I29)</f>
        <v>-11</v>
      </c>
      <c r="J33" s="13">
        <f>SUM(J26,J29)</f>
        <v>-11</v>
      </c>
      <c r="K33" s="13">
        <f>SUM(K26,K29)</f>
        <v>-10</v>
      </c>
      <c r="L33" s="13">
        <f>SUM(L26,L29)</f>
        <v>-9</v>
      </c>
      <c r="M33" s="13">
        <f>SUM(M26,M29)</f>
        <v>-9</v>
      </c>
    </row>
    <row r="34" spans="1:13" x14ac:dyDescent="0.25">
      <c r="A34" s="6"/>
      <c r="C34" s="13">
        <f>C33-C32</f>
        <v>-28</v>
      </c>
      <c r="D34" s="13">
        <f>D33-D32</f>
        <v>-26</v>
      </c>
      <c r="E34" s="13">
        <f>E33-E32</f>
        <v>-23</v>
      </c>
      <c r="F34" s="13">
        <f>F33-F32</f>
        <v>-22</v>
      </c>
      <c r="G34" s="13">
        <f>G33-G32</f>
        <v>-20</v>
      </c>
      <c r="H34" s="13">
        <f>H33-H32</f>
        <v>-19</v>
      </c>
      <c r="I34" s="13">
        <f>I33-I32</f>
        <v>-17</v>
      </c>
      <c r="J34" s="13">
        <f>J33-J32</f>
        <v>-17</v>
      </c>
      <c r="K34" s="13">
        <f>K33-K32</f>
        <v>-15</v>
      </c>
      <c r="L34" s="13">
        <f>L33-L32</f>
        <v>-14</v>
      </c>
      <c r="M34" s="13">
        <f>M33-M32</f>
        <v>-14</v>
      </c>
    </row>
    <row r="35" spans="1:13" x14ac:dyDescent="0.25">
      <c r="A35" s="7" t="s">
        <v>212</v>
      </c>
      <c r="B35" s="20">
        <v>0.218</v>
      </c>
      <c r="C35" s="19">
        <v>-2</v>
      </c>
      <c r="D35" s="19">
        <v>-2</v>
      </c>
      <c r="E35" s="19">
        <v>-2</v>
      </c>
      <c r="F35" s="19">
        <v>-2</v>
      </c>
      <c r="G35" s="19">
        <v>-2</v>
      </c>
      <c r="H35" s="19">
        <v>-1</v>
      </c>
      <c r="I35" s="19">
        <v>-1</v>
      </c>
      <c r="J35" s="19">
        <v>-1</v>
      </c>
      <c r="K35" s="19">
        <v>-1</v>
      </c>
      <c r="L35" s="19">
        <v>-1</v>
      </c>
      <c r="M35" s="19">
        <v>-1</v>
      </c>
    </row>
    <row r="36" spans="1:13" x14ac:dyDescent="0.25">
      <c r="A36" s="6" t="s">
        <v>213</v>
      </c>
      <c r="C36" s="13">
        <v>8</v>
      </c>
      <c r="D36" s="13">
        <v>7</v>
      </c>
      <c r="E36" s="13">
        <v>7</v>
      </c>
      <c r="F36" s="13">
        <v>6</v>
      </c>
      <c r="G36" s="13">
        <v>6</v>
      </c>
      <c r="H36" s="13">
        <v>5</v>
      </c>
      <c r="I36" s="13">
        <v>5</v>
      </c>
      <c r="J36" s="13">
        <v>5</v>
      </c>
      <c r="K36" s="13">
        <v>4</v>
      </c>
      <c r="L36" s="13">
        <v>4</v>
      </c>
      <c r="M36" s="13">
        <v>4</v>
      </c>
    </row>
    <row r="37" spans="1:13" x14ac:dyDescent="0.25">
      <c r="A37" s="6"/>
      <c r="C37" s="13">
        <f>SUM(C32,C35)</f>
        <v>8</v>
      </c>
      <c r="D37" s="13">
        <f>SUM(D32,D35)</f>
        <v>7</v>
      </c>
      <c r="E37" s="13">
        <f>SUM(E32,E35)</f>
        <v>6</v>
      </c>
      <c r="F37" s="13">
        <f>SUM(F32,F35)</f>
        <v>6</v>
      </c>
      <c r="G37" s="13">
        <f>SUM(G32,G35)</f>
        <v>5</v>
      </c>
      <c r="H37" s="13">
        <f>SUM(H32,H35)</f>
        <v>6</v>
      </c>
      <c r="I37" s="13">
        <f>SUM(I32,I35)</f>
        <v>5</v>
      </c>
      <c r="J37" s="13">
        <f>SUM(J32,J35)</f>
        <v>5</v>
      </c>
      <c r="K37" s="13">
        <f>SUM(K32,K35)</f>
        <v>4</v>
      </c>
      <c r="L37" s="13">
        <f>SUM(L32,L35)</f>
        <v>4</v>
      </c>
      <c r="M37" s="13">
        <f>SUM(M32,M35)</f>
        <v>4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-1</v>
      </c>
      <c r="F38" s="13">
        <f>F37-F36</f>
        <v>0</v>
      </c>
      <c r="G38" s="13">
        <f>G37-G36</f>
        <v>-1</v>
      </c>
      <c r="H38" s="13">
        <f>H37-H36</f>
        <v>1</v>
      </c>
      <c r="I38" s="13">
        <f>I37-I36</f>
        <v>0</v>
      </c>
      <c r="J38" s="13">
        <f>J37-J36</f>
        <v>0</v>
      </c>
      <c r="K38" s="13">
        <f>K37-K36</f>
        <v>0</v>
      </c>
      <c r="L38" s="13">
        <f>L37-L36</f>
        <v>0</v>
      </c>
      <c r="M38" s="13">
        <f>M37-M36</f>
        <v>0</v>
      </c>
    </row>
    <row r="39" spans="1:13" x14ac:dyDescent="0.25">
      <c r="A39" s="7" t="s">
        <v>214</v>
      </c>
      <c r="C39" s="10">
        <v>1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</row>
    <row r="40" spans="1:13" x14ac:dyDescent="0.25">
      <c r="A40" s="6" t="s">
        <v>215</v>
      </c>
      <c r="C40" s="13">
        <v>8</v>
      </c>
      <c r="D40" s="13">
        <v>8</v>
      </c>
      <c r="E40" s="13">
        <v>7</v>
      </c>
      <c r="F40" s="13">
        <v>7</v>
      </c>
      <c r="G40" s="13">
        <v>6</v>
      </c>
      <c r="H40" s="13">
        <v>6</v>
      </c>
      <c r="I40" s="13">
        <v>5</v>
      </c>
      <c r="J40" s="13">
        <v>5</v>
      </c>
      <c r="K40" s="13">
        <v>4</v>
      </c>
      <c r="L40" s="13">
        <v>4</v>
      </c>
      <c r="M40" s="13">
        <v>4</v>
      </c>
    </row>
    <row r="41" spans="1:13" x14ac:dyDescent="0.25">
      <c r="A41" s="6"/>
      <c r="C41" s="13">
        <f>C36*C39</f>
        <v>8</v>
      </c>
      <c r="D41" s="13">
        <f>D36*D39</f>
        <v>0</v>
      </c>
      <c r="E41" s="13">
        <f>E36*E39</f>
        <v>0</v>
      </c>
      <c r="F41" s="13">
        <f>F36*F39</f>
        <v>0</v>
      </c>
      <c r="G41" s="13">
        <f>G36*G39</f>
        <v>0</v>
      </c>
      <c r="H41" s="13">
        <f>H36*H39</f>
        <v>0</v>
      </c>
      <c r="I41" s="13">
        <f>I36*I39</f>
        <v>0</v>
      </c>
      <c r="J41" s="13">
        <f>J36*J39</f>
        <v>0</v>
      </c>
      <c r="K41" s="13">
        <f>K36*K39</f>
        <v>0</v>
      </c>
      <c r="L41" s="13">
        <f>L36*L39</f>
        <v>0</v>
      </c>
      <c r="M41" s="13">
        <f>M36*M39</f>
        <v>0</v>
      </c>
    </row>
    <row r="42" spans="1:13" x14ac:dyDescent="0.25">
      <c r="A42" s="6"/>
      <c r="C42" s="13">
        <f>C41-C40</f>
        <v>0</v>
      </c>
      <c r="D42" s="13">
        <f>D41-D40</f>
        <v>-8</v>
      </c>
      <c r="E42" s="13">
        <f>E41-E40</f>
        <v>-7</v>
      </c>
      <c r="F42" s="13">
        <f>F41-F40</f>
        <v>-7</v>
      </c>
      <c r="G42" s="13">
        <f>G41-G40</f>
        <v>-6</v>
      </c>
      <c r="H42" s="13">
        <f>H41-H40</f>
        <v>-6</v>
      </c>
      <c r="I42" s="13">
        <f>I41-I40</f>
        <v>-5</v>
      </c>
      <c r="J42" s="13">
        <f>J41-J40</f>
        <v>-5</v>
      </c>
      <c r="K42" s="13">
        <f>K41-K40</f>
        <v>-4</v>
      </c>
      <c r="L42" s="13">
        <f>L41-L40</f>
        <v>-4</v>
      </c>
      <c r="M42" s="13">
        <f>M41-M40</f>
        <v>-4</v>
      </c>
    </row>
    <row r="43" spans="1:13" x14ac:dyDescent="0.25">
      <c r="A43" s="7" t="s">
        <v>115</v>
      </c>
      <c r="B43" s="20">
        <v>0.11</v>
      </c>
      <c r="C43" s="23">
        <v>0.32590000000000002</v>
      </c>
      <c r="D43" s="23">
        <v>0.29360000000000003</v>
      </c>
      <c r="E43" s="23">
        <v>0.26450000000000001</v>
      </c>
      <c r="F43" s="23">
        <v>0.23830000000000001</v>
      </c>
      <c r="G43" s="23">
        <v>0.2147</v>
      </c>
      <c r="H43" s="23">
        <v>0.19339999999999999</v>
      </c>
      <c r="I43" s="23">
        <v>0.17419999999999999</v>
      </c>
      <c r="J43" s="24">
        <v>0.157</v>
      </c>
      <c r="K43" s="23">
        <v>0.1414</v>
      </c>
      <c r="L43" s="23">
        <v>0.12740000000000001</v>
      </c>
      <c r="M43" s="23">
        <v>0.1148</v>
      </c>
    </row>
    <row r="44" spans="1:13" x14ac:dyDescent="0.25">
      <c r="A44" s="6" t="s">
        <v>116</v>
      </c>
      <c r="C44" s="13">
        <v>3</v>
      </c>
      <c r="D44" s="13">
        <v>2</v>
      </c>
      <c r="E44" s="13">
        <v>2</v>
      </c>
      <c r="F44" s="13">
        <v>2</v>
      </c>
      <c r="G44" s="13">
        <v>1</v>
      </c>
      <c r="H44" s="13">
        <v>1</v>
      </c>
      <c r="I44" s="13">
        <v>1</v>
      </c>
      <c r="J44" s="13">
        <v>1</v>
      </c>
      <c r="K44" s="13">
        <v>1</v>
      </c>
      <c r="L44" s="13">
        <v>1</v>
      </c>
      <c r="M44" s="13">
        <v>0</v>
      </c>
    </row>
    <row r="45" spans="1:13" x14ac:dyDescent="0.25">
      <c r="A45" s="9" t="s">
        <v>221</v>
      </c>
    </row>
    <row r="46" spans="1:13" x14ac:dyDescent="0.25">
      <c r="A46" s="7" t="s">
        <v>222</v>
      </c>
      <c r="C46" s="20">
        <v>0.03</v>
      </c>
      <c r="D46" s="20">
        <v>0.03</v>
      </c>
      <c r="E46" s="20">
        <v>0.03</v>
      </c>
      <c r="F46" s="20">
        <v>0.03</v>
      </c>
      <c r="G46" s="20">
        <v>0.03</v>
      </c>
      <c r="H46" s="20">
        <v>0.03</v>
      </c>
      <c r="I46" s="20">
        <v>0.03</v>
      </c>
      <c r="J46" s="20">
        <v>0.03</v>
      </c>
      <c r="K46" s="20">
        <v>0.03</v>
      </c>
      <c r="L46" s="20">
        <v>0.03</v>
      </c>
      <c r="M46" s="20">
        <v>0.03</v>
      </c>
    </row>
    <row r="47" spans="1:13" x14ac:dyDescent="0.25">
      <c r="A47" s="7" t="s">
        <v>289</v>
      </c>
      <c r="C47" s="20">
        <v>0.06</v>
      </c>
      <c r="D47" s="20">
        <v>0.06</v>
      </c>
      <c r="E47" s="20">
        <v>0.06</v>
      </c>
      <c r="F47" s="20">
        <v>0.06</v>
      </c>
      <c r="G47" s="20">
        <v>0.06</v>
      </c>
      <c r="H47" s="20">
        <v>0.06</v>
      </c>
      <c r="I47" s="20">
        <v>0.06</v>
      </c>
      <c r="J47" s="20">
        <v>0.06</v>
      </c>
      <c r="K47" s="20">
        <v>0.06</v>
      </c>
      <c r="L47" s="20">
        <v>0.06</v>
      </c>
      <c r="M47" s="20">
        <v>0.06</v>
      </c>
    </row>
    <row r="48" spans="1:13" x14ac:dyDescent="0.25">
      <c r="A48" s="7" t="s">
        <v>224</v>
      </c>
      <c r="C48" s="20">
        <v>0.30399999999999999</v>
      </c>
      <c r="D48" s="20">
        <v>0.30399999999999999</v>
      </c>
      <c r="E48" s="20">
        <v>0.30399999999999999</v>
      </c>
      <c r="F48" s="20">
        <v>0.30399999999999999</v>
      </c>
      <c r="G48" s="20">
        <v>0.30399999999999999</v>
      </c>
      <c r="H48" s="20">
        <v>0.30399999999999999</v>
      </c>
      <c r="I48" s="20">
        <v>0.30399999999999999</v>
      </c>
      <c r="J48" s="20">
        <v>0.30399999999999999</v>
      </c>
      <c r="K48" s="20">
        <v>0.30399999999999999</v>
      </c>
      <c r="L48" s="20">
        <v>0.30399999999999999</v>
      </c>
      <c r="M48" s="20">
        <v>0.30399999999999999</v>
      </c>
    </row>
    <row r="49" spans="1:13" x14ac:dyDescent="0.25">
      <c r="A49" s="7" t="s">
        <v>107</v>
      </c>
      <c r="C49" s="20">
        <v>4.9000000000000002E-2</v>
      </c>
      <c r="D49" s="20">
        <v>4.9000000000000002E-2</v>
      </c>
      <c r="E49" s="20">
        <v>4.9000000000000002E-2</v>
      </c>
      <c r="F49" s="20">
        <v>4.9000000000000002E-2</v>
      </c>
      <c r="G49" s="20">
        <v>4.9000000000000002E-2</v>
      </c>
      <c r="H49" s="20">
        <v>4.9000000000000002E-2</v>
      </c>
      <c r="I49" s="20">
        <v>4.9000000000000002E-2</v>
      </c>
      <c r="J49" s="20">
        <v>4.9000000000000002E-2</v>
      </c>
      <c r="K49" s="20">
        <v>4.9000000000000002E-2</v>
      </c>
      <c r="L49" s="20">
        <v>4.9000000000000002E-2</v>
      </c>
      <c r="M49" s="20">
        <v>4.9000000000000002E-2</v>
      </c>
    </row>
    <row r="50" spans="1:13" x14ac:dyDescent="0.25">
      <c r="A50" s="7" t="s">
        <v>225</v>
      </c>
      <c r="C50" s="20">
        <v>0.255</v>
      </c>
      <c r="D50" s="20">
        <v>0.255</v>
      </c>
      <c r="E50" s="20">
        <v>0.255</v>
      </c>
      <c r="F50" s="20">
        <v>0.255</v>
      </c>
      <c r="G50" s="20">
        <v>0.255</v>
      </c>
      <c r="H50" s="20">
        <v>0.255</v>
      </c>
      <c r="I50" s="20">
        <v>0.255</v>
      </c>
      <c r="J50" s="20">
        <v>0.255</v>
      </c>
      <c r="K50" s="20">
        <v>0.255</v>
      </c>
      <c r="L50" s="20">
        <v>0.255</v>
      </c>
      <c r="M50" s="20">
        <v>0.255</v>
      </c>
    </row>
    <row r="51" spans="1:13" x14ac:dyDescent="0.25">
      <c r="A51" s="7" t="s">
        <v>240</v>
      </c>
      <c r="C51" s="20">
        <v>-5.0000000000000001E-3</v>
      </c>
      <c r="D51" s="20">
        <v>-5.0000000000000001E-3</v>
      </c>
      <c r="E51" s="20">
        <v>-5.0000000000000001E-3</v>
      </c>
      <c r="F51" s="20">
        <v>-5.0000000000000001E-3</v>
      </c>
      <c r="G51" s="20">
        <v>-5.0000000000000001E-3</v>
      </c>
      <c r="H51" s="20">
        <v>-5.0000000000000001E-3</v>
      </c>
      <c r="I51" s="20">
        <v>-5.0000000000000001E-3</v>
      </c>
      <c r="J51" s="20">
        <v>-5.0000000000000001E-3</v>
      </c>
      <c r="K51" s="20">
        <v>-5.0000000000000001E-3</v>
      </c>
      <c r="L51" s="20">
        <v>-5.0000000000000001E-3</v>
      </c>
      <c r="M51" s="20">
        <v>-5.0000000000000001E-3</v>
      </c>
    </row>
    <row r="52" spans="1:13" x14ac:dyDescent="0.25">
      <c r="A52" s="16" t="s">
        <v>127</v>
      </c>
    </row>
    <row r="53" spans="1:13" x14ac:dyDescent="0.25">
      <c r="A53" s="16"/>
    </row>
    <row r="54" spans="1:13" x14ac:dyDescent="0.25">
      <c r="A54" s="16"/>
    </row>
    <row r="55" spans="1:13" x14ac:dyDescent="0.25">
      <c r="A55" s="7" t="s">
        <v>290</v>
      </c>
    </row>
    <row r="56" spans="1:13" x14ac:dyDescent="0.25">
      <c r="A56" s="7"/>
    </row>
    <row r="57" spans="1:13" x14ac:dyDescent="0.25">
      <c r="A57" s="7"/>
    </row>
    <row r="58" spans="1:13" x14ac:dyDescent="0.25">
      <c r="A58" s="7" t="s">
        <v>291</v>
      </c>
    </row>
    <row r="59" spans="1:13" x14ac:dyDescent="0.25">
      <c r="A59" s="7"/>
    </row>
    <row r="60" spans="1:13" x14ac:dyDescent="0.25">
      <c r="A60" s="7"/>
    </row>
    <row r="61" spans="1:13" x14ac:dyDescent="0.25">
      <c r="A61" s="16" t="s">
        <v>61</v>
      </c>
    </row>
    <row r="62" spans="1:13" x14ac:dyDescent="0.25">
      <c r="A62" s="16"/>
    </row>
    <row r="63" spans="1:13" x14ac:dyDescent="0.25">
      <c r="A63" s="16"/>
    </row>
    <row r="64" spans="1:13" x14ac:dyDescent="0.25">
      <c r="A64" s="9" t="s">
        <v>62</v>
      </c>
      <c r="M64" s="32" t="s">
        <v>63</v>
      </c>
    </row>
    <row r="65" spans="1:13" x14ac:dyDescent="0.25">
      <c r="A65" s="9"/>
      <c r="M65" s="32"/>
    </row>
    <row r="66" spans="1:13" x14ac:dyDescent="0.25">
      <c r="A66" s="9"/>
      <c r="M66" s="32"/>
    </row>
    <row r="67" spans="1:13" x14ac:dyDescent="0.25">
      <c r="F67" s="5" t="s">
        <v>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2:M67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293</v>
      </c>
    </row>
    <row r="3" spans="1:13" x14ac:dyDescent="0.25">
      <c r="A3" s="6" t="s">
        <v>9</v>
      </c>
    </row>
    <row r="4" spans="1:13" x14ac:dyDescent="0.25">
      <c r="A4" s="6" t="s">
        <v>279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280</v>
      </c>
      <c r="C8" s="10">
        <v>49</v>
      </c>
      <c r="D8" s="10">
        <v>45</v>
      </c>
      <c r="E8" s="10">
        <v>42</v>
      </c>
      <c r="F8" s="10">
        <v>39</v>
      </c>
      <c r="G8" s="10">
        <v>36</v>
      </c>
      <c r="H8" s="10">
        <v>34</v>
      </c>
      <c r="I8" s="10">
        <v>31</v>
      </c>
      <c r="J8" s="10">
        <v>29</v>
      </c>
      <c r="K8" s="10">
        <v>27</v>
      </c>
    </row>
    <row r="9" spans="1:13" x14ac:dyDescent="0.25">
      <c r="A9" s="7" t="s">
        <v>281</v>
      </c>
      <c r="C9" s="10">
        <v>1</v>
      </c>
      <c r="D9" s="10">
        <v>1</v>
      </c>
      <c r="E9" s="10">
        <v>1</v>
      </c>
      <c r="F9" s="10">
        <v>1</v>
      </c>
      <c r="G9" s="10">
        <v>1</v>
      </c>
      <c r="H9" s="10">
        <v>1</v>
      </c>
      <c r="I9" s="10">
        <v>1</v>
      </c>
      <c r="J9" s="10">
        <v>1</v>
      </c>
      <c r="K9" s="10">
        <v>1</v>
      </c>
    </row>
    <row r="10" spans="1:13" x14ac:dyDescent="0.25">
      <c r="A10" s="7" t="s">
        <v>282</v>
      </c>
      <c r="B10" s="20">
        <v>0.1</v>
      </c>
      <c r="C10" s="19">
        <v>-5</v>
      </c>
      <c r="D10" s="19">
        <v>-5</v>
      </c>
      <c r="E10" s="19">
        <v>-4</v>
      </c>
      <c r="F10" s="19">
        <v>-4</v>
      </c>
      <c r="G10" s="19">
        <v>-4</v>
      </c>
      <c r="H10" s="19">
        <v>-3</v>
      </c>
      <c r="I10" s="19">
        <v>-3</v>
      </c>
      <c r="J10" s="19">
        <v>-3</v>
      </c>
      <c r="K10" s="19">
        <v>-3</v>
      </c>
    </row>
    <row r="11" spans="1:13" x14ac:dyDescent="0.25">
      <c r="A11" s="7"/>
      <c r="B11" s="20"/>
      <c r="C11" s="19">
        <f>SUM(C8:C9)</f>
        <v>50</v>
      </c>
      <c r="D11" s="19">
        <f>SUM(D8:D9)</f>
        <v>46</v>
      </c>
      <c r="E11" s="19">
        <f>SUM(E8:E9)</f>
        <v>43</v>
      </c>
      <c r="F11" s="19">
        <f>SUM(F8:F9)</f>
        <v>40</v>
      </c>
      <c r="G11" s="19">
        <f>SUM(G8:G9)</f>
        <v>37</v>
      </c>
      <c r="H11" s="19">
        <f>SUM(H8:H9)</f>
        <v>35</v>
      </c>
      <c r="I11" s="19">
        <f>SUM(I8:I9)</f>
        <v>32</v>
      </c>
      <c r="J11" s="19">
        <f>SUM(J8:J9)</f>
        <v>30</v>
      </c>
      <c r="K11" s="19">
        <f>SUM(K8:K9)</f>
        <v>28</v>
      </c>
      <c r="L11">
        <f>SUM(L8:L9)</f>
        <v>0</v>
      </c>
      <c r="M11">
        <f>SUM(M8:M9)</f>
        <v>0</v>
      </c>
    </row>
    <row r="12" spans="1:13" x14ac:dyDescent="0.25">
      <c r="A12" s="7"/>
      <c r="B12" s="20"/>
      <c r="C12" s="19">
        <f>C11-C10</f>
        <v>55</v>
      </c>
      <c r="D12" s="19">
        <f>D11-D10</f>
        <v>51</v>
      </c>
      <c r="E12" s="19">
        <f>E11-E10</f>
        <v>47</v>
      </c>
      <c r="F12" s="19">
        <f>F11-F10</f>
        <v>44</v>
      </c>
      <c r="G12" s="19">
        <f>G11-G10</f>
        <v>41</v>
      </c>
      <c r="H12" s="19">
        <f>H11-H10</f>
        <v>38</v>
      </c>
      <c r="I12" s="19">
        <f>I11-I10</f>
        <v>35</v>
      </c>
      <c r="J12" s="19">
        <f>J11-J10</f>
        <v>33</v>
      </c>
      <c r="K12" s="19">
        <f>K11-K10</f>
        <v>31</v>
      </c>
      <c r="L12">
        <f>L11-L10</f>
        <v>0</v>
      </c>
      <c r="M12">
        <f>M11-M10</f>
        <v>0</v>
      </c>
    </row>
    <row r="13" spans="1:13" x14ac:dyDescent="0.25">
      <c r="A13" s="7" t="s">
        <v>208</v>
      </c>
      <c r="C13" s="10">
        <v>45</v>
      </c>
      <c r="D13" s="10">
        <v>42</v>
      </c>
      <c r="E13" s="10">
        <v>39</v>
      </c>
      <c r="F13" s="10">
        <v>36</v>
      </c>
      <c r="G13" s="10">
        <v>34</v>
      </c>
      <c r="H13" s="10">
        <v>31</v>
      </c>
      <c r="I13" s="10">
        <v>29</v>
      </c>
      <c r="J13" s="10">
        <v>27</v>
      </c>
      <c r="K13" s="10">
        <v>25</v>
      </c>
    </row>
    <row r="14" spans="1:13" x14ac:dyDescent="0.25">
      <c r="A14" s="7" t="s">
        <v>283</v>
      </c>
      <c r="C14" s="10">
        <v>47</v>
      </c>
      <c r="D14" s="10">
        <v>44</v>
      </c>
      <c r="E14" s="10">
        <v>41</v>
      </c>
      <c r="F14" s="10">
        <v>38</v>
      </c>
      <c r="G14" s="10">
        <v>35</v>
      </c>
      <c r="H14" s="10">
        <v>32</v>
      </c>
      <c r="I14" s="10">
        <v>30</v>
      </c>
      <c r="J14" s="10">
        <v>28</v>
      </c>
      <c r="K14" s="10">
        <v>26</v>
      </c>
    </row>
    <row r="15" spans="1:13" x14ac:dyDescent="0.25">
      <c r="A15" s="7"/>
      <c r="C15" s="10">
        <f>C10*C13</f>
        <v>-225</v>
      </c>
      <c r="D15" s="10">
        <f>D10*D13</f>
        <v>-210</v>
      </c>
      <c r="E15" s="10">
        <f>E10*E13</f>
        <v>-156</v>
      </c>
      <c r="F15" s="10">
        <f>F10*F13</f>
        <v>-144</v>
      </c>
      <c r="G15" s="10">
        <f>G10*G13</f>
        <v>-136</v>
      </c>
      <c r="H15" s="10">
        <f>H10*H13</f>
        <v>-93</v>
      </c>
      <c r="I15" s="10">
        <f>I10*I13</f>
        <v>-87</v>
      </c>
      <c r="J15" s="10">
        <f>J10*J13</f>
        <v>-81</v>
      </c>
      <c r="K15" s="10">
        <f>K10*K13</f>
        <v>-75</v>
      </c>
      <c r="L15">
        <f>L10*L13</f>
        <v>0</v>
      </c>
      <c r="M15">
        <f>M10*M13</f>
        <v>0</v>
      </c>
    </row>
    <row r="16" spans="1:13" x14ac:dyDescent="0.25">
      <c r="A16" s="7"/>
      <c r="C16" s="10">
        <f>C15-C14</f>
        <v>-272</v>
      </c>
      <c r="D16" s="10">
        <f>D15-D14</f>
        <v>-254</v>
      </c>
      <c r="E16" s="10">
        <f>E15-E14</f>
        <v>-197</v>
      </c>
      <c r="F16" s="10">
        <f>F15-F14</f>
        <v>-182</v>
      </c>
      <c r="G16" s="10">
        <f>G15-G14</f>
        <v>-171</v>
      </c>
      <c r="H16" s="10">
        <f>H15-H14</f>
        <v>-125</v>
      </c>
      <c r="I16" s="10">
        <f>I15-I14</f>
        <v>-117</v>
      </c>
      <c r="J16" s="10">
        <f>J15-J14</f>
        <v>-109</v>
      </c>
      <c r="K16" s="10">
        <f>K15-K14</f>
        <v>-101</v>
      </c>
      <c r="L16">
        <f>L15-L14</f>
        <v>0</v>
      </c>
      <c r="M16">
        <f>M15-M14</f>
        <v>0</v>
      </c>
    </row>
    <row r="17" spans="1:13" x14ac:dyDescent="0.25">
      <c r="A17" s="7" t="s">
        <v>284</v>
      </c>
      <c r="C17" s="7" t="s">
        <v>90</v>
      </c>
      <c r="D17" s="7" t="s">
        <v>90</v>
      </c>
      <c r="E17" s="7" t="s">
        <v>90</v>
      </c>
      <c r="F17" s="7" t="s">
        <v>90</v>
      </c>
      <c r="G17" s="7" t="s">
        <v>90</v>
      </c>
      <c r="H17" s="7" t="s">
        <v>90</v>
      </c>
      <c r="I17" s="7" t="s">
        <v>90</v>
      </c>
      <c r="J17" s="7" t="s">
        <v>90</v>
      </c>
      <c r="K17" s="7" t="s">
        <v>90</v>
      </c>
    </row>
    <row r="18" spans="1:13" x14ac:dyDescent="0.25">
      <c r="A18" s="7" t="s">
        <v>285</v>
      </c>
      <c r="C18" s="13">
        <v>47</v>
      </c>
      <c r="D18" s="13">
        <v>44</v>
      </c>
      <c r="E18" s="13">
        <v>41</v>
      </c>
      <c r="F18" s="13">
        <v>38</v>
      </c>
      <c r="G18" s="13">
        <v>35</v>
      </c>
      <c r="H18" s="13">
        <v>32</v>
      </c>
      <c r="I18" s="13">
        <v>30</v>
      </c>
      <c r="J18" s="13">
        <v>28</v>
      </c>
      <c r="K18" s="13">
        <v>26</v>
      </c>
    </row>
    <row r="19" spans="1:13" x14ac:dyDescent="0.25">
      <c r="A19" s="6" t="s">
        <v>106</v>
      </c>
      <c r="C19" s="13">
        <v>14</v>
      </c>
      <c r="D19" s="13">
        <v>13</v>
      </c>
      <c r="E19" s="13">
        <v>12</v>
      </c>
      <c r="F19" s="13">
        <v>11</v>
      </c>
      <c r="G19" s="13">
        <v>11</v>
      </c>
      <c r="H19" s="13">
        <v>10</v>
      </c>
      <c r="I19" s="13">
        <v>9</v>
      </c>
      <c r="J19" s="13">
        <v>8</v>
      </c>
      <c r="K19" s="13">
        <v>8</v>
      </c>
    </row>
    <row r="20" spans="1:13" x14ac:dyDescent="0.25">
      <c r="A20" s="7" t="s">
        <v>107</v>
      </c>
      <c r="C20" s="19">
        <v>-2</v>
      </c>
      <c r="D20" s="19">
        <v>-2</v>
      </c>
      <c r="E20" s="19">
        <v>-2</v>
      </c>
      <c r="F20" s="19">
        <v>-2</v>
      </c>
      <c r="G20" s="19">
        <v>-2</v>
      </c>
      <c r="H20" s="19">
        <v>-2</v>
      </c>
      <c r="I20" s="19">
        <v>-1</v>
      </c>
      <c r="J20" s="19">
        <v>-1</v>
      </c>
      <c r="K20" s="19">
        <v>-1</v>
      </c>
    </row>
    <row r="21" spans="1:13" x14ac:dyDescent="0.25">
      <c r="A21" s="7"/>
      <c r="C21" s="19">
        <f>SUM(C18,C19)</f>
        <v>61</v>
      </c>
      <c r="D21" s="19">
        <f>SUM(D18,D19)</f>
        <v>57</v>
      </c>
      <c r="E21" s="19">
        <f>SUM(E18,E19)</f>
        <v>53</v>
      </c>
      <c r="F21" s="19">
        <f>SUM(F18,F19)</f>
        <v>49</v>
      </c>
      <c r="G21" s="19">
        <f>SUM(G18,G19)</f>
        <v>46</v>
      </c>
      <c r="H21" s="19">
        <f>SUM(H18,H19)</f>
        <v>42</v>
      </c>
      <c r="I21" s="19">
        <f>SUM(I18,I19)</f>
        <v>39</v>
      </c>
      <c r="J21" s="19">
        <f>SUM(J18,J19)</f>
        <v>36</v>
      </c>
      <c r="K21" s="19">
        <f>SUM(K18,K19)</f>
        <v>34</v>
      </c>
      <c r="L21">
        <f>SUM(L18,L19)</f>
        <v>0</v>
      </c>
      <c r="M21">
        <f>SUM(M18,M19)</f>
        <v>0</v>
      </c>
    </row>
    <row r="22" spans="1:13" x14ac:dyDescent="0.25">
      <c r="A22" s="7"/>
      <c r="C22" s="19">
        <f>C21-C20</f>
        <v>63</v>
      </c>
      <c r="D22" s="19">
        <f>D21-D20</f>
        <v>59</v>
      </c>
      <c r="E22" s="19">
        <f>E21-E20</f>
        <v>55</v>
      </c>
      <c r="F22" s="19">
        <f>F21-F20</f>
        <v>51</v>
      </c>
      <c r="G22" s="19">
        <f>G21-G20</f>
        <v>48</v>
      </c>
      <c r="H22" s="19">
        <f>H21-H20</f>
        <v>44</v>
      </c>
      <c r="I22" s="19">
        <f>I21-I20</f>
        <v>40</v>
      </c>
      <c r="J22" s="19">
        <f>J21-J20</f>
        <v>37</v>
      </c>
      <c r="K22" s="19">
        <f>K21-K20</f>
        <v>35</v>
      </c>
      <c r="L22">
        <f>L21-L20</f>
        <v>0</v>
      </c>
      <c r="M22">
        <f>M21-M20</f>
        <v>0</v>
      </c>
    </row>
    <row r="23" spans="1:13" x14ac:dyDescent="0.25">
      <c r="A23" s="6" t="s">
        <v>211</v>
      </c>
      <c r="C23" s="13">
        <v>12</v>
      </c>
      <c r="D23" s="13">
        <v>11</v>
      </c>
      <c r="E23" s="13">
        <v>10</v>
      </c>
      <c r="F23" s="13">
        <v>10</v>
      </c>
      <c r="G23" s="13">
        <v>9</v>
      </c>
      <c r="H23" s="13">
        <v>8</v>
      </c>
      <c r="I23" s="13">
        <v>8</v>
      </c>
      <c r="J23" s="13">
        <v>7</v>
      </c>
      <c r="K23" s="13">
        <v>7</v>
      </c>
    </row>
    <row r="24" spans="1:13" x14ac:dyDescent="0.25">
      <c r="A24" s="6"/>
      <c r="C24" s="13">
        <f>C10*B23</f>
        <v>0</v>
      </c>
      <c r="D24" s="13">
        <f>D10*B23</f>
        <v>0</v>
      </c>
      <c r="E24" s="13">
        <f>E10*B23</f>
        <v>0</v>
      </c>
      <c r="F24" s="13">
        <f>F10*B23</f>
        <v>0</v>
      </c>
      <c r="G24" s="13">
        <f>G10*B23</f>
        <v>0</v>
      </c>
      <c r="H24" s="13">
        <f>H10*B23</f>
        <v>0</v>
      </c>
      <c r="I24" s="13">
        <f>I10*B23</f>
        <v>0</v>
      </c>
      <c r="J24" s="13">
        <f>J10*B23</f>
        <v>0</v>
      </c>
      <c r="K24" s="13">
        <f>K10*B23</f>
        <v>0</v>
      </c>
      <c r="L24">
        <f>L10*B23</f>
        <v>0</v>
      </c>
      <c r="M24">
        <f>M10*B23</f>
        <v>0</v>
      </c>
    </row>
    <row r="25" spans="1:13" x14ac:dyDescent="0.25">
      <c r="A25" s="6"/>
      <c r="C25" s="13">
        <f>C24-C23</f>
        <v>-12</v>
      </c>
      <c r="D25" s="13">
        <f>D24-D23</f>
        <v>-11</v>
      </c>
      <c r="E25" s="13">
        <f>E24-E23</f>
        <v>-10</v>
      </c>
      <c r="F25" s="13">
        <f>F24-F23</f>
        <v>-10</v>
      </c>
      <c r="G25" s="13">
        <f>G24-G23</f>
        <v>-9</v>
      </c>
      <c r="H25" s="13">
        <f>H24-H23</f>
        <v>-8</v>
      </c>
      <c r="I25" s="13">
        <f>I24-I23</f>
        <v>-8</v>
      </c>
      <c r="J25" s="13">
        <f>J24-J23</f>
        <v>-7</v>
      </c>
      <c r="K25" s="13">
        <f>K24-K23</f>
        <v>-7</v>
      </c>
      <c r="L25">
        <f>L24-L23</f>
        <v>0</v>
      </c>
      <c r="M25">
        <f>M24-M23</f>
        <v>0</v>
      </c>
    </row>
    <row r="26" spans="1:13" x14ac:dyDescent="0.25">
      <c r="A26" s="7" t="s">
        <v>210</v>
      </c>
      <c r="B26" s="20">
        <v>1.4999999999999999E-2</v>
      </c>
      <c r="C26" s="19">
        <v>-1</v>
      </c>
      <c r="D26" s="19">
        <v>-1</v>
      </c>
      <c r="E26" s="19">
        <v>-1</v>
      </c>
      <c r="F26" s="19">
        <v>-1</v>
      </c>
      <c r="G26" s="19">
        <v>-1</v>
      </c>
      <c r="H26" s="19">
        <v>0</v>
      </c>
      <c r="I26" s="19">
        <v>0</v>
      </c>
      <c r="J26" s="19">
        <v>0</v>
      </c>
      <c r="K26" s="19">
        <v>0</v>
      </c>
    </row>
    <row r="27" spans="1:13" x14ac:dyDescent="0.25">
      <c r="A27" s="7"/>
      <c r="B27" s="20"/>
      <c r="C27" s="19">
        <f>SUM(C20,C23)</f>
        <v>10</v>
      </c>
      <c r="D27" s="19">
        <f>SUM(D20,D23)</f>
        <v>9</v>
      </c>
      <c r="E27" s="19">
        <f>SUM(E20,E23)</f>
        <v>8</v>
      </c>
      <c r="F27" s="19">
        <f>SUM(F20,F23)</f>
        <v>8</v>
      </c>
      <c r="G27" s="19">
        <f>SUM(G20,G23)</f>
        <v>7</v>
      </c>
      <c r="H27" s="19">
        <f>SUM(H20,H23)</f>
        <v>6</v>
      </c>
      <c r="I27" s="19">
        <f>SUM(I20,I23)</f>
        <v>7</v>
      </c>
      <c r="J27" s="19">
        <f>SUM(J20,J23)</f>
        <v>6</v>
      </c>
      <c r="K27" s="19">
        <f>SUM(K20,K23)</f>
        <v>6</v>
      </c>
      <c r="L27">
        <f>SUM(L20,L23)</f>
        <v>0</v>
      </c>
      <c r="M27">
        <f>SUM(M20,M23)</f>
        <v>0</v>
      </c>
    </row>
    <row r="28" spans="1:13" x14ac:dyDescent="0.25">
      <c r="A28" s="7"/>
      <c r="B28" s="20"/>
      <c r="C28" s="19">
        <f>C27-C26</f>
        <v>11</v>
      </c>
      <c r="D28" s="19">
        <f>D27-D26</f>
        <v>10</v>
      </c>
      <c r="E28" s="19">
        <f>E27-E26</f>
        <v>9</v>
      </c>
      <c r="F28" s="19">
        <f>F27-F26</f>
        <v>9</v>
      </c>
      <c r="G28" s="19">
        <f>G27-G26</f>
        <v>8</v>
      </c>
      <c r="H28" s="19">
        <f>H27-H26</f>
        <v>6</v>
      </c>
      <c r="I28" s="19">
        <f>I27-I26</f>
        <v>7</v>
      </c>
      <c r="J28" s="19">
        <f>J27-J26</f>
        <v>6</v>
      </c>
      <c r="K28" s="19">
        <f>K27-K26</f>
        <v>6</v>
      </c>
      <c r="L28">
        <f>L27-L26</f>
        <v>0</v>
      </c>
      <c r="M28">
        <f>M27-M26</f>
        <v>0</v>
      </c>
    </row>
    <row r="29" spans="1:13" x14ac:dyDescent="0.25">
      <c r="A29" s="7" t="s">
        <v>286</v>
      </c>
      <c r="B29" s="20">
        <v>0.15</v>
      </c>
      <c r="C29" s="19">
        <v>-7</v>
      </c>
      <c r="D29" s="19">
        <v>-7</v>
      </c>
      <c r="E29" s="19">
        <v>-6</v>
      </c>
      <c r="F29" s="19">
        <v>-6</v>
      </c>
      <c r="G29" s="19">
        <v>-5</v>
      </c>
      <c r="H29" s="19">
        <v>-5</v>
      </c>
      <c r="I29" s="19">
        <v>-5</v>
      </c>
      <c r="J29" s="19">
        <v>-4</v>
      </c>
      <c r="K29" s="19">
        <v>-4</v>
      </c>
    </row>
    <row r="30" spans="1:13" x14ac:dyDescent="0.25">
      <c r="A30" s="7"/>
      <c r="B30" s="20"/>
      <c r="C30" s="19">
        <f>C26*B29</f>
        <v>-0.15</v>
      </c>
      <c r="D30" s="19">
        <f>D26*B29</f>
        <v>-0.15</v>
      </c>
      <c r="E30" s="19">
        <f>E26*B29</f>
        <v>-0.15</v>
      </c>
      <c r="F30" s="19">
        <f>F26*B29</f>
        <v>-0.15</v>
      </c>
      <c r="G30" s="19">
        <f>G26*B29</f>
        <v>-0.15</v>
      </c>
      <c r="H30" s="19">
        <f>H26*B29</f>
        <v>0</v>
      </c>
      <c r="I30" s="19">
        <f>I26*B29</f>
        <v>0</v>
      </c>
      <c r="J30" s="19">
        <f>J26*B29</f>
        <v>0</v>
      </c>
      <c r="K30" s="19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B31" s="20"/>
      <c r="C31" s="19">
        <f>C30-C29</f>
        <v>6.85</v>
      </c>
      <c r="D31" s="19">
        <f>D30-D29</f>
        <v>6.85</v>
      </c>
      <c r="E31" s="19">
        <f>E30-E29</f>
        <v>5.85</v>
      </c>
      <c r="F31" s="19">
        <f>F30-F29</f>
        <v>5.85</v>
      </c>
      <c r="G31" s="19">
        <f>G30-G29</f>
        <v>4.8499999999999996</v>
      </c>
      <c r="H31" s="19">
        <f>H30-H29</f>
        <v>5</v>
      </c>
      <c r="I31" s="19">
        <f>I30-I29</f>
        <v>5</v>
      </c>
      <c r="J31" s="19">
        <f>J30-J29</f>
        <v>4</v>
      </c>
      <c r="K31" s="19">
        <f>K30-K29</f>
        <v>4</v>
      </c>
      <c r="L31">
        <f>L30-L29</f>
        <v>0</v>
      </c>
      <c r="M31">
        <f>M30-M29</f>
        <v>0</v>
      </c>
    </row>
    <row r="32" spans="1:13" x14ac:dyDescent="0.25">
      <c r="A32" s="6" t="s">
        <v>108</v>
      </c>
      <c r="C32" s="13">
        <v>4</v>
      </c>
      <c r="D32" s="13">
        <v>4</v>
      </c>
      <c r="E32" s="13">
        <v>4</v>
      </c>
      <c r="F32" s="13">
        <v>3</v>
      </c>
      <c r="G32" s="13">
        <v>3</v>
      </c>
      <c r="H32" s="13">
        <v>3</v>
      </c>
      <c r="I32" s="13">
        <v>3</v>
      </c>
      <c r="J32" s="13">
        <v>3</v>
      </c>
      <c r="K32" s="13">
        <v>2</v>
      </c>
    </row>
    <row r="33" spans="1:13" x14ac:dyDescent="0.25">
      <c r="A33" s="6"/>
      <c r="C33" s="13">
        <f>SUM(C26,C29)</f>
        <v>-8</v>
      </c>
      <c r="D33" s="13">
        <f>SUM(D26,D29)</f>
        <v>-8</v>
      </c>
      <c r="E33" s="13">
        <f>SUM(E26,E29)</f>
        <v>-7</v>
      </c>
      <c r="F33" s="13">
        <f>SUM(F26,F29)</f>
        <v>-7</v>
      </c>
      <c r="G33" s="13">
        <f>SUM(G26,G29)</f>
        <v>-6</v>
      </c>
      <c r="H33" s="13">
        <f>SUM(H26,H29)</f>
        <v>-5</v>
      </c>
      <c r="I33" s="13">
        <f>SUM(I26,I29)</f>
        <v>-5</v>
      </c>
      <c r="J33" s="13">
        <f>SUM(J26,J29)</f>
        <v>-4</v>
      </c>
      <c r="K33" s="13">
        <f>SUM(K26,K29)</f>
        <v>-4</v>
      </c>
      <c r="L33">
        <f>SUM(L26,L29)</f>
        <v>0</v>
      </c>
      <c r="M33">
        <f>SUM(M26,M29)</f>
        <v>0</v>
      </c>
    </row>
    <row r="34" spans="1:13" x14ac:dyDescent="0.25">
      <c r="A34" s="6"/>
      <c r="C34" s="13">
        <f>C33-C32</f>
        <v>-12</v>
      </c>
      <c r="D34" s="13">
        <f>D33-D32</f>
        <v>-12</v>
      </c>
      <c r="E34" s="13">
        <f>E33-E32</f>
        <v>-11</v>
      </c>
      <c r="F34" s="13">
        <f>F33-F32</f>
        <v>-10</v>
      </c>
      <c r="G34" s="13">
        <f>G33-G32</f>
        <v>-9</v>
      </c>
      <c r="H34" s="13">
        <f>H33-H32</f>
        <v>-8</v>
      </c>
      <c r="I34" s="13">
        <f>I33-I32</f>
        <v>-8</v>
      </c>
      <c r="J34" s="13">
        <f>J33-J32</f>
        <v>-7</v>
      </c>
      <c r="K34" s="13">
        <f>K33-K32</f>
        <v>-6</v>
      </c>
      <c r="L34">
        <f>L33-L32</f>
        <v>0</v>
      </c>
      <c r="M34">
        <f>M33-M32</f>
        <v>0</v>
      </c>
    </row>
    <row r="35" spans="1:13" x14ac:dyDescent="0.25">
      <c r="A35" s="7" t="s">
        <v>212</v>
      </c>
      <c r="B35" s="20">
        <v>0.218</v>
      </c>
      <c r="C35" s="19">
        <v>-1</v>
      </c>
      <c r="D35" s="19">
        <v>-1</v>
      </c>
      <c r="E35" s="19">
        <v>-1</v>
      </c>
      <c r="F35" s="19">
        <v>-1</v>
      </c>
      <c r="G35" s="19">
        <v>-1</v>
      </c>
      <c r="H35" s="19">
        <v>-1</v>
      </c>
      <c r="I35" s="19">
        <v>-1</v>
      </c>
      <c r="J35" s="19">
        <v>-1</v>
      </c>
      <c r="K35" s="19">
        <v>-1</v>
      </c>
    </row>
    <row r="36" spans="1:13" x14ac:dyDescent="0.25">
      <c r="A36" s="6" t="s">
        <v>213</v>
      </c>
      <c r="C36" s="13">
        <v>3</v>
      </c>
      <c r="D36" s="13">
        <v>3</v>
      </c>
      <c r="E36" s="13">
        <v>3</v>
      </c>
      <c r="F36" s="13">
        <v>3</v>
      </c>
      <c r="G36" s="13">
        <v>2</v>
      </c>
      <c r="H36" s="13">
        <v>2</v>
      </c>
      <c r="I36" s="13">
        <v>2</v>
      </c>
      <c r="J36" s="13">
        <v>2</v>
      </c>
      <c r="K36" s="13">
        <v>2</v>
      </c>
    </row>
    <row r="37" spans="1:13" x14ac:dyDescent="0.25">
      <c r="A37" s="6"/>
      <c r="C37" s="13">
        <f>SUM(C32,C35)</f>
        <v>3</v>
      </c>
      <c r="D37" s="13">
        <f>SUM(D32,D35)</f>
        <v>3</v>
      </c>
      <c r="E37" s="13">
        <f>SUM(E32,E35)</f>
        <v>3</v>
      </c>
      <c r="F37" s="13">
        <f>SUM(F32,F35)</f>
        <v>2</v>
      </c>
      <c r="G37" s="13">
        <f>SUM(G32,G35)</f>
        <v>2</v>
      </c>
      <c r="H37" s="13">
        <f>SUM(H32,H35)</f>
        <v>2</v>
      </c>
      <c r="I37" s="13">
        <f>SUM(I32,I35)</f>
        <v>2</v>
      </c>
      <c r="J37" s="13">
        <f>SUM(J32,J35)</f>
        <v>2</v>
      </c>
      <c r="K37" s="13">
        <f>SUM(K32,K35)</f>
        <v>1</v>
      </c>
      <c r="L37">
        <f>SUM(L32,L35)</f>
        <v>0</v>
      </c>
      <c r="M37">
        <f>SUM(M32,M35)</f>
        <v>0</v>
      </c>
    </row>
    <row r="38" spans="1:13" x14ac:dyDescent="0.25">
      <c r="A38" s="6"/>
      <c r="C38" s="13">
        <f>C37-C36</f>
        <v>0</v>
      </c>
      <c r="D38" s="13">
        <f>D37-D36</f>
        <v>0</v>
      </c>
      <c r="E38" s="13">
        <f>E37-E36</f>
        <v>0</v>
      </c>
      <c r="F38" s="13">
        <f>F37-F36</f>
        <v>-1</v>
      </c>
      <c r="G38" s="13">
        <f>G37-G36</f>
        <v>0</v>
      </c>
      <c r="H38" s="13">
        <f>H37-H36</f>
        <v>0</v>
      </c>
      <c r="I38" s="13">
        <f>I37-I36</f>
        <v>0</v>
      </c>
      <c r="J38" s="13">
        <f>J37-J36</f>
        <v>0</v>
      </c>
      <c r="K38" s="13">
        <f>K37-K36</f>
        <v>-1</v>
      </c>
      <c r="L38">
        <f>L37-L36</f>
        <v>0</v>
      </c>
      <c r="M38">
        <f>M37-M36</f>
        <v>0</v>
      </c>
    </row>
    <row r="39" spans="1:13" x14ac:dyDescent="0.25">
      <c r="A39" s="7" t="s">
        <v>214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</row>
    <row r="40" spans="1:13" x14ac:dyDescent="0.25">
      <c r="A40" s="6" t="s">
        <v>215</v>
      </c>
      <c r="C40" s="13">
        <v>4</v>
      </c>
      <c r="D40" s="13">
        <v>3</v>
      </c>
      <c r="E40" s="13">
        <v>3</v>
      </c>
      <c r="F40" s="13">
        <v>3</v>
      </c>
      <c r="G40" s="13">
        <v>3</v>
      </c>
      <c r="H40" s="13">
        <v>2</v>
      </c>
      <c r="I40" s="13">
        <v>2</v>
      </c>
      <c r="J40" s="13">
        <v>2</v>
      </c>
      <c r="K40" s="13">
        <v>2</v>
      </c>
    </row>
    <row r="41" spans="1:13" x14ac:dyDescent="0.25">
      <c r="A41" s="6"/>
      <c r="C41" s="13">
        <f>C36*C39</f>
        <v>0</v>
      </c>
      <c r="D41" s="13">
        <f>D36*D39</f>
        <v>0</v>
      </c>
      <c r="E41" s="13">
        <f>E36*E39</f>
        <v>0</v>
      </c>
      <c r="F41" s="13">
        <f>F36*F39</f>
        <v>0</v>
      </c>
      <c r="G41" s="13">
        <f>G36*G39</f>
        <v>0</v>
      </c>
      <c r="H41" s="13">
        <f>H36*H39</f>
        <v>0</v>
      </c>
      <c r="I41" s="13">
        <f>I36*I39</f>
        <v>0</v>
      </c>
      <c r="J41" s="13">
        <f>J36*J39</f>
        <v>0</v>
      </c>
      <c r="K41" s="13">
        <f>K36*K39</f>
        <v>0</v>
      </c>
      <c r="L41">
        <f>L36*L39</f>
        <v>0</v>
      </c>
      <c r="M41">
        <f>M36*M39</f>
        <v>0</v>
      </c>
    </row>
    <row r="42" spans="1:13" x14ac:dyDescent="0.25">
      <c r="A42" s="6"/>
      <c r="C42" s="13">
        <f>C41-C40</f>
        <v>-4</v>
      </c>
      <c r="D42" s="13">
        <f>D41-D40</f>
        <v>-3</v>
      </c>
      <c r="E42" s="13">
        <f>E41-E40</f>
        <v>-3</v>
      </c>
      <c r="F42" s="13">
        <f>F41-F40</f>
        <v>-3</v>
      </c>
      <c r="G42" s="13">
        <f>G41-G40</f>
        <v>-3</v>
      </c>
      <c r="H42" s="13">
        <f>H41-H40</f>
        <v>-2</v>
      </c>
      <c r="I42" s="13">
        <f>I41-I40</f>
        <v>-2</v>
      </c>
      <c r="J42" s="13">
        <f>J41-J40</f>
        <v>-2</v>
      </c>
      <c r="K42" s="13">
        <f>K41-K40</f>
        <v>-2</v>
      </c>
      <c r="L42">
        <f>L41-L40</f>
        <v>0</v>
      </c>
      <c r="M42">
        <f>M41-M40</f>
        <v>0</v>
      </c>
    </row>
    <row r="43" spans="1:13" x14ac:dyDescent="0.25">
      <c r="A43" s="7" t="s">
        <v>115</v>
      </c>
      <c r="B43" s="20">
        <v>0.11</v>
      </c>
      <c r="C43" s="23">
        <v>0.10340000000000001</v>
      </c>
      <c r="D43" s="23">
        <v>9.3100000000000002E-2</v>
      </c>
      <c r="E43" s="23">
        <v>8.3900000000000002E-2</v>
      </c>
      <c r="F43" s="23">
        <v>7.5600000000000001E-2</v>
      </c>
      <c r="G43" s="23">
        <v>6.8099999999999994E-2</v>
      </c>
      <c r="H43" s="23">
        <v>6.1400000000000003E-2</v>
      </c>
      <c r="I43" s="23">
        <v>5.5300000000000002E-2</v>
      </c>
      <c r="J43" s="23">
        <v>4.9799999999999997E-2</v>
      </c>
      <c r="K43" s="23">
        <v>4.4900000000000002E-2</v>
      </c>
    </row>
    <row r="44" spans="1:13" x14ac:dyDescent="0.25">
      <c r="A44" s="6" t="s">
        <v>116</v>
      </c>
      <c r="C44" s="13">
        <v>0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1:13" x14ac:dyDescent="0.25">
      <c r="A45" s="9" t="s">
        <v>221</v>
      </c>
    </row>
    <row r="46" spans="1:13" x14ac:dyDescent="0.25">
      <c r="A46" s="7" t="s">
        <v>222</v>
      </c>
      <c r="C46" s="20">
        <v>0.03</v>
      </c>
      <c r="D46" s="20">
        <v>0.03</v>
      </c>
      <c r="E46" s="20">
        <v>0.03</v>
      </c>
      <c r="F46" s="20">
        <v>0.03</v>
      </c>
      <c r="G46" s="20">
        <v>0.03</v>
      </c>
      <c r="H46" s="20">
        <v>0.03</v>
      </c>
      <c r="I46" s="20">
        <v>0.03</v>
      </c>
      <c r="J46" s="20">
        <v>0.03</v>
      </c>
      <c r="K46" s="20">
        <v>0.03</v>
      </c>
    </row>
    <row r="47" spans="1:13" x14ac:dyDescent="0.25">
      <c r="A47" s="7" t="s">
        <v>289</v>
      </c>
      <c r="C47" s="20">
        <v>0.06</v>
      </c>
      <c r="D47" s="20">
        <v>0.06</v>
      </c>
      <c r="E47" s="20">
        <v>0.06</v>
      </c>
      <c r="F47" s="20">
        <v>0.06</v>
      </c>
      <c r="G47" s="20">
        <v>0.06</v>
      </c>
      <c r="H47" s="20">
        <v>0.06</v>
      </c>
      <c r="I47" s="20">
        <v>0.06</v>
      </c>
      <c r="J47" s="20">
        <v>0.06</v>
      </c>
      <c r="K47" s="20">
        <v>0.06</v>
      </c>
    </row>
    <row r="48" spans="1:13" x14ac:dyDescent="0.25">
      <c r="A48" s="7" t="s">
        <v>224</v>
      </c>
      <c r="C48" s="20">
        <v>0.30399999999999999</v>
      </c>
      <c r="D48" s="20">
        <v>0.30399999999999999</v>
      </c>
      <c r="E48" s="20">
        <v>0.30399999999999999</v>
      </c>
      <c r="F48" s="20">
        <v>0.30399999999999999</v>
      </c>
      <c r="G48" s="20">
        <v>0.30399999999999999</v>
      </c>
      <c r="H48" s="20">
        <v>0.30399999999999999</v>
      </c>
      <c r="I48" s="20">
        <v>0.30399999999999999</v>
      </c>
      <c r="J48" s="20">
        <v>0.30399999999999999</v>
      </c>
      <c r="K48" s="20">
        <v>0.30399999999999999</v>
      </c>
    </row>
    <row r="49" spans="1:13" x14ac:dyDescent="0.25">
      <c r="A49" s="7" t="s">
        <v>107</v>
      </c>
      <c r="C49" s="20">
        <v>4.9000000000000002E-2</v>
      </c>
      <c r="D49" s="20">
        <v>4.9000000000000002E-2</v>
      </c>
      <c r="E49" s="20">
        <v>4.9000000000000002E-2</v>
      </c>
      <c r="F49" s="20">
        <v>4.9000000000000002E-2</v>
      </c>
      <c r="G49" s="20">
        <v>4.9000000000000002E-2</v>
      </c>
      <c r="H49" s="20">
        <v>4.9000000000000002E-2</v>
      </c>
      <c r="I49" s="20">
        <v>4.9000000000000002E-2</v>
      </c>
      <c r="J49" s="20">
        <v>4.9000000000000002E-2</v>
      </c>
      <c r="K49" s="20">
        <v>4.9000000000000002E-2</v>
      </c>
    </row>
    <row r="50" spans="1:13" x14ac:dyDescent="0.25">
      <c r="A50" s="7" t="s">
        <v>225</v>
      </c>
      <c r="C50" s="20">
        <v>0.255</v>
      </c>
      <c r="D50" s="20">
        <v>0.255</v>
      </c>
      <c r="E50" s="20">
        <v>0.255</v>
      </c>
      <c r="F50" s="20">
        <v>0.255</v>
      </c>
      <c r="G50" s="20">
        <v>0.255</v>
      </c>
      <c r="H50" s="20">
        <v>0.255</v>
      </c>
      <c r="I50" s="20">
        <v>0.255</v>
      </c>
      <c r="J50" s="20">
        <v>0.255</v>
      </c>
      <c r="K50" s="20">
        <v>0.255</v>
      </c>
    </row>
    <row r="51" spans="1:13" x14ac:dyDescent="0.25">
      <c r="A51" s="7" t="s">
        <v>240</v>
      </c>
      <c r="C51" s="20">
        <v>-5.0000000000000001E-3</v>
      </c>
      <c r="D51" s="20">
        <v>-5.0000000000000001E-3</v>
      </c>
      <c r="E51" s="20">
        <v>-5.0000000000000001E-3</v>
      </c>
      <c r="F51" s="20">
        <v>-5.0000000000000001E-3</v>
      </c>
      <c r="G51" s="20">
        <v>-5.0000000000000001E-3</v>
      </c>
      <c r="H51" s="20">
        <v>-5.0000000000000001E-3</v>
      </c>
      <c r="I51" s="20">
        <v>-5.0000000000000001E-3</v>
      </c>
      <c r="J51" s="20">
        <v>-5.0000000000000001E-3</v>
      </c>
      <c r="K51" s="20">
        <v>-5.0000000000000001E-3</v>
      </c>
    </row>
    <row r="52" spans="1:13" x14ac:dyDescent="0.25">
      <c r="A52" s="16" t="s">
        <v>127</v>
      </c>
    </row>
    <row r="53" spans="1:13" x14ac:dyDescent="0.25">
      <c r="A53" s="16"/>
    </row>
    <row r="54" spans="1:13" x14ac:dyDescent="0.25">
      <c r="A54" s="16"/>
    </row>
    <row r="55" spans="1:13" x14ac:dyDescent="0.25">
      <c r="A55" s="7" t="s">
        <v>290</v>
      </c>
    </row>
    <row r="56" spans="1:13" x14ac:dyDescent="0.25">
      <c r="A56" s="7"/>
    </row>
    <row r="57" spans="1:13" x14ac:dyDescent="0.25">
      <c r="A57" s="7"/>
    </row>
    <row r="58" spans="1:13" x14ac:dyDescent="0.25">
      <c r="A58" s="7" t="s">
        <v>291</v>
      </c>
    </row>
    <row r="59" spans="1:13" x14ac:dyDescent="0.25">
      <c r="A59" s="7"/>
    </row>
    <row r="60" spans="1:13" x14ac:dyDescent="0.25">
      <c r="A60" s="7"/>
    </row>
    <row r="61" spans="1:13" x14ac:dyDescent="0.25">
      <c r="A61" s="16" t="s">
        <v>61</v>
      </c>
    </row>
    <row r="62" spans="1:13" x14ac:dyDescent="0.25">
      <c r="A62" s="16"/>
    </row>
    <row r="63" spans="1:13" x14ac:dyDescent="0.25">
      <c r="A63" s="16"/>
    </row>
    <row r="64" spans="1:13" x14ac:dyDescent="0.25">
      <c r="A64" s="9" t="s">
        <v>62</v>
      </c>
      <c r="M64" s="32" t="s">
        <v>63</v>
      </c>
    </row>
    <row r="65" spans="1:13" x14ac:dyDescent="0.25">
      <c r="A65" s="9"/>
      <c r="M65" s="32"/>
    </row>
    <row r="66" spans="1:13" x14ac:dyDescent="0.25">
      <c r="A66" s="9"/>
      <c r="M66" s="32"/>
    </row>
    <row r="67" spans="1:13" x14ac:dyDescent="0.25">
      <c r="F67" s="5" t="s">
        <v>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N71"/>
  <sheetViews>
    <sheetView workbookViewId="0"/>
  </sheetViews>
  <sheetFormatPr defaultRowHeight="15" x14ac:dyDescent="0.25"/>
  <cols>
    <col min="1" max="1" width="62.7109375" bestFit="1" customWidth="1"/>
  </cols>
  <sheetData>
    <row r="2" spans="1:14" x14ac:dyDescent="0.25">
      <c r="A2" s="6" t="s">
        <v>1</v>
      </c>
      <c r="N2" s="7" t="s">
        <v>294</v>
      </c>
    </row>
    <row r="3" spans="1:14" x14ac:dyDescent="0.25">
      <c r="A3" s="6" t="s">
        <v>9</v>
      </c>
    </row>
    <row r="4" spans="1:14" x14ac:dyDescent="0.25">
      <c r="A4" s="6" t="s">
        <v>295</v>
      </c>
    </row>
    <row r="5" spans="1:14" x14ac:dyDescent="0.25">
      <c r="A5" s="6" t="s">
        <v>11</v>
      </c>
    </row>
    <row r="6" spans="1:14" x14ac:dyDescent="0.25">
      <c r="D6" s="9" t="s">
        <v>95</v>
      </c>
      <c r="I6" s="9" t="s">
        <v>96</v>
      </c>
    </row>
    <row r="7" spans="1:14" x14ac:dyDescent="0.25">
      <c r="A7" s="8" t="s">
        <v>12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  <c r="N7" s="9" t="s">
        <v>202</v>
      </c>
    </row>
    <row r="8" spans="1:14" x14ac:dyDescent="0.25">
      <c r="A8" s="7" t="s">
        <v>296</v>
      </c>
      <c r="D8" s="10">
        <v>11</v>
      </c>
      <c r="E8" s="10">
        <v>39</v>
      </c>
      <c r="F8" s="10">
        <v>36</v>
      </c>
      <c r="G8" s="10">
        <v>35</v>
      </c>
      <c r="H8" s="10">
        <v>33</v>
      </c>
      <c r="I8" s="10">
        <v>32</v>
      </c>
      <c r="J8" s="10">
        <v>30</v>
      </c>
      <c r="K8" s="10">
        <v>28</v>
      </c>
      <c r="L8" s="10">
        <v>26</v>
      </c>
      <c r="M8" s="10">
        <v>24</v>
      </c>
      <c r="N8" s="10">
        <v>22</v>
      </c>
    </row>
    <row r="9" spans="1:14" x14ac:dyDescent="0.25">
      <c r="A9" s="7" t="s">
        <v>281</v>
      </c>
      <c r="E9" s="10">
        <v>2</v>
      </c>
      <c r="F9" s="10">
        <v>2</v>
      </c>
      <c r="G9" s="10">
        <v>2</v>
      </c>
      <c r="H9" s="10">
        <v>2</v>
      </c>
      <c r="I9" s="10">
        <v>1</v>
      </c>
      <c r="J9" s="10">
        <v>1</v>
      </c>
      <c r="K9" s="10">
        <v>1</v>
      </c>
      <c r="L9" s="10">
        <v>1</v>
      </c>
      <c r="M9" s="10">
        <v>1</v>
      </c>
      <c r="N9" s="10">
        <v>1</v>
      </c>
    </row>
    <row r="10" spans="1:14" x14ac:dyDescent="0.25">
      <c r="A10" s="7" t="s">
        <v>282</v>
      </c>
      <c r="C10" s="20">
        <v>0.1</v>
      </c>
      <c r="D10" s="19">
        <v>-1</v>
      </c>
      <c r="E10" s="19">
        <v>-4</v>
      </c>
      <c r="F10" s="19">
        <v>-4</v>
      </c>
      <c r="G10" s="19">
        <v>-4</v>
      </c>
      <c r="H10" s="19">
        <v>-4</v>
      </c>
      <c r="I10" s="19">
        <v>-3</v>
      </c>
      <c r="J10" s="19">
        <v>-3</v>
      </c>
      <c r="K10" s="19">
        <v>-3</v>
      </c>
      <c r="L10" s="19">
        <v>-3</v>
      </c>
      <c r="M10" s="19">
        <v>-2</v>
      </c>
      <c r="N10" s="19">
        <v>-2</v>
      </c>
    </row>
    <row r="11" spans="1:14" x14ac:dyDescent="0.25">
      <c r="A11" s="7"/>
      <c r="C11" s="20">
        <f>SUM(C8:C9)</f>
        <v>0</v>
      </c>
      <c r="D11" s="19">
        <f>SUM(D8:D9)</f>
        <v>11</v>
      </c>
      <c r="E11" s="19">
        <f>SUM(E8:E9)</f>
        <v>41</v>
      </c>
      <c r="F11" s="19">
        <f>SUM(F8:F9)</f>
        <v>38</v>
      </c>
      <c r="G11" s="19">
        <f>SUM(G8:G9)</f>
        <v>37</v>
      </c>
      <c r="H11" s="19">
        <f>SUM(H8:H9)</f>
        <v>35</v>
      </c>
      <c r="I11" s="19">
        <f>SUM(I8:I9)</f>
        <v>33</v>
      </c>
      <c r="J11" s="19">
        <f>SUM(J8:J9)</f>
        <v>31</v>
      </c>
      <c r="K11" s="19">
        <f>SUM(K8:K9)</f>
        <v>29</v>
      </c>
      <c r="L11" s="19">
        <f>SUM(L8:L9)</f>
        <v>27</v>
      </c>
      <c r="M11" s="19">
        <f>SUM(M8:M9)</f>
        <v>25</v>
      </c>
      <c r="N11" s="19"/>
    </row>
    <row r="12" spans="1:14" x14ac:dyDescent="0.25">
      <c r="A12" s="7"/>
      <c r="C12" s="20">
        <f>C11-C10</f>
        <v>-0.1</v>
      </c>
      <c r="D12" s="19">
        <f>D11-D10</f>
        <v>12</v>
      </c>
      <c r="E12" s="19">
        <f>E11-E10</f>
        <v>45</v>
      </c>
      <c r="F12" s="19">
        <f>F11-F10</f>
        <v>42</v>
      </c>
      <c r="G12" s="19">
        <f>G11-G10</f>
        <v>41</v>
      </c>
      <c r="H12" s="19">
        <f>H11-H10</f>
        <v>39</v>
      </c>
      <c r="I12" s="19">
        <f>I11-I10</f>
        <v>36</v>
      </c>
      <c r="J12" s="19">
        <f>J11-J10</f>
        <v>34</v>
      </c>
      <c r="K12" s="19">
        <f>K11-K10</f>
        <v>32</v>
      </c>
      <c r="L12" s="19">
        <f>L11-L10</f>
        <v>30</v>
      </c>
      <c r="M12" s="19">
        <f>M11-M10</f>
        <v>27</v>
      </c>
      <c r="N12" s="19"/>
    </row>
    <row r="13" spans="1:14" x14ac:dyDescent="0.25">
      <c r="A13" s="7" t="s">
        <v>208</v>
      </c>
      <c r="D13" s="10">
        <v>9</v>
      </c>
      <c r="E13" s="10">
        <v>36</v>
      </c>
      <c r="F13" s="10">
        <v>35</v>
      </c>
      <c r="G13" s="10">
        <v>33</v>
      </c>
      <c r="H13" s="10">
        <v>32</v>
      </c>
      <c r="I13" s="10">
        <v>30</v>
      </c>
      <c r="J13" s="10">
        <v>28</v>
      </c>
      <c r="K13" s="10">
        <v>26</v>
      </c>
      <c r="L13" s="10">
        <v>24</v>
      </c>
      <c r="M13" s="10">
        <v>22</v>
      </c>
      <c r="N13" s="10">
        <v>21</v>
      </c>
    </row>
    <row r="14" spans="1:14" x14ac:dyDescent="0.25">
      <c r="A14" s="7" t="s">
        <v>283</v>
      </c>
      <c r="D14" s="10">
        <v>10</v>
      </c>
      <c r="E14" s="10">
        <v>38</v>
      </c>
      <c r="F14" s="10">
        <v>35</v>
      </c>
      <c r="G14" s="10">
        <v>34</v>
      </c>
      <c r="H14" s="10">
        <v>32</v>
      </c>
      <c r="I14" s="10">
        <v>31</v>
      </c>
      <c r="J14" s="10">
        <v>29</v>
      </c>
      <c r="K14" s="10">
        <v>27</v>
      </c>
      <c r="L14" s="10">
        <v>25</v>
      </c>
      <c r="M14" s="10">
        <v>23</v>
      </c>
      <c r="N14" s="10">
        <v>21</v>
      </c>
    </row>
    <row r="15" spans="1:14" x14ac:dyDescent="0.25">
      <c r="A15" s="7"/>
      <c r="C15">
        <f>C10*C13</f>
        <v>0</v>
      </c>
      <c r="D15" s="10">
        <f>D10*D13</f>
        <v>-9</v>
      </c>
      <c r="E15" s="10">
        <f>E10*E13</f>
        <v>-144</v>
      </c>
      <c r="F15" s="10">
        <f>F10*F13</f>
        <v>-140</v>
      </c>
      <c r="G15" s="10">
        <f>G10*G13</f>
        <v>-132</v>
      </c>
      <c r="H15" s="10">
        <f>H10*H13</f>
        <v>-128</v>
      </c>
      <c r="I15" s="10">
        <f>I10*I13</f>
        <v>-90</v>
      </c>
      <c r="J15" s="10">
        <f>J10*J13</f>
        <v>-84</v>
      </c>
      <c r="K15" s="10">
        <f>K10*K13</f>
        <v>-78</v>
      </c>
      <c r="L15" s="10">
        <f>L10*L13</f>
        <v>-72</v>
      </c>
      <c r="M15" s="10">
        <f>M10*M13</f>
        <v>-44</v>
      </c>
      <c r="N15" s="10"/>
    </row>
    <row r="16" spans="1:14" x14ac:dyDescent="0.25">
      <c r="A16" s="7"/>
      <c r="C16">
        <f>C15-C14</f>
        <v>0</v>
      </c>
      <c r="D16" s="10">
        <f>D15-D14</f>
        <v>-19</v>
      </c>
      <c r="E16" s="10">
        <f>E15-E14</f>
        <v>-182</v>
      </c>
      <c r="F16" s="10">
        <f>F15-F14</f>
        <v>-175</v>
      </c>
      <c r="G16" s="10">
        <f>G15-G14</f>
        <v>-166</v>
      </c>
      <c r="H16" s="10">
        <f>H15-H14</f>
        <v>-160</v>
      </c>
      <c r="I16" s="10">
        <f>I15-I14</f>
        <v>-121</v>
      </c>
      <c r="J16" s="10">
        <f>J15-J14</f>
        <v>-113</v>
      </c>
      <c r="K16" s="10">
        <f>K15-K14</f>
        <v>-105</v>
      </c>
      <c r="L16" s="10">
        <f>L15-L14</f>
        <v>-97</v>
      </c>
      <c r="M16" s="10">
        <f>M15-M14</f>
        <v>-67</v>
      </c>
      <c r="N16" s="10"/>
    </row>
    <row r="17" spans="1:14" x14ac:dyDescent="0.25">
      <c r="A17" s="7" t="s">
        <v>284</v>
      </c>
      <c r="D17" s="19">
        <v>-8</v>
      </c>
      <c r="E17" s="19">
        <v>-5</v>
      </c>
      <c r="F17" s="19">
        <v>0</v>
      </c>
      <c r="G17" s="7" t="s">
        <v>90</v>
      </c>
      <c r="H17" s="7" t="s">
        <v>90</v>
      </c>
      <c r="I17" s="7" t="s">
        <v>90</v>
      </c>
      <c r="J17" s="7" t="s">
        <v>90</v>
      </c>
      <c r="K17" s="7" t="s">
        <v>90</v>
      </c>
      <c r="L17" s="7" t="s">
        <v>90</v>
      </c>
      <c r="M17" s="7" t="s">
        <v>90</v>
      </c>
      <c r="N17" s="7" t="s">
        <v>90</v>
      </c>
    </row>
    <row r="18" spans="1:14" x14ac:dyDescent="0.25">
      <c r="A18" s="6" t="s">
        <v>297</v>
      </c>
      <c r="D18" s="13">
        <v>2</v>
      </c>
      <c r="E18" s="13">
        <v>33</v>
      </c>
      <c r="F18" s="13">
        <v>35</v>
      </c>
      <c r="G18" s="13">
        <v>34</v>
      </c>
      <c r="H18" s="13">
        <v>32</v>
      </c>
      <c r="I18" s="13">
        <v>31</v>
      </c>
      <c r="J18" s="13">
        <v>29</v>
      </c>
      <c r="K18" s="13">
        <v>27</v>
      </c>
      <c r="L18" s="13">
        <v>25</v>
      </c>
      <c r="M18" s="13">
        <v>23</v>
      </c>
      <c r="N18" s="13">
        <v>21</v>
      </c>
    </row>
    <row r="19" spans="1:14" x14ac:dyDescent="0.25">
      <c r="A19" s="6" t="s">
        <v>106</v>
      </c>
      <c r="D19" s="13">
        <v>1</v>
      </c>
      <c r="E19" s="13">
        <v>10</v>
      </c>
      <c r="F19" s="13">
        <v>11</v>
      </c>
      <c r="G19" s="13">
        <v>11</v>
      </c>
      <c r="H19" s="13">
        <v>10</v>
      </c>
      <c r="I19" s="13">
        <v>10</v>
      </c>
      <c r="J19" s="13">
        <v>9</v>
      </c>
      <c r="K19" s="13">
        <v>9</v>
      </c>
      <c r="L19" s="13">
        <v>8</v>
      </c>
      <c r="M19" s="13">
        <v>8</v>
      </c>
      <c r="N19" s="13">
        <v>7</v>
      </c>
    </row>
    <row r="20" spans="1:14" x14ac:dyDescent="0.25">
      <c r="A20" s="7" t="s">
        <v>107</v>
      </c>
      <c r="D20" s="19">
        <v>0</v>
      </c>
      <c r="E20" s="19">
        <v>-1</v>
      </c>
      <c r="F20" s="19">
        <v>-1</v>
      </c>
      <c r="G20" s="19">
        <v>-2</v>
      </c>
      <c r="H20" s="19">
        <v>-2</v>
      </c>
      <c r="I20" s="19">
        <v>-2</v>
      </c>
      <c r="J20" s="19">
        <v>-1</v>
      </c>
      <c r="K20" s="19">
        <v>-1</v>
      </c>
      <c r="L20" s="19">
        <v>-1</v>
      </c>
      <c r="M20" s="19">
        <v>-1</v>
      </c>
      <c r="N20" s="19">
        <v>-1</v>
      </c>
    </row>
    <row r="21" spans="1:14" x14ac:dyDescent="0.25">
      <c r="A21" s="7"/>
      <c r="C21">
        <f>SUM(C18,C19)</f>
        <v>0</v>
      </c>
      <c r="D21" s="19">
        <f>SUM(D18,D19)</f>
        <v>3</v>
      </c>
      <c r="E21" s="19">
        <f>SUM(E18,E19)</f>
        <v>43</v>
      </c>
      <c r="F21" s="19">
        <f>SUM(F18,F19)</f>
        <v>46</v>
      </c>
      <c r="G21" s="19">
        <f>SUM(G18,G19)</f>
        <v>45</v>
      </c>
      <c r="H21" s="19">
        <f>SUM(H18,H19)</f>
        <v>42</v>
      </c>
      <c r="I21" s="19">
        <f>SUM(I18,I19)</f>
        <v>41</v>
      </c>
      <c r="J21" s="19">
        <f>SUM(J18,J19)</f>
        <v>38</v>
      </c>
      <c r="K21" s="19">
        <f>SUM(K18,K19)</f>
        <v>36</v>
      </c>
      <c r="L21" s="19">
        <f>SUM(L18,L19)</f>
        <v>33</v>
      </c>
      <c r="M21" s="19">
        <f>SUM(M18,M19)</f>
        <v>31</v>
      </c>
      <c r="N21" s="19"/>
    </row>
    <row r="22" spans="1:14" x14ac:dyDescent="0.25">
      <c r="A22" s="7"/>
      <c r="C22">
        <f>C21-C20</f>
        <v>0</v>
      </c>
      <c r="D22" s="19">
        <f>D21-D20</f>
        <v>3</v>
      </c>
      <c r="E22" s="19">
        <f>E21-E20</f>
        <v>44</v>
      </c>
      <c r="F22" s="19">
        <f>F21-F20</f>
        <v>47</v>
      </c>
      <c r="G22" s="19">
        <f>G21-G20</f>
        <v>47</v>
      </c>
      <c r="H22" s="19">
        <f>H21-H20</f>
        <v>44</v>
      </c>
      <c r="I22" s="19">
        <f>I21-I20</f>
        <v>43</v>
      </c>
      <c r="J22" s="19">
        <f>J21-J20</f>
        <v>39</v>
      </c>
      <c r="K22" s="19">
        <f>K21-K20</f>
        <v>37</v>
      </c>
      <c r="L22" s="19">
        <f>L21-L20</f>
        <v>34</v>
      </c>
      <c r="M22" s="19">
        <f>M21-M20</f>
        <v>32</v>
      </c>
      <c r="N22" s="19"/>
    </row>
    <row r="23" spans="1:14" x14ac:dyDescent="0.25">
      <c r="A23" s="6" t="s">
        <v>211</v>
      </c>
      <c r="D23" s="13">
        <v>1</v>
      </c>
      <c r="E23" s="13">
        <v>8</v>
      </c>
      <c r="F23" s="13">
        <v>10</v>
      </c>
      <c r="G23" s="13">
        <v>9</v>
      </c>
      <c r="H23" s="13">
        <v>8</v>
      </c>
      <c r="I23" s="13">
        <v>8</v>
      </c>
      <c r="J23" s="13">
        <v>8</v>
      </c>
      <c r="K23" s="13">
        <v>7</v>
      </c>
      <c r="L23" s="13">
        <v>7</v>
      </c>
      <c r="M23" s="13">
        <v>6</v>
      </c>
      <c r="N23" s="13">
        <v>6</v>
      </c>
    </row>
    <row r="24" spans="1:14" x14ac:dyDescent="0.25">
      <c r="A24" s="6"/>
      <c r="C24">
        <f>C10*B23</f>
        <v>0</v>
      </c>
      <c r="D24" s="13">
        <f>D10*B23</f>
        <v>0</v>
      </c>
      <c r="E24" s="13">
        <f>E10*B23</f>
        <v>0</v>
      </c>
      <c r="F24" s="13">
        <f>F10*B23</f>
        <v>0</v>
      </c>
      <c r="G24" s="13">
        <f>G10*B23</f>
        <v>0</v>
      </c>
      <c r="H24" s="13">
        <f>H10*B23</f>
        <v>0</v>
      </c>
      <c r="I24" s="13">
        <f>I10*B23</f>
        <v>0</v>
      </c>
      <c r="J24" s="13">
        <f>J10*B23</f>
        <v>0</v>
      </c>
      <c r="K24" s="13">
        <f>K10*B23</f>
        <v>0</v>
      </c>
      <c r="L24" s="13">
        <f>L10*B23</f>
        <v>0</v>
      </c>
      <c r="M24" s="13">
        <f>M10*B23</f>
        <v>0</v>
      </c>
      <c r="N24" s="13"/>
    </row>
    <row r="25" spans="1:14" x14ac:dyDescent="0.25">
      <c r="A25" s="6"/>
      <c r="C25">
        <f>C24-C23</f>
        <v>0</v>
      </c>
      <c r="D25" s="13">
        <f>D24-D23</f>
        <v>-1</v>
      </c>
      <c r="E25" s="13">
        <f>E24-E23</f>
        <v>-8</v>
      </c>
      <c r="F25" s="13">
        <f>F24-F23</f>
        <v>-10</v>
      </c>
      <c r="G25" s="13">
        <f>G24-G23</f>
        <v>-9</v>
      </c>
      <c r="H25" s="13">
        <f>H24-H23</f>
        <v>-8</v>
      </c>
      <c r="I25" s="13">
        <f>I24-I23</f>
        <v>-8</v>
      </c>
      <c r="J25" s="13">
        <f>J24-J23</f>
        <v>-8</v>
      </c>
      <c r="K25" s="13">
        <f>K24-K23</f>
        <v>-7</v>
      </c>
      <c r="L25" s="13">
        <f>L24-L23</f>
        <v>-7</v>
      </c>
      <c r="M25" s="13">
        <f>M24-M23</f>
        <v>-6</v>
      </c>
      <c r="N25" s="13"/>
    </row>
    <row r="26" spans="1:14" x14ac:dyDescent="0.25">
      <c r="A26" s="7" t="s">
        <v>210</v>
      </c>
      <c r="C26" s="20">
        <v>1.4999999999999999E-2</v>
      </c>
      <c r="D26" s="19">
        <v>0</v>
      </c>
      <c r="E26" s="19">
        <v>0</v>
      </c>
      <c r="F26" s="19">
        <v>-1</v>
      </c>
      <c r="G26" s="19">
        <v>-1</v>
      </c>
      <c r="H26" s="19">
        <v>0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</row>
    <row r="27" spans="1:14" x14ac:dyDescent="0.25">
      <c r="A27" s="7"/>
      <c r="C27" s="20">
        <f>SUM(C20,C23)</f>
        <v>0</v>
      </c>
      <c r="D27" s="19">
        <f>SUM(D20,D23)</f>
        <v>1</v>
      </c>
      <c r="E27" s="19">
        <f>SUM(E20,E23)</f>
        <v>7</v>
      </c>
      <c r="F27" s="19">
        <f>SUM(F20,F23)</f>
        <v>9</v>
      </c>
      <c r="G27" s="19">
        <f>SUM(G20,G23)</f>
        <v>7</v>
      </c>
      <c r="H27" s="19">
        <f>SUM(H20,H23)</f>
        <v>6</v>
      </c>
      <c r="I27" s="19">
        <f>SUM(I20,I23)</f>
        <v>6</v>
      </c>
      <c r="J27" s="19">
        <f>SUM(J20,J23)</f>
        <v>7</v>
      </c>
      <c r="K27" s="19">
        <f>SUM(K20,K23)</f>
        <v>6</v>
      </c>
      <c r="L27" s="19">
        <f>SUM(L20,L23)</f>
        <v>6</v>
      </c>
      <c r="M27" s="19">
        <f>SUM(M20,M23)</f>
        <v>5</v>
      </c>
      <c r="N27" s="19"/>
    </row>
    <row r="28" spans="1:14" x14ac:dyDescent="0.25">
      <c r="A28" s="7"/>
      <c r="C28" s="20">
        <f>C27-C26</f>
        <v>-1.4999999999999999E-2</v>
      </c>
      <c r="D28" s="19">
        <f>D27-D26</f>
        <v>1</v>
      </c>
      <c r="E28" s="19">
        <f>E27-E26</f>
        <v>7</v>
      </c>
      <c r="F28" s="19">
        <f>F27-F26</f>
        <v>10</v>
      </c>
      <c r="G28" s="19">
        <f>G27-G26</f>
        <v>8</v>
      </c>
      <c r="H28" s="19">
        <f>H27-H26</f>
        <v>6</v>
      </c>
      <c r="I28" s="19">
        <f>I27-I26</f>
        <v>6</v>
      </c>
      <c r="J28" s="19">
        <f>J27-J26</f>
        <v>7</v>
      </c>
      <c r="K28" s="19">
        <f>K27-K26</f>
        <v>6</v>
      </c>
      <c r="L28" s="19">
        <f>L27-L26</f>
        <v>6</v>
      </c>
      <c r="M28" s="19">
        <f>M27-M26</f>
        <v>5</v>
      </c>
      <c r="N28" s="19"/>
    </row>
    <row r="29" spans="1:14" x14ac:dyDescent="0.25">
      <c r="A29" s="6" t="s">
        <v>108</v>
      </c>
      <c r="D29" s="13">
        <v>1</v>
      </c>
      <c r="E29" s="13">
        <v>8</v>
      </c>
      <c r="F29" s="13">
        <v>9</v>
      </c>
      <c r="G29" s="13">
        <v>8</v>
      </c>
      <c r="H29" s="13">
        <v>8</v>
      </c>
      <c r="I29" s="13">
        <v>8</v>
      </c>
      <c r="J29" s="13">
        <v>7</v>
      </c>
      <c r="K29" s="13">
        <v>7</v>
      </c>
      <c r="L29" s="13">
        <v>7</v>
      </c>
      <c r="M29" s="13">
        <v>6</v>
      </c>
      <c r="N29" s="13">
        <v>6</v>
      </c>
    </row>
    <row r="30" spans="1:14" x14ac:dyDescent="0.25">
      <c r="A30" s="6"/>
      <c r="C30">
        <f>C26*B29</f>
        <v>0</v>
      </c>
      <c r="D30" s="13">
        <f>D26*B29</f>
        <v>0</v>
      </c>
      <c r="E30" s="13">
        <f>E26*B29</f>
        <v>0</v>
      </c>
      <c r="F30" s="13">
        <f>F26*B29</f>
        <v>0</v>
      </c>
      <c r="G30" s="13">
        <f>G26*B29</f>
        <v>0</v>
      </c>
      <c r="H30" s="13">
        <f>H26*B29</f>
        <v>0</v>
      </c>
      <c r="I30" s="13">
        <f>I26*B29</f>
        <v>0</v>
      </c>
      <c r="J30" s="13">
        <f>J26*B29</f>
        <v>0</v>
      </c>
      <c r="K30" s="13">
        <f>K26*B29</f>
        <v>0</v>
      </c>
      <c r="L30" s="13">
        <f>L26*B29</f>
        <v>0</v>
      </c>
      <c r="M30" s="13">
        <f>M26*B29</f>
        <v>0</v>
      </c>
      <c r="N30" s="13"/>
    </row>
    <row r="31" spans="1:14" x14ac:dyDescent="0.25">
      <c r="A31" s="6"/>
      <c r="C31">
        <f>C30-C29</f>
        <v>0</v>
      </c>
      <c r="D31" s="13">
        <f>D30-D29</f>
        <v>-1</v>
      </c>
      <c r="E31" s="13">
        <f>E30-E29</f>
        <v>-8</v>
      </c>
      <c r="F31" s="13">
        <f>F30-F29</f>
        <v>-9</v>
      </c>
      <c r="G31" s="13">
        <f>G30-G29</f>
        <v>-8</v>
      </c>
      <c r="H31" s="13">
        <f>H30-H29</f>
        <v>-8</v>
      </c>
      <c r="I31" s="13">
        <f>I30-I29</f>
        <v>-8</v>
      </c>
      <c r="J31" s="13">
        <f>J30-J29</f>
        <v>-7</v>
      </c>
      <c r="K31" s="13">
        <f>K30-K29</f>
        <v>-7</v>
      </c>
      <c r="L31" s="13">
        <f>L30-L29</f>
        <v>-7</v>
      </c>
      <c r="M31" s="13">
        <f>M30-M29</f>
        <v>-6</v>
      </c>
      <c r="N31" s="13"/>
    </row>
    <row r="32" spans="1:14" x14ac:dyDescent="0.25">
      <c r="A32" s="7" t="s">
        <v>212</v>
      </c>
      <c r="C32" s="20">
        <v>0.218</v>
      </c>
      <c r="D32" s="31">
        <v>0</v>
      </c>
      <c r="E32" s="19">
        <v>-2</v>
      </c>
      <c r="F32" s="19">
        <v>-2</v>
      </c>
      <c r="G32" s="19">
        <v>-2</v>
      </c>
      <c r="H32" s="19">
        <v>-2</v>
      </c>
      <c r="I32" s="19">
        <v>-2</v>
      </c>
      <c r="J32" s="19">
        <v>-2</v>
      </c>
      <c r="K32" s="19">
        <v>-2</v>
      </c>
      <c r="L32" s="19">
        <v>-1</v>
      </c>
      <c r="M32" s="19">
        <v>-1</v>
      </c>
      <c r="N32" s="19">
        <v>-1</v>
      </c>
    </row>
    <row r="33" spans="1:14" x14ac:dyDescent="0.25">
      <c r="A33" s="7"/>
      <c r="C33" s="20">
        <f>SUM(C26,C29)</f>
        <v>1.4999999999999999E-2</v>
      </c>
      <c r="D33" s="31">
        <f>SUM(D26,D29)</f>
        <v>1</v>
      </c>
      <c r="E33" s="19">
        <f>SUM(E26,E29)</f>
        <v>8</v>
      </c>
      <c r="F33" s="19">
        <f>SUM(F26,F29)</f>
        <v>8</v>
      </c>
      <c r="G33" s="19">
        <f>SUM(G26,G29)</f>
        <v>7</v>
      </c>
      <c r="H33" s="19">
        <f>SUM(H26,H29)</f>
        <v>8</v>
      </c>
      <c r="I33" s="19">
        <f>SUM(I26,I29)</f>
        <v>8</v>
      </c>
      <c r="J33" s="19">
        <f>SUM(J26,J29)</f>
        <v>7</v>
      </c>
      <c r="K33" s="19">
        <f>SUM(K26,K29)</f>
        <v>7</v>
      </c>
      <c r="L33" s="19">
        <f>SUM(L26,L29)</f>
        <v>7</v>
      </c>
      <c r="M33" s="19">
        <f>SUM(M26,M29)</f>
        <v>6</v>
      </c>
      <c r="N33" s="19"/>
    </row>
    <row r="34" spans="1:14" x14ac:dyDescent="0.25">
      <c r="A34" s="7"/>
      <c r="C34" s="20">
        <f>C33-C32</f>
        <v>-0.20300000000000001</v>
      </c>
      <c r="D34" s="31">
        <f>D33-D32</f>
        <v>1</v>
      </c>
      <c r="E34" s="19">
        <f>E33-E32</f>
        <v>10</v>
      </c>
      <c r="F34" s="19">
        <f>F33-F32</f>
        <v>10</v>
      </c>
      <c r="G34" s="19">
        <f>G33-G32</f>
        <v>9</v>
      </c>
      <c r="H34" s="19">
        <f>H33-H32</f>
        <v>10</v>
      </c>
      <c r="I34" s="19">
        <f>I33-I32</f>
        <v>10</v>
      </c>
      <c r="J34" s="19">
        <f>J33-J32</f>
        <v>9</v>
      </c>
      <c r="K34" s="19">
        <f>K33-K32</f>
        <v>9</v>
      </c>
      <c r="L34" s="19">
        <f>L33-L32</f>
        <v>8</v>
      </c>
      <c r="M34" s="19">
        <f>M33-M32</f>
        <v>7</v>
      </c>
      <c r="N34" s="19"/>
    </row>
    <row r="35" spans="1:14" x14ac:dyDescent="0.25">
      <c r="A35" s="6" t="s">
        <v>213</v>
      </c>
      <c r="D35" s="13">
        <v>0</v>
      </c>
      <c r="E35" s="13">
        <v>6</v>
      </c>
      <c r="F35" s="13">
        <v>7</v>
      </c>
      <c r="G35" s="13">
        <v>6</v>
      </c>
      <c r="H35" s="13">
        <v>6</v>
      </c>
      <c r="I35" s="13">
        <v>6</v>
      </c>
      <c r="J35" s="13">
        <v>6</v>
      </c>
      <c r="K35" s="13">
        <v>5</v>
      </c>
      <c r="L35" s="13">
        <v>5</v>
      </c>
      <c r="M35" s="13">
        <v>5</v>
      </c>
      <c r="N35" s="13">
        <v>4</v>
      </c>
    </row>
    <row r="36" spans="1:14" x14ac:dyDescent="0.25">
      <c r="A36" s="7" t="s">
        <v>214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x14ac:dyDescent="0.25">
      <c r="A37" s="7"/>
      <c r="C37" s="57">
        <f>SUM(C32,C35)</f>
        <v>0.218</v>
      </c>
      <c r="D37" s="10">
        <f>SUM(D32,D35)</f>
        <v>0</v>
      </c>
      <c r="E37" s="10">
        <f>SUM(E32,E35)</f>
        <v>4</v>
      </c>
      <c r="F37" s="10">
        <f>SUM(F32,F35)</f>
        <v>5</v>
      </c>
      <c r="G37" s="10">
        <f>SUM(G32,G35)</f>
        <v>4</v>
      </c>
      <c r="H37" s="10">
        <f>SUM(H32,H35)</f>
        <v>4</v>
      </c>
      <c r="I37" s="10">
        <f>SUM(I32,I35)</f>
        <v>4</v>
      </c>
      <c r="J37" s="10">
        <f>SUM(J32,J35)</f>
        <v>4</v>
      </c>
      <c r="K37" s="10">
        <f>SUM(K32,K35)</f>
        <v>3</v>
      </c>
      <c r="L37" s="10">
        <f>SUM(L32,L35)</f>
        <v>4</v>
      </c>
      <c r="M37" s="10">
        <f>SUM(M32,M35)</f>
        <v>4</v>
      </c>
      <c r="N37" s="10"/>
    </row>
    <row r="38" spans="1:14" x14ac:dyDescent="0.25">
      <c r="A38" s="7"/>
      <c r="C38" s="57">
        <f>C37-C36</f>
        <v>0.218</v>
      </c>
      <c r="D38" s="10">
        <f>D37-D36</f>
        <v>0</v>
      </c>
      <c r="E38" s="10">
        <f>E37-E36</f>
        <v>4</v>
      </c>
      <c r="F38" s="10">
        <f>F37-F36</f>
        <v>5</v>
      </c>
      <c r="G38" s="10">
        <f>G37-G36</f>
        <v>4</v>
      </c>
      <c r="H38" s="10">
        <f>H37-H36</f>
        <v>4</v>
      </c>
      <c r="I38" s="10">
        <f>I37-I36</f>
        <v>4</v>
      </c>
      <c r="J38" s="10">
        <f>J37-J36</f>
        <v>4</v>
      </c>
      <c r="K38" s="10">
        <f>K37-K36</f>
        <v>3</v>
      </c>
      <c r="L38" s="10">
        <f>L37-L36</f>
        <v>4</v>
      </c>
      <c r="M38" s="10">
        <f>M37-M36</f>
        <v>4</v>
      </c>
      <c r="N38" s="10"/>
    </row>
    <row r="39" spans="1:14" x14ac:dyDescent="0.25">
      <c r="A39" s="6" t="s">
        <v>215</v>
      </c>
      <c r="D39" s="13">
        <v>0</v>
      </c>
      <c r="E39" s="13">
        <v>6</v>
      </c>
      <c r="F39" s="13">
        <v>7</v>
      </c>
      <c r="G39" s="13">
        <v>7</v>
      </c>
      <c r="H39" s="13">
        <v>6</v>
      </c>
      <c r="I39" s="13">
        <v>6</v>
      </c>
      <c r="J39" s="13">
        <v>6</v>
      </c>
      <c r="K39" s="13">
        <v>6</v>
      </c>
      <c r="L39" s="13">
        <v>5</v>
      </c>
      <c r="M39" s="13">
        <v>5</v>
      </c>
      <c r="N39" s="13">
        <v>4</v>
      </c>
    </row>
    <row r="40" spans="1:14" x14ac:dyDescent="0.25">
      <c r="A40" s="7" t="s">
        <v>115</v>
      </c>
      <c r="C40" s="20">
        <v>0.11</v>
      </c>
      <c r="D40" s="23">
        <v>0.98740000000000006</v>
      </c>
      <c r="E40" s="23">
        <v>0.92530000000000001</v>
      </c>
      <c r="F40" s="23">
        <v>0.83360000000000001</v>
      </c>
      <c r="G40" s="24">
        <v>0.751</v>
      </c>
      <c r="H40" s="23">
        <v>0.67659999999999998</v>
      </c>
      <c r="I40" s="23">
        <v>0.60950000000000004</v>
      </c>
      <c r="J40" s="23">
        <v>0.54910000000000003</v>
      </c>
      <c r="K40" s="23">
        <v>0.49469999999999997</v>
      </c>
      <c r="L40" s="23">
        <v>0.44569999999999999</v>
      </c>
      <c r="M40" s="23">
        <v>0.40150000000000002</v>
      </c>
      <c r="N40" s="23">
        <v>0.36170000000000002</v>
      </c>
    </row>
    <row r="41" spans="1:14" x14ac:dyDescent="0.25">
      <c r="A41" s="7"/>
      <c r="C41" s="20">
        <f>C36*C39</f>
        <v>0</v>
      </c>
      <c r="D41" s="23">
        <f>D36*D39</f>
        <v>0</v>
      </c>
      <c r="E41" s="23">
        <f>E36*E39</f>
        <v>0</v>
      </c>
      <c r="F41" s="23">
        <f>F36*F39</f>
        <v>0</v>
      </c>
      <c r="G41" s="24">
        <f>G36*G39</f>
        <v>0</v>
      </c>
      <c r="H41" s="23">
        <f>H36*H39</f>
        <v>0</v>
      </c>
      <c r="I41" s="23">
        <f>I36*I39</f>
        <v>0</v>
      </c>
      <c r="J41" s="23">
        <f>J36*J39</f>
        <v>0</v>
      </c>
      <c r="K41" s="23">
        <f>K36*K39</f>
        <v>0</v>
      </c>
      <c r="L41" s="23">
        <f>L36*L39</f>
        <v>0</v>
      </c>
      <c r="M41" s="23">
        <f>M36*M39</f>
        <v>0</v>
      </c>
      <c r="N41" s="23"/>
    </row>
    <row r="42" spans="1:14" x14ac:dyDescent="0.25">
      <c r="A42" s="7"/>
      <c r="C42" s="20">
        <f>C41-C40</f>
        <v>-0.11</v>
      </c>
      <c r="D42" s="23">
        <f>D41-D40</f>
        <v>-0.98740000000000006</v>
      </c>
      <c r="E42" s="23">
        <f>E41-E40</f>
        <v>-0.92530000000000001</v>
      </c>
      <c r="F42" s="23">
        <f>F41-F40</f>
        <v>-0.83360000000000001</v>
      </c>
      <c r="G42" s="24">
        <f>G41-G40</f>
        <v>-0.751</v>
      </c>
      <c r="H42" s="23">
        <f>H41-H40</f>
        <v>-0.67659999999999998</v>
      </c>
      <c r="I42" s="23">
        <f>I41-I40</f>
        <v>-0.60950000000000004</v>
      </c>
      <c r="J42" s="23">
        <f>J41-J40</f>
        <v>-0.54910000000000003</v>
      </c>
      <c r="K42" s="23">
        <f>K41-K40</f>
        <v>-0.49469999999999997</v>
      </c>
      <c r="L42" s="23">
        <f>L41-L40</f>
        <v>-0.44569999999999999</v>
      </c>
      <c r="M42" s="23">
        <f>M41-M40</f>
        <v>-0.40150000000000002</v>
      </c>
      <c r="N42" s="23"/>
    </row>
    <row r="43" spans="1:14" x14ac:dyDescent="0.25">
      <c r="A43" s="6" t="s">
        <v>116</v>
      </c>
      <c r="D43" s="13">
        <v>0</v>
      </c>
      <c r="E43" s="13">
        <v>6</v>
      </c>
      <c r="F43" s="13">
        <v>6</v>
      </c>
      <c r="G43" s="13">
        <v>5</v>
      </c>
      <c r="H43" s="13">
        <v>4</v>
      </c>
      <c r="I43" s="13">
        <v>4</v>
      </c>
      <c r="J43" s="13">
        <v>3</v>
      </c>
      <c r="K43" s="13">
        <v>3</v>
      </c>
      <c r="L43" s="13">
        <v>2</v>
      </c>
      <c r="M43" s="13">
        <v>2</v>
      </c>
      <c r="N43" s="13">
        <v>2</v>
      </c>
    </row>
    <row r="44" spans="1:14" x14ac:dyDescent="0.25">
      <c r="A44" s="7" t="s">
        <v>216</v>
      </c>
      <c r="D44" s="10">
        <v>45</v>
      </c>
      <c r="I44" s="7" t="s">
        <v>298</v>
      </c>
    </row>
    <row r="45" spans="1:14" x14ac:dyDescent="0.25">
      <c r="G45" s="10">
        <v>50</v>
      </c>
      <c r="H45" s="15">
        <v>0.02</v>
      </c>
      <c r="I45" s="20">
        <v>2.5000000000000001E-2</v>
      </c>
      <c r="J45" s="20">
        <v>0.03</v>
      </c>
    </row>
    <row r="46" spans="1:14" x14ac:dyDescent="0.25">
      <c r="A46" s="6" t="s">
        <v>218</v>
      </c>
      <c r="D46" s="13">
        <v>45</v>
      </c>
      <c r="G46" s="15">
        <v>0.05</v>
      </c>
      <c r="H46" s="23">
        <v>66.599999999999994</v>
      </c>
      <c r="I46" s="23">
        <v>67.5</v>
      </c>
      <c r="J46" s="23">
        <v>68.400000000000006</v>
      </c>
    </row>
    <row r="47" spans="1:14" x14ac:dyDescent="0.25">
      <c r="A47" s="7" t="s">
        <v>121</v>
      </c>
      <c r="B47" s="7" t="s">
        <v>288</v>
      </c>
      <c r="D47" s="7" t="s">
        <v>223</v>
      </c>
      <c r="F47" s="7" t="s">
        <v>282</v>
      </c>
      <c r="G47" s="15">
        <v>0.1</v>
      </c>
      <c r="H47" s="23">
        <v>44.6</v>
      </c>
      <c r="I47" s="23">
        <v>44.9</v>
      </c>
      <c r="J47" s="23">
        <v>45.2</v>
      </c>
    </row>
    <row r="48" spans="1:14" x14ac:dyDescent="0.25">
      <c r="A48" s="6" t="s">
        <v>219</v>
      </c>
      <c r="D48" s="13">
        <v>50</v>
      </c>
      <c r="G48" s="15">
        <v>0.15</v>
      </c>
      <c r="H48" s="23">
        <v>31.6</v>
      </c>
      <c r="I48" s="23">
        <v>31.8</v>
      </c>
      <c r="J48" s="23">
        <v>31.9</v>
      </c>
    </row>
    <row r="49" spans="1:14" x14ac:dyDescent="0.25">
      <c r="A49" s="9" t="s">
        <v>221</v>
      </c>
    </row>
    <row r="50" spans="1:14" x14ac:dyDescent="0.25">
      <c r="A50" s="7" t="s">
        <v>222</v>
      </c>
      <c r="D50" s="7" t="s">
        <v>223</v>
      </c>
      <c r="E50" s="20">
        <v>4.3999999999999997E-2</v>
      </c>
      <c r="F50" s="20">
        <v>5.1999999999999998E-2</v>
      </c>
      <c r="G50" s="20">
        <v>0.06</v>
      </c>
      <c r="H50" s="20">
        <v>7.3999999999999996E-2</v>
      </c>
      <c r="I50" s="20">
        <v>3.5000000000000003E-2</v>
      </c>
      <c r="J50" s="20">
        <v>3.5000000000000003E-2</v>
      </c>
      <c r="K50" s="20">
        <v>3.5999999999999997E-2</v>
      </c>
      <c r="L50" s="20">
        <v>0.03</v>
      </c>
      <c r="M50" s="20">
        <v>0.03</v>
      </c>
      <c r="N50" s="20">
        <v>0.03</v>
      </c>
    </row>
    <row r="51" spans="1:14" x14ac:dyDescent="0.25">
      <c r="A51" s="7" t="s">
        <v>289</v>
      </c>
      <c r="D51" s="20">
        <v>5.7000000000000002E-2</v>
      </c>
      <c r="E51" s="20">
        <v>5.7000000000000002E-2</v>
      </c>
      <c r="F51" s="20">
        <v>5.5E-2</v>
      </c>
      <c r="G51" s="20">
        <v>5.2999999999999999E-2</v>
      </c>
      <c r="H51" s="20">
        <v>5.2999999999999999E-2</v>
      </c>
      <c r="I51" s="20">
        <v>5.1999999999999998E-2</v>
      </c>
      <c r="J51" s="20">
        <v>5.1999999999999998E-2</v>
      </c>
      <c r="K51" s="20">
        <v>5.0999999999999997E-2</v>
      </c>
      <c r="L51" s="20">
        <v>5.0999999999999997E-2</v>
      </c>
      <c r="M51" s="20">
        <v>5.0999999999999997E-2</v>
      </c>
      <c r="N51" s="20">
        <v>5.0999999999999997E-2</v>
      </c>
    </row>
    <row r="52" spans="1:14" x14ac:dyDescent="0.25">
      <c r="A52" s="7" t="s">
        <v>224</v>
      </c>
      <c r="D52" s="20">
        <v>0.29499999999999998</v>
      </c>
      <c r="E52" s="20">
        <v>0.29199999999999998</v>
      </c>
      <c r="F52" s="20">
        <v>0.30599999999999999</v>
      </c>
      <c r="G52" s="20">
        <v>0.312</v>
      </c>
      <c r="H52" s="20">
        <v>0.31</v>
      </c>
      <c r="I52" s="20">
        <v>0.316</v>
      </c>
      <c r="J52" s="20">
        <v>0.32100000000000001</v>
      </c>
      <c r="K52" s="20">
        <v>0.32600000000000001</v>
      </c>
      <c r="L52" s="20">
        <v>0.32600000000000001</v>
      </c>
      <c r="M52" s="20">
        <v>0.32600000000000001</v>
      </c>
      <c r="N52" s="20">
        <v>0.32600000000000001</v>
      </c>
    </row>
    <row r="53" spans="1:14" x14ac:dyDescent="0.25">
      <c r="A53" s="7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</row>
    <row r="54" spans="1:14" x14ac:dyDescent="0.25">
      <c r="A54" s="7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</row>
    <row r="55" spans="1:14" x14ac:dyDescent="0.25">
      <c r="A55" s="7" t="s">
        <v>107</v>
      </c>
      <c r="D55" s="20">
        <v>3.5999999999999997E-2</v>
      </c>
      <c r="E55" s="20">
        <v>3.4000000000000002E-2</v>
      </c>
      <c r="F55" s="20">
        <v>3.5000000000000003E-2</v>
      </c>
      <c r="G55" s="20">
        <v>0.05</v>
      </c>
      <c r="H55" s="20">
        <v>5.5E-2</v>
      </c>
      <c r="I55" s="20">
        <v>5.2999999999999999E-2</v>
      </c>
      <c r="J55" s="20">
        <v>5.0999999999999997E-2</v>
      </c>
      <c r="K55" s="20">
        <v>4.9000000000000002E-2</v>
      </c>
      <c r="L55" s="20">
        <v>4.9000000000000002E-2</v>
      </c>
      <c r="M55" s="20">
        <v>4.9000000000000002E-2</v>
      </c>
      <c r="N55" s="20">
        <v>4.9000000000000002E-2</v>
      </c>
    </row>
    <row r="56" spans="1:14" x14ac:dyDescent="0.25">
      <c r="A56" s="7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</row>
    <row r="57" spans="1:14" x14ac:dyDescent="0.25">
      <c r="A57" s="7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</row>
    <row r="58" spans="1:14" x14ac:dyDescent="0.25">
      <c r="A58" s="7" t="s">
        <v>225</v>
      </c>
      <c r="D58" s="20">
        <v>0.26</v>
      </c>
      <c r="E58" s="20">
        <v>0.25900000000000001</v>
      </c>
      <c r="F58" s="20">
        <v>0.27100000000000002</v>
      </c>
      <c r="G58" s="20">
        <v>0.26100000000000001</v>
      </c>
      <c r="H58" s="20">
        <v>0.255</v>
      </c>
      <c r="I58" s="20">
        <v>0.26300000000000001</v>
      </c>
      <c r="J58" s="20">
        <v>0.27100000000000002</v>
      </c>
      <c r="K58" s="20">
        <v>0.27700000000000002</v>
      </c>
      <c r="L58" s="20">
        <v>0.27700000000000002</v>
      </c>
      <c r="M58" s="20">
        <v>0.27700000000000002</v>
      </c>
      <c r="N58" s="20">
        <v>0.27700000000000002</v>
      </c>
    </row>
    <row r="59" spans="1:14" x14ac:dyDescent="0.25">
      <c r="A59" s="7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</row>
    <row r="60" spans="1:14" x14ac:dyDescent="0.25">
      <c r="A60" s="7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</row>
    <row r="61" spans="1:14" x14ac:dyDescent="0.25">
      <c r="A61" s="7" t="s">
        <v>240</v>
      </c>
      <c r="D61" s="20">
        <v>-5.0000000000000001E-3</v>
      </c>
      <c r="E61" s="20">
        <v>-5.0000000000000001E-3</v>
      </c>
      <c r="F61" s="20">
        <v>-5.0000000000000001E-3</v>
      </c>
      <c r="G61" s="20">
        <v>-5.0000000000000001E-3</v>
      </c>
      <c r="H61" s="20">
        <v>-5.0000000000000001E-3</v>
      </c>
      <c r="I61" s="20">
        <v>-5.0000000000000001E-3</v>
      </c>
      <c r="J61" s="20">
        <v>-5.0000000000000001E-3</v>
      </c>
      <c r="K61" s="20">
        <v>-5.0000000000000001E-3</v>
      </c>
      <c r="L61" s="20">
        <v>-5.0000000000000001E-3</v>
      </c>
      <c r="M61" s="20">
        <v>-5.0000000000000001E-3</v>
      </c>
      <c r="N61" s="20">
        <v>-5.0000000000000001E-3</v>
      </c>
    </row>
    <row r="62" spans="1:14" x14ac:dyDescent="0.25">
      <c r="A62" s="7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</row>
    <row r="63" spans="1:14" x14ac:dyDescent="0.25">
      <c r="A63" s="7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</row>
    <row r="64" spans="1:14" x14ac:dyDescent="0.25">
      <c r="A64" s="16" t="s">
        <v>127</v>
      </c>
    </row>
    <row r="65" spans="1:14" x14ac:dyDescent="0.25">
      <c r="A65" s="16"/>
    </row>
    <row r="66" spans="1:14" x14ac:dyDescent="0.25">
      <c r="A66" s="16"/>
    </row>
    <row r="67" spans="1:14" x14ac:dyDescent="0.25">
      <c r="A67" s="7" t="s">
        <v>290</v>
      </c>
    </row>
    <row r="68" spans="1:14" x14ac:dyDescent="0.25">
      <c r="A68" s="7" t="s">
        <v>291</v>
      </c>
    </row>
    <row r="69" spans="1:14" x14ac:dyDescent="0.25">
      <c r="A69" s="16" t="s">
        <v>61</v>
      </c>
    </row>
    <row r="70" spans="1:14" x14ac:dyDescent="0.25">
      <c r="A70" s="9" t="s">
        <v>62</v>
      </c>
      <c r="N70" s="32" t="s">
        <v>63</v>
      </c>
    </row>
    <row r="71" spans="1:14" x14ac:dyDescent="0.25">
      <c r="F71" s="5" t="s">
        <v>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2:N66"/>
  <sheetViews>
    <sheetView workbookViewId="0"/>
  </sheetViews>
  <sheetFormatPr defaultRowHeight="15" x14ac:dyDescent="0.25"/>
  <cols>
    <col min="1" max="1" width="62.7109375" bestFit="1" customWidth="1"/>
  </cols>
  <sheetData>
    <row r="2" spans="1:14" x14ac:dyDescent="0.25">
      <c r="A2" s="6" t="s">
        <v>1</v>
      </c>
      <c r="N2" s="7" t="s">
        <v>299</v>
      </c>
    </row>
    <row r="3" spans="1:14" x14ac:dyDescent="0.25">
      <c r="A3" s="6" t="s">
        <v>9</v>
      </c>
    </row>
    <row r="4" spans="1:14" x14ac:dyDescent="0.25">
      <c r="A4" s="6" t="s">
        <v>295</v>
      </c>
    </row>
    <row r="5" spans="1:14" x14ac:dyDescent="0.25">
      <c r="A5" s="6" t="s">
        <v>11</v>
      </c>
    </row>
    <row r="6" spans="1:14" x14ac:dyDescent="0.25">
      <c r="H6" s="9" t="s">
        <v>96</v>
      </c>
    </row>
    <row r="7" spans="1:14" x14ac:dyDescent="0.25">
      <c r="A7" s="8" t="s">
        <v>12</v>
      </c>
      <c r="D7" s="9" t="s">
        <v>229</v>
      </c>
      <c r="E7" s="9" t="s">
        <v>230</v>
      </c>
      <c r="F7" s="9" t="s">
        <v>231</v>
      </c>
      <c r="G7" s="9" t="s">
        <v>232</v>
      </c>
      <c r="H7" s="9" t="s">
        <v>233</v>
      </c>
      <c r="I7" s="9" t="s">
        <v>234</v>
      </c>
      <c r="J7" s="9" t="s">
        <v>235</v>
      </c>
      <c r="K7" s="9" t="s">
        <v>236</v>
      </c>
      <c r="L7" s="9" t="s">
        <v>237</v>
      </c>
      <c r="M7" s="9" t="s">
        <v>238</v>
      </c>
      <c r="N7" s="9" t="s">
        <v>239</v>
      </c>
    </row>
    <row r="8" spans="1:14" x14ac:dyDescent="0.25">
      <c r="A8" s="7" t="s">
        <v>296</v>
      </c>
      <c r="D8" s="10">
        <v>21</v>
      </c>
      <c r="E8" s="10">
        <v>19</v>
      </c>
      <c r="F8" s="10">
        <v>18</v>
      </c>
      <c r="G8" s="10">
        <v>16</v>
      </c>
      <c r="H8" s="10">
        <v>15</v>
      </c>
      <c r="I8" s="10">
        <v>14</v>
      </c>
      <c r="J8" s="10">
        <v>13</v>
      </c>
      <c r="K8" s="10">
        <v>12</v>
      </c>
      <c r="L8" s="10">
        <v>11</v>
      </c>
      <c r="M8" s="10">
        <v>10</v>
      </c>
      <c r="N8" s="10">
        <v>10</v>
      </c>
    </row>
    <row r="9" spans="1:14" x14ac:dyDescent="0.25">
      <c r="A9" s="7" t="s">
        <v>281</v>
      </c>
      <c r="D9" s="10">
        <v>1</v>
      </c>
      <c r="E9" s="10">
        <v>1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x14ac:dyDescent="0.25">
      <c r="A10" s="7" t="s">
        <v>282</v>
      </c>
      <c r="C10" s="20">
        <v>0.1</v>
      </c>
      <c r="D10" s="19">
        <v>-2</v>
      </c>
      <c r="E10" s="19">
        <v>-2</v>
      </c>
      <c r="F10" s="19">
        <v>-2</v>
      </c>
      <c r="G10" s="19">
        <v>-2</v>
      </c>
      <c r="H10" s="19">
        <v>-2</v>
      </c>
      <c r="I10" s="19">
        <v>-1</v>
      </c>
      <c r="J10" s="19">
        <v>-1</v>
      </c>
      <c r="K10" s="19">
        <v>-1</v>
      </c>
      <c r="L10" s="19">
        <v>-1</v>
      </c>
      <c r="M10" s="19">
        <v>-1</v>
      </c>
      <c r="N10" s="19">
        <v>-1</v>
      </c>
    </row>
    <row r="11" spans="1:14" x14ac:dyDescent="0.25">
      <c r="A11" s="7"/>
      <c r="C11" s="20">
        <f>SUM(C8:C9)</f>
        <v>0</v>
      </c>
      <c r="D11" s="19">
        <f>SUM(D8:D9)</f>
        <v>22</v>
      </c>
      <c r="E11" s="19">
        <f>SUM(E8:E9)</f>
        <v>20</v>
      </c>
      <c r="F11" s="19">
        <f>SUM(F8:F9)</f>
        <v>19</v>
      </c>
      <c r="G11" s="19">
        <f>SUM(G8:G9)</f>
        <v>16</v>
      </c>
      <c r="H11" s="19">
        <f>SUM(H8:H9)</f>
        <v>15</v>
      </c>
      <c r="I11" s="19">
        <f>SUM(I8:I9)</f>
        <v>14</v>
      </c>
      <c r="J11" s="19">
        <f>SUM(J8:J9)</f>
        <v>13</v>
      </c>
      <c r="K11" s="19">
        <f>SUM(K8:K9)</f>
        <v>12</v>
      </c>
      <c r="L11" s="19">
        <f>SUM(L8:L9)</f>
        <v>11</v>
      </c>
      <c r="M11" s="19">
        <f>SUM(M8:M9)</f>
        <v>10</v>
      </c>
      <c r="N11" s="19"/>
    </row>
    <row r="12" spans="1:14" x14ac:dyDescent="0.25">
      <c r="A12" s="7"/>
      <c r="C12" s="20">
        <f>C11-C10</f>
        <v>-0.1</v>
      </c>
      <c r="D12" s="19">
        <f>D11-D10</f>
        <v>24</v>
      </c>
      <c r="E12" s="19">
        <f>E11-E10</f>
        <v>22</v>
      </c>
      <c r="F12" s="19">
        <f>F11-F10</f>
        <v>21</v>
      </c>
      <c r="G12" s="19">
        <f>G11-G10</f>
        <v>18</v>
      </c>
      <c r="H12" s="19">
        <f>H11-H10</f>
        <v>17</v>
      </c>
      <c r="I12" s="19">
        <f>I11-I10</f>
        <v>15</v>
      </c>
      <c r="J12" s="19">
        <f>J11-J10</f>
        <v>14</v>
      </c>
      <c r="K12" s="19">
        <f>K11-K10</f>
        <v>13</v>
      </c>
      <c r="L12" s="19">
        <f>L11-L10</f>
        <v>12</v>
      </c>
      <c r="M12" s="19">
        <f>M11-M10</f>
        <v>11</v>
      </c>
      <c r="N12" s="19"/>
    </row>
    <row r="13" spans="1:14" x14ac:dyDescent="0.25">
      <c r="A13" s="7" t="s">
        <v>208</v>
      </c>
      <c r="D13" s="10">
        <v>19</v>
      </c>
      <c r="E13" s="10">
        <v>18</v>
      </c>
      <c r="F13" s="10">
        <v>16</v>
      </c>
      <c r="G13" s="10">
        <v>15</v>
      </c>
      <c r="H13" s="10">
        <v>14</v>
      </c>
      <c r="I13" s="10">
        <v>13</v>
      </c>
      <c r="J13" s="10">
        <v>12</v>
      </c>
      <c r="K13" s="10">
        <v>11</v>
      </c>
      <c r="L13" s="10">
        <v>10</v>
      </c>
      <c r="M13" s="10">
        <v>10</v>
      </c>
      <c r="N13" s="10">
        <v>9</v>
      </c>
    </row>
    <row r="14" spans="1:14" x14ac:dyDescent="0.25">
      <c r="A14" s="7" t="s">
        <v>283</v>
      </c>
      <c r="D14" s="10">
        <v>20</v>
      </c>
      <c r="E14" s="10">
        <v>18</v>
      </c>
      <c r="F14" s="10">
        <v>17</v>
      </c>
      <c r="G14" s="10">
        <v>16</v>
      </c>
      <c r="H14" s="10">
        <v>15</v>
      </c>
      <c r="I14" s="10">
        <v>14</v>
      </c>
      <c r="J14" s="10">
        <v>13</v>
      </c>
      <c r="K14" s="10">
        <v>12</v>
      </c>
      <c r="L14" s="10">
        <v>11</v>
      </c>
      <c r="M14" s="10">
        <v>10</v>
      </c>
      <c r="N14" s="10">
        <v>9</v>
      </c>
    </row>
    <row r="15" spans="1:14" x14ac:dyDescent="0.25">
      <c r="A15" s="7"/>
      <c r="C15">
        <f>C10*C13</f>
        <v>0</v>
      </c>
      <c r="D15" s="10">
        <f>D10*D13</f>
        <v>-38</v>
      </c>
      <c r="E15" s="10">
        <f>E10*E13</f>
        <v>-36</v>
      </c>
      <c r="F15" s="10">
        <f>F10*F13</f>
        <v>-32</v>
      </c>
      <c r="G15" s="10">
        <f>G10*G13</f>
        <v>-30</v>
      </c>
      <c r="H15" s="10">
        <f>H10*H13</f>
        <v>-28</v>
      </c>
      <c r="I15" s="10">
        <f>I10*I13</f>
        <v>-13</v>
      </c>
      <c r="J15" s="10">
        <f>J10*J13</f>
        <v>-12</v>
      </c>
      <c r="K15" s="10">
        <f>K10*K13</f>
        <v>-11</v>
      </c>
      <c r="L15" s="10">
        <f>L10*L13</f>
        <v>-10</v>
      </c>
      <c r="M15" s="10">
        <f>M10*M13</f>
        <v>-10</v>
      </c>
      <c r="N15" s="10"/>
    </row>
    <row r="16" spans="1:14" x14ac:dyDescent="0.25">
      <c r="A16" s="7"/>
      <c r="C16">
        <f>C15-C14</f>
        <v>0</v>
      </c>
      <c r="D16" s="10">
        <f>D15-D14</f>
        <v>-58</v>
      </c>
      <c r="E16" s="10">
        <f>E15-E14</f>
        <v>-54</v>
      </c>
      <c r="F16" s="10">
        <f>F15-F14</f>
        <v>-49</v>
      </c>
      <c r="G16" s="10">
        <f>G15-G14</f>
        <v>-46</v>
      </c>
      <c r="H16" s="10">
        <f>H15-H14</f>
        <v>-43</v>
      </c>
      <c r="I16" s="10">
        <f>I15-I14</f>
        <v>-27</v>
      </c>
      <c r="J16" s="10">
        <f>J15-J14</f>
        <v>-25</v>
      </c>
      <c r="K16" s="10">
        <f>K15-K14</f>
        <v>-23</v>
      </c>
      <c r="L16" s="10">
        <f>L15-L14</f>
        <v>-21</v>
      </c>
      <c r="M16" s="10">
        <f>M15-M14</f>
        <v>-20</v>
      </c>
      <c r="N16" s="10"/>
    </row>
    <row r="17" spans="1:14" x14ac:dyDescent="0.25">
      <c r="A17" s="7" t="s">
        <v>284</v>
      </c>
      <c r="D17" s="7" t="s">
        <v>90</v>
      </c>
      <c r="E17" s="7" t="s">
        <v>90</v>
      </c>
      <c r="F17" s="7" t="s">
        <v>90</v>
      </c>
      <c r="G17" s="7" t="s">
        <v>90</v>
      </c>
      <c r="H17" s="7" t="s">
        <v>90</v>
      </c>
      <c r="I17" s="7" t="s">
        <v>90</v>
      </c>
      <c r="J17" s="7" t="s">
        <v>90</v>
      </c>
      <c r="K17" s="7" t="s">
        <v>90</v>
      </c>
      <c r="L17" s="7" t="s">
        <v>90</v>
      </c>
      <c r="M17" s="7" t="s">
        <v>90</v>
      </c>
      <c r="N17" s="7" t="s">
        <v>90</v>
      </c>
    </row>
    <row r="18" spans="1:14" x14ac:dyDescent="0.25">
      <c r="A18" s="7" t="s">
        <v>297</v>
      </c>
      <c r="D18" s="10">
        <v>20</v>
      </c>
      <c r="E18" s="10">
        <v>18</v>
      </c>
      <c r="F18" s="10">
        <v>17</v>
      </c>
      <c r="G18" s="10">
        <v>16</v>
      </c>
      <c r="H18" s="10">
        <v>15</v>
      </c>
      <c r="I18" s="10">
        <v>14</v>
      </c>
      <c r="J18" s="10">
        <v>13</v>
      </c>
      <c r="K18" s="10">
        <v>12</v>
      </c>
      <c r="L18" s="10">
        <v>11</v>
      </c>
      <c r="M18" s="10">
        <v>10</v>
      </c>
      <c r="N18" s="10">
        <v>9</v>
      </c>
    </row>
    <row r="19" spans="1:14" x14ac:dyDescent="0.25">
      <c r="A19" s="6" t="s">
        <v>106</v>
      </c>
      <c r="D19" s="13">
        <v>6</v>
      </c>
      <c r="E19" s="13">
        <v>6</v>
      </c>
      <c r="F19" s="13">
        <v>6</v>
      </c>
      <c r="G19" s="13">
        <v>5</v>
      </c>
      <c r="H19" s="13">
        <v>5</v>
      </c>
      <c r="I19" s="13">
        <v>4</v>
      </c>
      <c r="J19" s="13">
        <v>4</v>
      </c>
      <c r="K19" s="13">
        <v>4</v>
      </c>
      <c r="L19" s="13">
        <v>4</v>
      </c>
      <c r="M19" s="13">
        <v>3</v>
      </c>
      <c r="N19" s="13">
        <v>3</v>
      </c>
    </row>
    <row r="20" spans="1:14" x14ac:dyDescent="0.25">
      <c r="A20" s="7" t="s">
        <v>107</v>
      </c>
      <c r="D20" s="19">
        <v>-1</v>
      </c>
      <c r="E20" s="19">
        <v>-1</v>
      </c>
      <c r="F20" s="19">
        <v>-1</v>
      </c>
      <c r="G20" s="19">
        <v>-1</v>
      </c>
      <c r="H20" s="19">
        <v>-1</v>
      </c>
      <c r="I20" s="19">
        <v>-1</v>
      </c>
      <c r="J20" s="19">
        <v>-1</v>
      </c>
      <c r="K20" s="19">
        <v>-1</v>
      </c>
      <c r="L20" s="19">
        <v>-1</v>
      </c>
      <c r="M20" s="19">
        <v>0</v>
      </c>
      <c r="N20" s="19">
        <v>0</v>
      </c>
    </row>
    <row r="21" spans="1:14" x14ac:dyDescent="0.25">
      <c r="A21" s="7"/>
      <c r="C21">
        <f>SUM(C18,C19)</f>
        <v>0</v>
      </c>
      <c r="D21" s="19">
        <f>SUM(D18,D19)</f>
        <v>26</v>
      </c>
      <c r="E21" s="19">
        <f>SUM(E18,E19)</f>
        <v>24</v>
      </c>
      <c r="F21" s="19">
        <f>SUM(F18,F19)</f>
        <v>23</v>
      </c>
      <c r="G21" s="19">
        <f>SUM(G18,G19)</f>
        <v>21</v>
      </c>
      <c r="H21" s="19">
        <f>SUM(H18,H19)</f>
        <v>20</v>
      </c>
      <c r="I21" s="19">
        <f>SUM(I18,I19)</f>
        <v>18</v>
      </c>
      <c r="J21" s="19">
        <f>SUM(J18,J19)</f>
        <v>17</v>
      </c>
      <c r="K21" s="19">
        <f>SUM(K18,K19)</f>
        <v>16</v>
      </c>
      <c r="L21" s="19">
        <f>SUM(L18,L19)</f>
        <v>15</v>
      </c>
      <c r="M21" s="19">
        <f>SUM(M18,M19)</f>
        <v>13</v>
      </c>
      <c r="N21" s="19"/>
    </row>
    <row r="22" spans="1:14" x14ac:dyDescent="0.25">
      <c r="A22" s="7"/>
      <c r="C22">
        <f>C21-C20</f>
        <v>0</v>
      </c>
      <c r="D22" s="19">
        <f>D21-D20</f>
        <v>27</v>
      </c>
      <c r="E22" s="19">
        <f>E21-E20</f>
        <v>25</v>
      </c>
      <c r="F22" s="19">
        <f>F21-F20</f>
        <v>24</v>
      </c>
      <c r="G22" s="19">
        <f>G21-G20</f>
        <v>22</v>
      </c>
      <c r="H22" s="19">
        <f>H21-H20</f>
        <v>21</v>
      </c>
      <c r="I22" s="19">
        <f>I21-I20</f>
        <v>19</v>
      </c>
      <c r="J22" s="19">
        <f>J21-J20</f>
        <v>18</v>
      </c>
      <c r="K22" s="19">
        <f>K21-K20</f>
        <v>17</v>
      </c>
      <c r="L22" s="19">
        <f>L21-L20</f>
        <v>16</v>
      </c>
      <c r="M22" s="19">
        <f>M21-M20</f>
        <v>13</v>
      </c>
      <c r="N22" s="19"/>
    </row>
    <row r="23" spans="1:14" x14ac:dyDescent="0.25">
      <c r="A23" s="6" t="s">
        <v>211</v>
      </c>
      <c r="D23" s="13">
        <v>5</v>
      </c>
      <c r="E23" s="13">
        <v>5</v>
      </c>
      <c r="F23" s="13">
        <v>5</v>
      </c>
      <c r="G23" s="13">
        <v>4</v>
      </c>
      <c r="H23" s="13">
        <v>4</v>
      </c>
      <c r="I23" s="13">
        <v>4</v>
      </c>
      <c r="J23" s="13">
        <v>3</v>
      </c>
      <c r="K23" s="13">
        <v>3</v>
      </c>
      <c r="L23" s="13">
        <v>3</v>
      </c>
      <c r="M23" s="13">
        <v>3</v>
      </c>
      <c r="N23" s="13">
        <v>3</v>
      </c>
    </row>
    <row r="24" spans="1:14" x14ac:dyDescent="0.25">
      <c r="A24" s="6"/>
      <c r="C24">
        <f>C10*B23</f>
        <v>0</v>
      </c>
      <c r="D24" s="13">
        <f>D10*B23</f>
        <v>0</v>
      </c>
      <c r="E24" s="13">
        <f>E10*B23</f>
        <v>0</v>
      </c>
      <c r="F24" s="13">
        <f>F10*B23</f>
        <v>0</v>
      </c>
      <c r="G24" s="13">
        <f>G10*B23</f>
        <v>0</v>
      </c>
      <c r="H24" s="13">
        <f>H10*B23</f>
        <v>0</v>
      </c>
      <c r="I24" s="13">
        <f>I10*B23</f>
        <v>0</v>
      </c>
      <c r="J24" s="13">
        <f>J10*B23</f>
        <v>0</v>
      </c>
      <c r="K24" s="13">
        <f>K10*B23</f>
        <v>0</v>
      </c>
      <c r="L24" s="13">
        <f>L10*B23</f>
        <v>0</v>
      </c>
      <c r="M24" s="13">
        <f>M10*B23</f>
        <v>0</v>
      </c>
      <c r="N24" s="13"/>
    </row>
    <row r="25" spans="1:14" x14ac:dyDescent="0.25">
      <c r="A25" s="6"/>
      <c r="C25">
        <f>C24-C23</f>
        <v>0</v>
      </c>
      <c r="D25" s="13">
        <f>D24-D23</f>
        <v>-5</v>
      </c>
      <c r="E25" s="13">
        <f>E24-E23</f>
        <v>-5</v>
      </c>
      <c r="F25" s="13">
        <f>F24-F23</f>
        <v>-5</v>
      </c>
      <c r="G25" s="13">
        <f>G24-G23</f>
        <v>-4</v>
      </c>
      <c r="H25" s="13">
        <f>H24-H23</f>
        <v>-4</v>
      </c>
      <c r="I25" s="13">
        <f>I24-I23</f>
        <v>-4</v>
      </c>
      <c r="J25" s="13">
        <f>J24-J23</f>
        <v>-3</v>
      </c>
      <c r="K25" s="13">
        <f>K24-K23</f>
        <v>-3</v>
      </c>
      <c r="L25" s="13">
        <f>L24-L23</f>
        <v>-3</v>
      </c>
      <c r="M25" s="13">
        <f>M24-M23</f>
        <v>-3</v>
      </c>
      <c r="N25" s="13"/>
    </row>
    <row r="26" spans="1:14" x14ac:dyDescent="0.25">
      <c r="A26" s="7" t="s">
        <v>210</v>
      </c>
      <c r="C26" s="20">
        <v>1.4999999999999999E-2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</row>
    <row r="27" spans="1:14" x14ac:dyDescent="0.25">
      <c r="A27" s="7"/>
      <c r="C27" s="20">
        <f>SUM(C20,C23)</f>
        <v>0</v>
      </c>
      <c r="D27" s="19">
        <f>SUM(D20,D23)</f>
        <v>4</v>
      </c>
      <c r="E27" s="19">
        <f>SUM(E20,E23)</f>
        <v>4</v>
      </c>
      <c r="F27" s="19">
        <f>SUM(F20,F23)</f>
        <v>4</v>
      </c>
      <c r="G27" s="19">
        <f>SUM(G20,G23)</f>
        <v>3</v>
      </c>
      <c r="H27" s="19">
        <f>SUM(H20,H23)</f>
        <v>3</v>
      </c>
      <c r="I27" s="19">
        <f>SUM(I20,I23)</f>
        <v>3</v>
      </c>
      <c r="J27" s="19">
        <f>SUM(J20,J23)</f>
        <v>2</v>
      </c>
      <c r="K27" s="19">
        <f>SUM(K20,K23)</f>
        <v>2</v>
      </c>
      <c r="L27" s="19">
        <f>SUM(L20,L23)</f>
        <v>2</v>
      </c>
      <c r="M27" s="19">
        <f>SUM(M20,M23)</f>
        <v>3</v>
      </c>
      <c r="N27" s="19"/>
    </row>
    <row r="28" spans="1:14" x14ac:dyDescent="0.25">
      <c r="A28" s="7"/>
      <c r="C28" s="20">
        <f>C27-C26</f>
        <v>-1.4999999999999999E-2</v>
      </c>
      <c r="D28" s="19">
        <f>D27-D26</f>
        <v>4</v>
      </c>
      <c r="E28" s="19">
        <f>E27-E26</f>
        <v>4</v>
      </c>
      <c r="F28" s="19">
        <f>F27-F26</f>
        <v>4</v>
      </c>
      <c r="G28" s="19">
        <f>G27-G26</f>
        <v>3</v>
      </c>
      <c r="H28" s="19">
        <f>H27-H26</f>
        <v>3</v>
      </c>
      <c r="I28" s="19">
        <f>I27-I26</f>
        <v>3</v>
      </c>
      <c r="J28" s="19">
        <f>J27-J26</f>
        <v>2</v>
      </c>
      <c r="K28" s="19">
        <f>K27-K26</f>
        <v>2</v>
      </c>
      <c r="L28" s="19">
        <f>L27-L26</f>
        <v>2</v>
      </c>
      <c r="M28" s="19">
        <f>M27-M26</f>
        <v>3</v>
      </c>
      <c r="N28" s="19"/>
    </row>
    <row r="29" spans="1:14" x14ac:dyDescent="0.25">
      <c r="A29" s="6" t="s">
        <v>108</v>
      </c>
      <c r="D29" s="13">
        <v>5</v>
      </c>
      <c r="E29" s="13">
        <v>5</v>
      </c>
      <c r="F29" s="13">
        <v>4</v>
      </c>
      <c r="G29" s="13">
        <v>4</v>
      </c>
      <c r="H29" s="13">
        <v>4</v>
      </c>
      <c r="I29" s="13">
        <v>4</v>
      </c>
      <c r="J29" s="13">
        <v>3</v>
      </c>
      <c r="K29" s="13">
        <v>3</v>
      </c>
      <c r="L29" s="13">
        <v>3</v>
      </c>
      <c r="M29" s="13">
        <v>3</v>
      </c>
      <c r="N29" s="13">
        <v>2</v>
      </c>
    </row>
    <row r="30" spans="1:14" x14ac:dyDescent="0.25">
      <c r="A30" s="6"/>
      <c r="C30">
        <f>C26*B29</f>
        <v>0</v>
      </c>
      <c r="D30" s="13">
        <f>D26*B29</f>
        <v>0</v>
      </c>
      <c r="E30" s="13">
        <f>E26*B29</f>
        <v>0</v>
      </c>
      <c r="F30" s="13">
        <f>F26*B29</f>
        <v>0</v>
      </c>
      <c r="G30" s="13">
        <f>G26*B29</f>
        <v>0</v>
      </c>
      <c r="H30" s="13">
        <f>H26*B29</f>
        <v>0</v>
      </c>
      <c r="I30" s="13">
        <f>I26*B29</f>
        <v>0</v>
      </c>
      <c r="J30" s="13">
        <f>J26*B29</f>
        <v>0</v>
      </c>
      <c r="K30" s="13">
        <f>K26*B29</f>
        <v>0</v>
      </c>
      <c r="L30" s="13">
        <f>L26*B29</f>
        <v>0</v>
      </c>
      <c r="M30" s="13">
        <f>M26*B29</f>
        <v>0</v>
      </c>
      <c r="N30" s="13"/>
    </row>
    <row r="31" spans="1:14" x14ac:dyDescent="0.25">
      <c r="A31" s="6"/>
      <c r="C31">
        <f>C30-C29</f>
        <v>0</v>
      </c>
      <c r="D31" s="13">
        <f>D30-D29</f>
        <v>-5</v>
      </c>
      <c r="E31" s="13">
        <f>E30-E29</f>
        <v>-5</v>
      </c>
      <c r="F31" s="13">
        <f>F30-F29</f>
        <v>-4</v>
      </c>
      <c r="G31" s="13">
        <f>G30-G29</f>
        <v>-4</v>
      </c>
      <c r="H31" s="13">
        <f>H30-H29</f>
        <v>-4</v>
      </c>
      <c r="I31" s="13">
        <f>I30-I29</f>
        <v>-4</v>
      </c>
      <c r="J31" s="13">
        <f>J30-J29</f>
        <v>-3</v>
      </c>
      <c r="K31" s="13">
        <f>K30-K29</f>
        <v>-3</v>
      </c>
      <c r="L31" s="13">
        <f>L30-L29</f>
        <v>-3</v>
      </c>
      <c r="M31" s="13">
        <f>M30-M29</f>
        <v>-3</v>
      </c>
      <c r="N31" s="13"/>
    </row>
    <row r="32" spans="1:14" x14ac:dyDescent="0.25">
      <c r="A32" s="7" t="s">
        <v>212</v>
      </c>
      <c r="C32" s="20">
        <v>0.218</v>
      </c>
      <c r="D32" s="19">
        <v>-1</v>
      </c>
      <c r="E32" s="19">
        <v>-1</v>
      </c>
      <c r="F32" s="19">
        <v>-1</v>
      </c>
      <c r="G32" s="19">
        <v>-1</v>
      </c>
      <c r="H32" s="19">
        <v>-1</v>
      </c>
      <c r="I32" s="19">
        <v>-1</v>
      </c>
      <c r="J32" s="19">
        <v>-1</v>
      </c>
      <c r="K32" s="19">
        <v>-1</v>
      </c>
      <c r="L32" s="19">
        <v>-1</v>
      </c>
      <c r="M32" s="19">
        <v>-1</v>
      </c>
      <c r="N32" s="19">
        <v>-1</v>
      </c>
    </row>
    <row r="33" spans="1:14" x14ac:dyDescent="0.25">
      <c r="A33" s="7"/>
      <c r="C33" s="20">
        <f>SUM(C26,C29)</f>
        <v>1.4999999999999999E-2</v>
      </c>
      <c r="D33" s="19">
        <f>SUM(D26,D29)</f>
        <v>5</v>
      </c>
      <c r="E33" s="19">
        <f>SUM(E26,E29)</f>
        <v>5</v>
      </c>
      <c r="F33" s="19">
        <f>SUM(F26,F29)</f>
        <v>4</v>
      </c>
      <c r="G33" s="19">
        <f>SUM(G26,G29)</f>
        <v>4</v>
      </c>
      <c r="H33" s="19">
        <f>SUM(H26,H29)</f>
        <v>4</v>
      </c>
      <c r="I33" s="19">
        <f>SUM(I26,I29)</f>
        <v>4</v>
      </c>
      <c r="J33" s="19">
        <f>SUM(J26,J29)</f>
        <v>3</v>
      </c>
      <c r="K33" s="19">
        <f>SUM(K26,K29)</f>
        <v>3</v>
      </c>
      <c r="L33" s="19">
        <f>SUM(L26,L29)</f>
        <v>3</v>
      </c>
      <c r="M33" s="19">
        <f>SUM(M26,M29)</f>
        <v>3</v>
      </c>
      <c r="N33" s="19"/>
    </row>
    <row r="34" spans="1:14" x14ac:dyDescent="0.25">
      <c r="A34" s="7"/>
      <c r="C34" s="20">
        <f>C33-C32</f>
        <v>-0.20300000000000001</v>
      </c>
      <c r="D34" s="19">
        <f>D33-D32</f>
        <v>6</v>
      </c>
      <c r="E34" s="19">
        <f>E33-E32</f>
        <v>6</v>
      </c>
      <c r="F34" s="19">
        <f>F33-F32</f>
        <v>5</v>
      </c>
      <c r="G34" s="19">
        <f>G33-G32</f>
        <v>5</v>
      </c>
      <c r="H34" s="19">
        <f>H33-H32</f>
        <v>5</v>
      </c>
      <c r="I34" s="19">
        <f>I33-I32</f>
        <v>5</v>
      </c>
      <c r="J34" s="19">
        <f>J33-J32</f>
        <v>4</v>
      </c>
      <c r="K34" s="19">
        <f>K33-K32</f>
        <v>4</v>
      </c>
      <c r="L34" s="19">
        <f>L33-L32</f>
        <v>4</v>
      </c>
      <c r="M34" s="19">
        <f>M33-M32</f>
        <v>4</v>
      </c>
      <c r="N34" s="19"/>
    </row>
    <row r="35" spans="1:14" x14ac:dyDescent="0.25">
      <c r="A35" s="6" t="s">
        <v>213</v>
      </c>
      <c r="D35" s="13">
        <v>4</v>
      </c>
      <c r="E35" s="13">
        <v>4</v>
      </c>
      <c r="F35" s="13">
        <v>3</v>
      </c>
      <c r="G35" s="13">
        <v>3</v>
      </c>
      <c r="H35" s="13">
        <v>3</v>
      </c>
      <c r="I35" s="13">
        <v>3</v>
      </c>
      <c r="J35" s="13">
        <v>3</v>
      </c>
      <c r="K35" s="13">
        <v>2</v>
      </c>
      <c r="L35" s="13">
        <v>2</v>
      </c>
      <c r="M35" s="13">
        <v>2</v>
      </c>
      <c r="N35" s="13">
        <v>2</v>
      </c>
    </row>
    <row r="36" spans="1:14" x14ac:dyDescent="0.25">
      <c r="A36" s="7" t="s">
        <v>214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x14ac:dyDescent="0.25">
      <c r="A37" s="7"/>
      <c r="C37" s="57">
        <f>SUM(C32,C35)</f>
        <v>0.218</v>
      </c>
      <c r="D37" s="10">
        <f>SUM(D32,D35)</f>
        <v>3</v>
      </c>
      <c r="E37" s="10">
        <f>SUM(E32,E35)</f>
        <v>3</v>
      </c>
      <c r="F37" s="10">
        <f>SUM(F32,F35)</f>
        <v>2</v>
      </c>
      <c r="G37" s="10">
        <f>SUM(G32,G35)</f>
        <v>2</v>
      </c>
      <c r="H37" s="10">
        <f>SUM(H32,H35)</f>
        <v>2</v>
      </c>
      <c r="I37" s="10">
        <f>SUM(I32,I35)</f>
        <v>2</v>
      </c>
      <c r="J37" s="10">
        <f>SUM(J32,J35)</f>
        <v>2</v>
      </c>
      <c r="K37" s="10">
        <f>SUM(K32,K35)</f>
        <v>1</v>
      </c>
      <c r="L37" s="10">
        <f>SUM(L32,L35)</f>
        <v>1</v>
      </c>
      <c r="M37" s="10">
        <f>SUM(M32,M35)</f>
        <v>1</v>
      </c>
      <c r="N37" s="10"/>
    </row>
    <row r="38" spans="1:14" x14ac:dyDescent="0.25">
      <c r="A38" s="7"/>
      <c r="C38" s="57">
        <f>C37-C36</f>
        <v>0.218</v>
      </c>
      <c r="D38" s="10">
        <f>D37-D36</f>
        <v>3</v>
      </c>
      <c r="E38" s="10">
        <f>E37-E36</f>
        <v>3</v>
      </c>
      <c r="F38" s="10">
        <f>F37-F36</f>
        <v>2</v>
      </c>
      <c r="G38" s="10">
        <f>G37-G36</f>
        <v>2</v>
      </c>
      <c r="H38" s="10">
        <f>H37-H36</f>
        <v>2</v>
      </c>
      <c r="I38" s="10">
        <f>I37-I36</f>
        <v>2</v>
      </c>
      <c r="J38" s="10">
        <f>J37-J36</f>
        <v>2</v>
      </c>
      <c r="K38" s="10">
        <f>K37-K36</f>
        <v>1</v>
      </c>
      <c r="L38" s="10">
        <f>L37-L36</f>
        <v>1</v>
      </c>
      <c r="M38" s="10">
        <f>M37-M36</f>
        <v>1</v>
      </c>
      <c r="N38" s="10"/>
    </row>
    <row r="39" spans="1:14" x14ac:dyDescent="0.25">
      <c r="A39" s="6" t="s">
        <v>215</v>
      </c>
      <c r="D39" s="13">
        <v>4</v>
      </c>
      <c r="E39" s="13">
        <v>4</v>
      </c>
      <c r="F39" s="13">
        <v>4</v>
      </c>
      <c r="G39" s="13">
        <v>3</v>
      </c>
      <c r="H39" s="13">
        <v>3</v>
      </c>
      <c r="I39" s="13">
        <v>3</v>
      </c>
      <c r="J39" s="13">
        <v>3</v>
      </c>
      <c r="K39" s="13">
        <v>2</v>
      </c>
      <c r="L39" s="13">
        <v>2</v>
      </c>
      <c r="M39" s="13">
        <v>2</v>
      </c>
      <c r="N39" s="13">
        <v>2</v>
      </c>
    </row>
    <row r="40" spans="1:14" x14ac:dyDescent="0.25">
      <c r="A40" s="7" t="s">
        <v>115</v>
      </c>
      <c r="C40" s="20">
        <v>0.11</v>
      </c>
      <c r="D40" s="23">
        <v>0.32590000000000002</v>
      </c>
      <c r="E40" s="23">
        <v>0.29360000000000003</v>
      </c>
      <c r="F40" s="23">
        <v>0.26450000000000001</v>
      </c>
      <c r="G40" s="23">
        <v>0.23830000000000001</v>
      </c>
      <c r="H40" s="23">
        <v>0.2147</v>
      </c>
      <c r="I40" s="23">
        <v>0.19339999999999999</v>
      </c>
      <c r="J40" s="23">
        <v>0.17419999999999999</v>
      </c>
      <c r="K40" s="24">
        <v>0.157</v>
      </c>
      <c r="L40" s="23">
        <v>0.1414</v>
      </c>
      <c r="M40" s="23">
        <v>0.12740000000000001</v>
      </c>
      <c r="N40" s="23">
        <v>0.1148</v>
      </c>
    </row>
    <row r="41" spans="1:14" x14ac:dyDescent="0.25">
      <c r="A41" s="7"/>
      <c r="C41" s="20">
        <f>C36*C39</f>
        <v>0</v>
      </c>
      <c r="D41" s="23">
        <f>D36*D39</f>
        <v>0</v>
      </c>
      <c r="E41" s="23">
        <f>E36*E39</f>
        <v>0</v>
      </c>
      <c r="F41" s="23">
        <f>F36*F39</f>
        <v>0</v>
      </c>
      <c r="G41" s="23">
        <f>G36*G39</f>
        <v>0</v>
      </c>
      <c r="H41" s="23">
        <f>H36*H39</f>
        <v>0</v>
      </c>
      <c r="I41" s="23">
        <f>I36*I39</f>
        <v>0</v>
      </c>
      <c r="J41" s="23">
        <f>J36*J39</f>
        <v>0</v>
      </c>
      <c r="K41" s="24">
        <f>K36*K39</f>
        <v>0</v>
      </c>
      <c r="L41" s="23">
        <f>L36*L39</f>
        <v>0</v>
      </c>
      <c r="M41" s="23">
        <f>M36*M39</f>
        <v>0</v>
      </c>
      <c r="N41" s="23"/>
    </row>
    <row r="42" spans="1:14" x14ac:dyDescent="0.25">
      <c r="A42" s="7"/>
      <c r="C42" s="20">
        <f>C41-C40</f>
        <v>-0.11</v>
      </c>
      <c r="D42" s="23">
        <f>D41-D40</f>
        <v>-0.32590000000000002</v>
      </c>
      <c r="E42" s="23">
        <f>E41-E40</f>
        <v>-0.29360000000000003</v>
      </c>
      <c r="F42" s="23">
        <f>F41-F40</f>
        <v>-0.26450000000000001</v>
      </c>
      <c r="G42" s="23">
        <f>G41-G40</f>
        <v>-0.23830000000000001</v>
      </c>
      <c r="H42" s="23">
        <f>H41-H40</f>
        <v>-0.2147</v>
      </c>
      <c r="I42" s="23">
        <f>I41-I40</f>
        <v>-0.19339999999999999</v>
      </c>
      <c r="J42" s="23">
        <f>J41-J40</f>
        <v>-0.17419999999999999</v>
      </c>
      <c r="K42" s="24">
        <f>K41-K40</f>
        <v>-0.157</v>
      </c>
      <c r="L42" s="23">
        <f>L41-L40</f>
        <v>-0.1414</v>
      </c>
      <c r="M42" s="23">
        <f>M41-M40</f>
        <v>-0.12740000000000001</v>
      </c>
      <c r="N42" s="23"/>
    </row>
    <row r="43" spans="1:14" x14ac:dyDescent="0.25">
      <c r="A43" s="6" t="s">
        <v>116</v>
      </c>
      <c r="D43" s="13">
        <v>1</v>
      </c>
      <c r="E43" s="13">
        <v>1</v>
      </c>
      <c r="F43" s="13">
        <v>1</v>
      </c>
      <c r="G43" s="13">
        <v>1</v>
      </c>
      <c r="H43" s="13">
        <v>1</v>
      </c>
      <c r="I43" s="13">
        <v>1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</row>
    <row r="44" spans="1:14" x14ac:dyDescent="0.25">
      <c r="A44" s="9" t="s">
        <v>221</v>
      </c>
    </row>
    <row r="45" spans="1:14" x14ac:dyDescent="0.25">
      <c r="A45" s="7" t="s">
        <v>222</v>
      </c>
      <c r="D45" s="20">
        <v>0.03</v>
      </c>
      <c r="E45" s="20">
        <v>0.03</v>
      </c>
      <c r="F45" s="20">
        <v>0.03</v>
      </c>
      <c r="G45" s="20">
        <v>0.03</v>
      </c>
      <c r="H45" s="20">
        <v>0.03</v>
      </c>
      <c r="I45" s="20">
        <v>0.03</v>
      </c>
      <c r="J45" s="20">
        <v>0.03</v>
      </c>
      <c r="K45" s="20">
        <v>0.03</v>
      </c>
      <c r="L45" s="20">
        <v>0.03</v>
      </c>
      <c r="M45" s="20">
        <v>0.03</v>
      </c>
      <c r="N45" s="20">
        <v>0.03</v>
      </c>
    </row>
    <row r="46" spans="1:14" x14ac:dyDescent="0.25">
      <c r="A46" s="7" t="s">
        <v>289</v>
      </c>
      <c r="D46" s="20">
        <v>5.0999999999999997E-2</v>
      </c>
      <c r="E46" s="20">
        <v>5.0999999999999997E-2</v>
      </c>
      <c r="F46" s="20">
        <v>5.0999999999999997E-2</v>
      </c>
      <c r="G46" s="20">
        <v>5.0999999999999997E-2</v>
      </c>
      <c r="H46" s="20">
        <v>5.0999999999999997E-2</v>
      </c>
      <c r="I46" s="20">
        <v>5.0999999999999997E-2</v>
      </c>
      <c r="J46" s="20">
        <v>5.0999999999999997E-2</v>
      </c>
      <c r="K46" s="20">
        <v>5.0999999999999997E-2</v>
      </c>
      <c r="L46" s="20">
        <v>5.0999999999999997E-2</v>
      </c>
      <c r="M46" s="20">
        <v>5.0999999999999997E-2</v>
      </c>
      <c r="N46" s="20">
        <v>5.0999999999999997E-2</v>
      </c>
    </row>
    <row r="47" spans="1:14" x14ac:dyDescent="0.25">
      <c r="A47" s="7" t="s">
        <v>224</v>
      </c>
      <c r="D47" s="20">
        <v>0.32600000000000001</v>
      </c>
      <c r="E47" s="20">
        <v>0.32600000000000001</v>
      </c>
      <c r="F47" s="20">
        <v>0.32600000000000001</v>
      </c>
      <c r="G47" s="20">
        <v>0.32600000000000001</v>
      </c>
      <c r="H47" s="20">
        <v>0.32600000000000001</v>
      </c>
      <c r="I47" s="20">
        <v>0.32600000000000001</v>
      </c>
      <c r="J47" s="20">
        <v>0.32600000000000001</v>
      </c>
      <c r="K47" s="20">
        <v>0.32600000000000001</v>
      </c>
      <c r="L47" s="20">
        <v>0.32600000000000001</v>
      </c>
      <c r="M47" s="20">
        <v>0.32600000000000001</v>
      </c>
      <c r="N47" s="20">
        <v>0.32600000000000001</v>
      </c>
    </row>
    <row r="48" spans="1:14" x14ac:dyDescent="0.25">
      <c r="A48" s="7" t="s">
        <v>107</v>
      </c>
      <c r="D48" s="20">
        <v>4.9000000000000002E-2</v>
      </c>
      <c r="E48" s="20">
        <v>4.9000000000000002E-2</v>
      </c>
      <c r="F48" s="20">
        <v>4.9000000000000002E-2</v>
      </c>
      <c r="G48" s="20">
        <v>4.9000000000000002E-2</v>
      </c>
      <c r="H48" s="20">
        <v>4.9000000000000002E-2</v>
      </c>
      <c r="I48" s="20">
        <v>4.9000000000000002E-2</v>
      </c>
      <c r="J48" s="20">
        <v>4.9000000000000002E-2</v>
      </c>
      <c r="K48" s="20">
        <v>4.9000000000000002E-2</v>
      </c>
      <c r="L48" s="20">
        <v>4.9000000000000002E-2</v>
      </c>
      <c r="M48" s="20">
        <v>4.9000000000000002E-2</v>
      </c>
      <c r="N48" s="20">
        <v>4.9000000000000002E-2</v>
      </c>
    </row>
    <row r="49" spans="1:14" x14ac:dyDescent="0.25">
      <c r="A49" s="7" t="s">
        <v>225</v>
      </c>
      <c r="D49" s="20">
        <v>0.27700000000000002</v>
      </c>
      <c r="E49" s="20">
        <v>0.27700000000000002</v>
      </c>
      <c r="F49" s="20">
        <v>0.27700000000000002</v>
      </c>
      <c r="G49" s="20">
        <v>0.27700000000000002</v>
      </c>
      <c r="H49" s="20">
        <v>0.27700000000000002</v>
      </c>
      <c r="I49" s="20">
        <v>0.27700000000000002</v>
      </c>
      <c r="J49" s="20">
        <v>0.27700000000000002</v>
      </c>
      <c r="K49" s="20">
        <v>0.27700000000000002</v>
      </c>
      <c r="L49" s="20">
        <v>0.27700000000000002</v>
      </c>
      <c r="M49" s="20">
        <v>0.27700000000000002</v>
      </c>
      <c r="N49" s="20">
        <v>0.27700000000000002</v>
      </c>
    </row>
    <row r="50" spans="1:14" x14ac:dyDescent="0.25">
      <c r="A50" s="7" t="s">
        <v>240</v>
      </c>
      <c r="D50" s="20">
        <v>-5.0000000000000001E-3</v>
      </c>
      <c r="E50" s="20">
        <v>-5.0000000000000001E-3</v>
      </c>
      <c r="F50" s="20">
        <v>-5.0000000000000001E-3</v>
      </c>
      <c r="G50" s="20">
        <v>-5.0000000000000001E-3</v>
      </c>
      <c r="H50" s="20">
        <v>-5.0000000000000001E-3</v>
      </c>
      <c r="I50" s="20">
        <v>-5.0000000000000001E-3</v>
      </c>
      <c r="J50" s="20">
        <v>-5.0000000000000001E-3</v>
      </c>
      <c r="K50" s="20">
        <v>-5.0000000000000001E-3</v>
      </c>
      <c r="L50" s="20">
        <v>-5.0000000000000001E-3</v>
      </c>
      <c r="M50" s="20">
        <v>-5.0000000000000001E-3</v>
      </c>
      <c r="N50" s="20">
        <v>-5.0000000000000001E-3</v>
      </c>
    </row>
    <row r="51" spans="1:14" x14ac:dyDescent="0.25">
      <c r="A51" s="16" t="s">
        <v>127</v>
      </c>
    </row>
    <row r="52" spans="1:14" x14ac:dyDescent="0.25">
      <c r="A52" s="7" t="s">
        <v>290</v>
      </c>
    </row>
    <row r="53" spans="1:14" x14ac:dyDescent="0.25">
      <c r="A53" s="7"/>
    </row>
    <row r="54" spans="1:14" x14ac:dyDescent="0.25">
      <c r="A54" s="7"/>
    </row>
    <row r="55" spans="1:14" x14ac:dyDescent="0.25">
      <c r="A55" s="7" t="s">
        <v>291</v>
      </c>
    </row>
    <row r="56" spans="1:14" x14ac:dyDescent="0.25">
      <c r="A56" s="7"/>
    </row>
    <row r="57" spans="1:14" x14ac:dyDescent="0.25">
      <c r="A57" s="7"/>
    </row>
    <row r="58" spans="1:14" x14ac:dyDescent="0.25">
      <c r="A58" s="16" t="s">
        <v>61</v>
      </c>
    </row>
    <row r="59" spans="1:14" x14ac:dyDescent="0.25">
      <c r="A59" s="16"/>
    </row>
    <row r="60" spans="1:14" x14ac:dyDescent="0.25">
      <c r="A60" s="16"/>
    </row>
    <row r="61" spans="1:14" x14ac:dyDescent="0.25">
      <c r="A61" s="9" t="s">
        <v>62</v>
      </c>
      <c r="N61" s="32" t="s">
        <v>63</v>
      </c>
    </row>
    <row r="62" spans="1:14" x14ac:dyDescent="0.25">
      <c r="A62" s="9"/>
      <c r="N62" s="32"/>
    </row>
    <row r="63" spans="1:14" x14ac:dyDescent="0.25">
      <c r="A63" s="9"/>
      <c r="N63" s="32"/>
    </row>
    <row r="64" spans="1:14" x14ac:dyDescent="0.25">
      <c r="F64" s="5" t="s">
        <v>6</v>
      </c>
    </row>
    <row r="65" spans="6:6" x14ac:dyDescent="0.25">
      <c r="F65" s="5"/>
    </row>
    <row r="66" spans="6:6" x14ac:dyDescent="0.25">
      <c r="F66" s="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2:M66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M2" s="7" t="s">
        <v>300</v>
      </c>
    </row>
    <row r="3" spans="1:13" x14ac:dyDescent="0.25">
      <c r="A3" s="6" t="s">
        <v>9</v>
      </c>
    </row>
    <row r="4" spans="1:13" x14ac:dyDescent="0.25">
      <c r="A4" s="6" t="s">
        <v>295</v>
      </c>
    </row>
    <row r="5" spans="1:13" x14ac:dyDescent="0.25">
      <c r="A5" s="6" t="s">
        <v>11</v>
      </c>
    </row>
    <row r="6" spans="1:13" x14ac:dyDescent="0.25">
      <c r="F6" s="9" t="s">
        <v>96</v>
      </c>
    </row>
    <row r="7" spans="1:13" x14ac:dyDescent="0.25">
      <c r="A7" s="8" t="s">
        <v>12</v>
      </c>
      <c r="C7" s="9" t="s">
        <v>242</v>
      </c>
      <c r="D7" s="9" t="s">
        <v>243</v>
      </c>
      <c r="E7" s="9" t="s">
        <v>244</v>
      </c>
      <c r="F7" s="9" t="s">
        <v>245</v>
      </c>
      <c r="G7" s="9" t="s">
        <v>246</v>
      </c>
      <c r="H7" s="9" t="s">
        <v>247</v>
      </c>
      <c r="I7" s="9" t="s">
        <v>248</v>
      </c>
      <c r="J7" s="9" t="s">
        <v>249</v>
      </c>
      <c r="K7" s="9" t="s">
        <v>250</v>
      </c>
    </row>
    <row r="8" spans="1:13" x14ac:dyDescent="0.25">
      <c r="A8" s="7" t="s">
        <v>296</v>
      </c>
      <c r="C8" s="10">
        <v>9</v>
      </c>
      <c r="D8" s="10">
        <v>8</v>
      </c>
      <c r="E8" s="10">
        <v>8</v>
      </c>
      <c r="F8" s="10">
        <v>7</v>
      </c>
      <c r="G8" s="10">
        <v>7</v>
      </c>
      <c r="H8" s="10">
        <v>6</v>
      </c>
      <c r="I8" s="10">
        <v>6</v>
      </c>
      <c r="J8" s="10">
        <v>5</v>
      </c>
      <c r="K8" s="10">
        <v>5</v>
      </c>
    </row>
    <row r="9" spans="1:13" x14ac:dyDescent="0.25">
      <c r="A9" s="7" t="s">
        <v>281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</row>
    <row r="10" spans="1:13" x14ac:dyDescent="0.25">
      <c r="A10" s="7" t="s">
        <v>282</v>
      </c>
      <c r="B10" s="20">
        <v>0.1</v>
      </c>
      <c r="C10" s="19">
        <v>-1</v>
      </c>
      <c r="D10" s="19">
        <v>-1</v>
      </c>
      <c r="E10" s="19">
        <v>-1</v>
      </c>
      <c r="F10" s="19">
        <v>-1</v>
      </c>
      <c r="G10" s="19">
        <v>-1</v>
      </c>
      <c r="H10" s="19">
        <v>-1</v>
      </c>
      <c r="I10" s="19">
        <v>-1</v>
      </c>
      <c r="J10" s="19">
        <v>-1</v>
      </c>
      <c r="K10" s="19">
        <v>-1</v>
      </c>
    </row>
    <row r="11" spans="1:13" x14ac:dyDescent="0.25">
      <c r="A11" s="7"/>
      <c r="B11" s="20"/>
      <c r="C11" s="19">
        <f>SUM(C8:C9)</f>
        <v>9</v>
      </c>
      <c r="D11" s="19">
        <f>SUM(D8:D9)</f>
        <v>8</v>
      </c>
      <c r="E11" s="19">
        <f>SUM(E8:E9)</f>
        <v>8</v>
      </c>
      <c r="F11" s="19">
        <f>SUM(F8:F9)</f>
        <v>7</v>
      </c>
      <c r="G11" s="19">
        <f>SUM(G8:G9)</f>
        <v>7</v>
      </c>
      <c r="H11" s="19">
        <f>SUM(H8:H9)</f>
        <v>6</v>
      </c>
      <c r="I11" s="19">
        <f>SUM(I8:I9)</f>
        <v>6</v>
      </c>
      <c r="J11" s="19">
        <f>SUM(J8:J9)</f>
        <v>5</v>
      </c>
      <c r="K11" s="19">
        <f>SUM(K8:K9)</f>
        <v>5</v>
      </c>
      <c r="L11">
        <f>SUM(L8:L9)</f>
        <v>0</v>
      </c>
      <c r="M11">
        <f>SUM(M8:M9)</f>
        <v>0</v>
      </c>
    </row>
    <row r="12" spans="1:13" x14ac:dyDescent="0.25">
      <c r="A12" s="7"/>
      <c r="B12" s="20"/>
      <c r="C12" s="19">
        <f>C11-C10</f>
        <v>10</v>
      </c>
      <c r="D12" s="19">
        <f>D11-D10</f>
        <v>9</v>
      </c>
      <c r="E12" s="19">
        <f>E11-E10</f>
        <v>9</v>
      </c>
      <c r="F12" s="19">
        <f>F11-F10</f>
        <v>8</v>
      </c>
      <c r="G12" s="19">
        <f>G11-G10</f>
        <v>8</v>
      </c>
      <c r="H12" s="19">
        <f>H11-H10</f>
        <v>7</v>
      </c>
      <c r="I12" s="19">
        <f>I11-I10</f>
        <v>7</v>
      </c>
      <c r="J12" s="19">
        <f>J11-J10</f>
        <v>6</v>
      </c>
      <c r="K12" s="19">
        <f>K11-K10</f>
        <v>6</v>
      </c>
      <c r="L12">
        <f>L11-L10</f>
        <v>0</v>
      </c>
      <c r="M12">
        <f>M11-M10</f>
        <v>0</v>
      </c>
    </row>
    <row r="13" spans="1:13" x14ac:dyDescent="0.25">
      <c r="A13" s="7" t="s">
        <v>208</v>
      </c>
      <c r="C13" s="10">
        <v>8</v>
      </c>
      <c r="D13" s="10">
        <v>8</v>
      </c>
      <c r="E13" s="10">
        <v>7</v>
      </c>
      <c r="F13" s="10">
        <v>7</v>
      </c>
      <c r="G13" s="10">
        <v>6</v>
      </c>
      <c r="H13" s="10">
        <v>6</v>
      </c>
      <c r="I13" s="10">
        <v>5</v>
      </c>
      <c r="J13" s="10">
        <v>5</v>
      </c>
      <c r="K13" s="10">
        <v>5</v>
      </c>
    </row>
    <row r="14" spans="1:13" x14ac:dyDescent="0.25">
      <c r="A14" s="7" t="s">
        <v>283</v>
      </c>
      <c r="C14" s="10">
        <v>9</v>
      </c>
      <c r="D14" s="10">
        <v>8</v>
      </c>
      <c r="E14" s="10">
        <v>7</v>
      </c>
      <c r="F14" s="10">
        <v>7</v>
      </c>
      <c r="G14" s="10">
        <v>6</v>
      </c>
      <c r="H14" s="10">
        <v>6</v>
      </c>
      <c r="I14" s="10">
        <v>5</v>
      </c>
      <c r="J14" s="10">
        <v>5</v>
      </c>
      <c r="K14" s="10">
        <v>5</v>
      </c>
    </row>
    <row r="15" spans="1:13" x14ac:dyDescent="0.25">
      <c r="A15" s="7"/>
      <c r="C15" s="10">
        <f>C10*C13</f>
        <v>-8</v>
      </c>
      <c r="D15" s="10">
        <f>D10*D13</f>
        <v>-8</v>
      </c>
      <c r="E15" s="10">
        <f>E10*E13</f>
        <v>-7</v>
      </c>
      <c r="F15" s="10">
        <f>F10*F13</f>
        <v>-7</v>
      </c>
      <c r="G15" s="10">
        <f>G10*G13</f>
        <v>-6</v>
      </c>
      <c r="H15" s="10">
        <f>H10*H13</f>
        <v>-6</v>
      </c>
      <c r="I15" s="10">
        <f>I10*I13</f>
        <v>-5</v>
      </c>
      <c r="J15" s="10">
        <f>J10*J13</f>
        <v>-5</v>
      </c>
      <c r="K15" s="10">
        <f>K10*K13</f>
        <v>-5</v>
      </c>
      <c r="L15">
        <f>L10*L13</f>
        <v>0</v>
      </c>
      <c r="M15">
        <f>M10*M13</f>
        <v>0</v>
      </c>
    </row>
    <row r="16" spans="1:13" x14ac:dyDescent="0.25">
      <c r="A16" s="7"/>
      <c r="C16" s="10">
        <f>C15-C14</f>
        <v>-17</v>
      </c>
      <c r="D16" s="10">
        <f>D15-D14</f>
        <v>-16</v>
      </c>
      <c r="E16" s="10">
        <f>E15-E14</f>
        <v>-14</v>
      </c>
      <c r="F16" s="10">
        <f>F15-F14</f>
        <v>-14</v>
      </c>
      <c r="G16" s="10">
        <f>G15-G14</f>
        <v>-12</v>
      </c>
      <c r="H16" s="10">
        <f>H15-H14</f>
        <v>-12</v>
      </c>
      <c r="I16" s="10">
        <f>I15-I14</f>
        <v>-10</v>
      </c>
      <c r="J16" s="10">
        <f>J15-J14</f>
        <v>-10</v>
      </c>
      <c r="K16" s="10">
        <f>K15-K14</f>
        <v>-10</v>
      </c>
      <c r="L16">
        <f>L15-L14</f>
        <v>0</v>
      </c>
      <c r="M16">
        <f>M15-M14</f>
        <v>0</v>
      </c>
    </row>
    <row r="17" spans="1:13" x14ac:dyDescent="0.25">
      <c r="A17" s="7" t="s">
        <v>284</v>
      </c>
      <c r="C17" s="7" t="s">
        <v>90</v>
      </c>
      <c r="D17" s="7" t="s">
        <v>90</v>
      </c>
      <c r="E17" s="7" t="s">
        <v>90</v>
      </c>
      <c r="F17" s="7" t="s">
        <v>90</v>
      </c>
      <c r="G17" s="7" t="s">
        <v>90</v>
      </c>
      <c r="H17" s="7" t="s">
        <v>90</v>
      </c>
      <c r="I17" s="7" t="s">
        <v>90</v>
      </c>
      <c r="J17" s="7" t="s">
        <v>90</v>
      </c>
      <c r="K17" s="7" t="s">
        <v>90</v>
      </c>
    </row>
    <row r="18" spans="1:13" x14ac:dyDescent="0.25">
      <c r="A18" s="7" t="s">
        <v>297</v>
      </c>
      <c r="C18" s="10">
        <v>9</v>
      </c>
      <c r="D18" s="10">
        <v>8</v>
      </c>
      <c r="E18" s="10">
        <v>7</v>
      </c>
      <c r="F18" s="10">
        <v>7</v>
      </c>
      <c r="G18" s="10">
        <v>6</v>
      </c>
      <c r="H18" s="10">
        <v>6</v>
      </c>
      <c r="I18" s="10">
        <v>5</v>
      </c>
      <c r="J18" s="10">
        <v>5</v>
      </c>
      <c r="K18" s="10">
        <v>5</v>
      </c>
    </row>
    <row r="19" spans="1:13" x14ac:dyDescent="0.25">
      <c r="A19" s="6" t="s">
        <v>106</v>
      </c>
      <c r="C19" s="13">
        <v>3</v>
      </c>
      <c r="D19" s="13">
        <v>3</v>
      </c>
      <c r="E19" s="13">
        <v>2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</row>
    <row r="20" spans="1:13" x14ac:dyDescent="0.25">
      <c r="A20" s="7" t="s">
        <v>107</v>
      </c>
      <c r="C20" s="19">
        <v>0</v>
      </c>
      <c r="D20" s="19">
        <v>0</v>
      </c>
      <c r="E20" s="19">
        <v>0</v>
      </c>
      <c r="F20" s="19">
        <v>0</v>
      </c>
      <c r="G20" s="19">
        <v>0</v>
      </c>
      <c r="H20" s="19">
        <v>0</v>
      </c>
      <c r="I20" s="19">
        <v>0</v>
      </c>
      <c r="J20" s="19">
        <v>0</v>
      </c>
      <c r="K20" s="19">
        <v>0</v>
      </c>
    </row>
    <row r="21" spans="1:13" x14ac:dyDescent="0.25">
      <c r="A21" s="7"/>
      <c r="C21" s="19">
        <f>SUM(C18,C19)</f>
        <v>12</v>
      </c>
      <c r="D21" s="19">
        <f>SUM(D18,D19)</f>
        <v>11</v>
      </c>
      <c r="E21" s="19">
        <f>SUM(E18,E19)</f>
        <v>9</v>
      </c>
      <c r="F21" s="19">
        <f>SUM(F18,F19)</f>
        <v>9</v>
      </c>
      <c r="G21" s="19">
        <f>SUM(G18,G19)</f>
        <v>8</v>
      </c>
      <c r="H21" s="19">
        <f>SUM(H18,H19)</f>
        <v>8</v>
      </c>
      <c r="I21" s="19">
        <f>SUM(I18,I19)</f>
        <v>7</v>
      </c>
      <c r="J21" s="19">
        <f>SUM(J18,J19)</f>
        <v>7</v>
      </c>
      <c r="K21" s="19">
        <f>SUM(K18,K19)</f>
        <v>7</v>
      </c>
      <c r="L21">
        <f>SUM(L18,L19)</f>
        <v>0</v>
      </c>
      <c r="M21">
        <f>SUM(M18,M19)</f>
        <v>0</v>
      </c>
    </row>
    <row r="22" spans="1:13" x14ac:dyDescent="0.25">
      <c r="A22" s="7"/>
      <c r="C22" s="19">
        <f>C21-C20</f>
        <v>12</v>
      </c>
      <c r="D22" s="19">
        <f>D21-D20</f>
        <v>11</v>
      </c>
      <c r="E22" s="19">
        <f>E21-E20</f>
        <v>9</v>
      </c>
      <c r="F22" s="19">
        <f>F21-F20</f>
        <v>9</v>
      </c>
      <c r="G22" s="19">
        <f>G21-G20</f>
        <v>8</v>
      </c>
      <c r="H22" s="19">
        <f>H21-H20</f>
        <v>8</v>
      </c>
      <c r="I22" s="19">
        <f>I21-I20</f>
        <v>7</v>
      </c>
      <c r="J22" s="19">
        <f>J21-J20</f>
        <v>7</v>
      </c>
      <c r="K22" s="19">
        <f>K21-K20</f>
        <v>7</v>
      </c>
      <c r="L22">
        <f>L21-L20</f>
        <v>0</v>
      </c>
      <c r="M22">
        <f>M21-M20</f>
        <v>0</v>
      </c>
    </row>
    <row r="23" spans="1:13" x14ac:dyDescent="0.25">
      <c r="A23" s="6" t="s">
        <v>211</v>
      </c>
      <c r="C23" s="13">
        <v>2</v>
      </c>
      <c r="D23" s="13">
        <v>2</v>
      </c>
      <c r="E23" s="13">
        <v>2</v>
      </c>
      <c r="F23" s="13">
        <v>2</v>
      </c>
      <c r="G23" s="13">
        <v>2</v>
      </c>
      <c r="H23" s="13">
        <v>2</v>
      </c>
      <c r="I23" s="13">
        <v>2</v>
      </c>
      <c r="J23" s="13">
        <v>1</v>
      </c>
      <c r="K23" s="13">
        <v>1</v>
      </c>
    </row>
    <row r="24" spans="1:13" x14ac:dyDescent="0.25">
      <c r="A24" s="6"/>
      <c r="C24" s="13">
        <f>C10*B23</f>
        <v>0</v>
      </c>
      <c r="D24" s="13">
        <f>D10*B23</f>
        <v>0</v>
      </c>
      <c r="E24" s="13">
        <f>E10*B23</f>
        <v>0</v>
      </c>
      <c r="F24" s="13">
        <f>F10*B23</f>
        <v>0</v>
      </c>
      <c r="G24" s="13">
        <f>G10*B23</f>
        <v>0</v>
      </c>
      <c r="H24" s="13">
        <f>H10*B23</f>
        <v>0</v>
      </c>
      <c r="I24" s="13">
        <f>I10*B23</f>
        <v>0</v>
      </c>
      <c r="J24" s="13">
        <f>J10*B23</f>
        <v>0</v>
      </c>
      <c r="K24" s="13">
        <f>K10*B23</f>
        <v>0</v>
      </c>
      <c r="L24">
        <f>L10*B23</f>
        <v>0</v>
      </c>
      <c r="M24">
        <f>M10*B23</f>
        <v>0</v>
      </c>
    </row>
    <row r="25" spans="1:13" x14ac:dyDescent="0.25">
      <c r="A25" s="6"/>
      <c r="C25" s="13">
        <f>C24-C23</f>
        <v>-2</v>
      </c>
      <c r="D25" s="13">
        <f>D24-D23</f>
        <v>-2</v>
      </c>
      <c r="E25" s="13">
        <f>E24-E23</f>
        <v>-2</v>
      </c>
      <c r="F25" s="13">
        <f>F24-F23</f>
        <v>-2</v>
      </c>
      <c r="G25" s="13">
        <f>G24-G23</f>
        <v>-2</v>
      </c>
      <c r="H25" s="13">
        <f>H24-H23</f>
        <v>-2</v>
      </c>
      <c r="I25" s="13">
        <f>I24-I23</f>
        <v>-2</v>
      </c>
      <c r="J25" s="13">
        <f>J24-J23</f>
        <v>-1</v>
      </c>
      <c r="K25" s="13">
        <f>K24-K23</f>
        <v>-1</v>
      </c>
      <c r="L25">
        <f>L24-L23</f>
        <v>0</v>
      </c>
      <c r="M25">
        <f>M24-M23</f>
        <v>0</v>
      </c>
    </row>
    <row r="26" spans="1:13" x14ac:dyDescent="0.25">
      <c r="A26" s="7" t="s">
        <v>210</v>
      </c>
      <c r="B26" s="20">
        <v>1.4999999999999999E-2</v>
      </c>
      <c r="C26" s="19">
        <v>0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</row>
    <row r="27" spans="1:13" x14ac:dyDescent="0.25">
      <c r="A27" s="7"/>
      <c r="B27" s="20"/>
      <c r="C27" s="19">
        <f>SUM(C20,C23)</f>
        <v>2</v>
      </c>
      <c r="D27" s="19">
        <f>SUM(D20,D23)</f>
        <v>2</v>
      </c>
      <c r="E27" s="19">
        <f>SUM(E20,E23)</f>
        <v>2</v>
      </c>
      <c r="F27" s="19">
        <f>SUM(F20,F23)</f>
        <v>2</v>
      </c>
      <c r="G27" s="19">
        <f>SUM(G20,G23)</f>
        <v>2</v>
      </c>
      <c r="H27" s="19">
        <f>SUM(H20,H23)</f>
        <v>2</v>
      </c>
      <c r="I27" s="19">
        <f>SUM(I20,I23)</f>
        <v>2</v>
      </c>
      <c r="J27" s="19">
        <f>SUM(J20,J23)</f>
        <v>1</v>
      </c>
      <c r="K27" s="19">
        <f>SUM(K20,K23)</f>
        <v>1</v>
      </c>
      <c r="L27">
        <f>SUM(L20,L23)</f>
        <v>0</v>
      </c>
      <c r="M27">
        <f>SUM(M20,M23)</f>
        <v>0</v>
      </c>
    </row>
    <row r="28" spans="1:13" x14ac:dyDescent="0.25">
      <c r="A28" s="7"/>
      <c r="B28" s="20"/>
      <c r="C28" s="19">
        <f>C27-C26</f>
        <v>2</v>
      </c>
      <c r="D28" s="19">
        <f>D27-D26</f>
        <v>2</v>
      </c>
      <c r="E28" s="19">
        <f>E27-E26</f>
        <v>2</v>
      </c>
      <c r="F28" s="19">
        <f>F27-F26</f>
        <v>2</v>
      </c>
      <c r="G28" s="19">
        <f>G27-G26</f>
        <v>2</v>
      </c>
      <c r="H28" s="19">
        <f>H27-H26</f>
        <v>2</v>
      </c>
      <c r="I28" s="19">
        <f>I27-I26</f>
        <v>2</v>
      </c>
      <c r="J28" s="19">
        <f>J27-J26</f>
        <v>1</v>
      </c>
      <c r="K28" s="19">
        <f>K27-K26</f>
        <v>1</v>
      </c>
      <c r="L28">
        <f>L27-L26</f>
        <v>0</v>
      </c>
      <c r="M28">
        <f>M27-M26</f>
        <v>0</v>
      </c>
    </row>
    <row r="29" spans="1:13" x14ac:dyDescent="0.25">
      <c r="A29" s="6" t="s">
        <v>108</v>
      </c>
      <c r="C29" s="13">
        <v>2</v>
      </c>
      <c r="D29" s="13">
        <v>2</v>
      </c>
      <c r="E29" s="13">
        <v>2</v>
      </c>
      <c r="F29" s="13">
        <v>2</v>
      </c>
      <c r="G29" s="13">
        <v>2</v>
      </c>
      <c r="H29" s="13">
        <v>2</v>
      </c>
      <c r="I29" s="13">
        <v>1</v>
      </c>
      <c r="J29" s="13">
        <v>1</v>
      </c>
      <c r="K29" s="13">
        <v>1</v>
      </c>
    </row>
    <row r="30" spans="1:13" x14ac:dyDescent="0.25">
      <c r="A30" s="6"/>
      <c r="C30" s="13">
        <f>C26*B29</f>
        <v>0</v>
      </c>
      <c r="D30" s="13">
        <f>D26*B29</f>
        <v>0</v>
      </c>
      <c r="E30" s="13">
        <f>E26*B29</f>
        <v>0</v>
      </c>
      <c r="F30" s="13">
        <f>F26*B29</f>
        <v>0</v>
      </c>
      <c r="G30" s="13">
        <f>G26*B29</f>
        <v>0</v>
      </c>
      <c r="H30" s="13">
        <f>H26*B29</f>
        <v>0</v>
      </c>
      <c r="I30" s="13">
        <f>I26*B29</f>
        <v>0</v>
      </c>
      <c r="J30" s="13">
        <f>J26*B29</f>
        <v>0</v>
      </c>
      <c r="K30" s="13">
        <f>K26*B29</f>
        <v>0</v>
      </c>
      <c r="L30">
        <f>L26*B29</f>
        <v>0</v>
      </c>
      <c r="M30">
        <f>M26*B29</f>
        <v>0</v>
      </c>
    </row>
    <row r="31" spans="1:13" x14ac:dyDescent="0.25">
      <c r="A31" s="6"/>
      <c r="C31" s="13">
        <f>C30-C29</f>
        <v>-2</v>
      </c>
      <c r="D31" s="13">
        <f>D30-D29</f>
        <v>-2</v>
      </c>
      <c r="E31" s="13">
        <f>E30-E29</f>
        <v>-2</v>
      </c>
      <c r="F31" s="13">
        <f>F30-F29</f>
        <v>-2</v>
      </c>
      <c r="G31" s="13">
        <f>G30-G29</f>
        <v>-2</v>
      </c>
      <c r="H31" s="13">
        <f>H30-H29</f>
        <v>-2</v>
      </c>
      <c r="I31" s="13">
        <f>I30-I29</f>
        <v>-1</v>
      </c>
      <c r="J31" s="13">
        <f>J30-J29</f>
        <v>-1</v>
      </c>
      <c r="K31" s="13">
        <f>K30-K29</f>
        <v>-1</v>
      </c>
      <c r="L31">
        <f>L30-L29</f>
        <v>0</v>
      </c>
      <c r="M31">
        <f>M30-M29</f>
        <v>0</v>
      </c>
    </row>
    <row r="32" spans="1:13" x14ac:dyDescent="0.25">
      <c r="A32" s="7" t="s">
        <v>212</v>
      </c>
      <c r="B32" s="20">
        <v>0.218</v>
      </c>
      <c r="C32" s="19">
        <v>0</v>
      </c>
      <c r="D32" s="19">
        <v>0</v>
      </c>
      <c r="E32" s="19">
        <v>0</v>
      </c>
      <c r="F32" s="19">
        <v>0</v>
      </c>
      <c r="G32" s="19">
        <v>0</v>
      </c>
      <c r="H32" s="19">
        <v>0</v>
      </c>
      <c r="I32" s="19">
        <v>0</v>
      </c>
      <c r="J32" s="19">
        <v>0</v>
      </c>
      <c r="K32" s="19">
        <v>0</v>
      </c>
    </row>
    <row r="33" spans="1:13" x14ac:dyDescent="0.25">
      <c r="A33" s="7"/>
      <c r="B33" s="20"/>
      <c r="C33" s="19">
        <f>SUM(C26,C29)</f>
        <v>2</v>
      </c>
      <c r="D33" s="19">
        <f>SUM(D26,D29)</f>
        <v>2</v>
      </c>
      <c r="E33" s="19">
        <f>SUM(E26,E29)</f>
        <v>2</v>
      </c>
      <c r="F33" s="19">
        <f>SUM(F26,F29)</f>
        <v>2</v>
      </c>
      <c r="G33" s="19">
        <f>SUM(G26,G29)</f>
        <v>2</v>
      </c>
      <c r="H33" s="19">
        <f>SUM(H26,H29)</f>
        <v>2</v>
      </c>
      <c r="I33" s="19">
        <f>SUM(I26,I29)</f>
        <v>1</v>
      </c>
      <c r="J33" s="19">
        <f>SUM(J26,J29)</f>
        <v>1</v>
      </c>
      <c r="K33" s="19">
        <f>SUM(K26,K29)</f>
        <v>1</v>
      </c>
      <c r="L33">
        <f>SUM(L26,L29)</f>
        <v>0</v>
      </c>
      <c r="M33">
        <f>SUM(M26,M29)</f>
        <v>0</v>
      </c>
    </row>
    <row r="34" spans="1:13" x14ac:dyDescent="0.25">
      <c r="A34" s="7"/>
      <c r="B34" s="20"/>
      <c r="C34" s="19">
        <f>C33-C32</f>
        <v>2</v>
      </c>
      <c r="D34" s="19">
        <f>D33-D32</f>
        <v>2</v>
      </c>
      <c r="E34" s="19">
        <f>E33-E32</f>
        <v>2</v>
      </c>
      <c r="F34" s="19">
        <f>F33-F32</f>
        <v>2</v>
      </c>
      <c r="G34" s="19">
        <f>G33-G32</f>
        <v>2</v>
      </c>
      <c r="H34" s="19">
        <f>H33-H32</f>
        <v>2</v>
      </c>
      <c r="I34" s="19">
        <f>I33-I32</f>
        <v>1</v>
      </c>
      <c r="J34" s="19">
        <f>J33-J32</f>
        <v>1</v>
      </c>
      <c r="K34" s="19">
        <f>K33-K32</f>
        <v>1</v>
      </c>
      <c r="L34">
        <f>L33-L32</f>
        <v>0</v>
      </c>
      <c r="M34">
        <f>M33-M32</f>
        <v>0</v>
      </c>
    </row>
    <row r="35" spans="1:13" x14ac:dyDescent="0.25">
      <c r="A35" s="6" t="s">
        <v>213</v>
      </c>
      <c r="C35" s="13">
        <v>2</v>
      </c>
      <c r="D35" s="13">
        <v>2</v>
      </c>
      <c r="E35" s="13">
        <v>2</v>
      </c>
      <c r="F35" s="13">
        <v>1</v>
      </c>
      <c r="G35" s="13">
        <v>1</v>
      </c>
      <c r="H35" s="13">
        <v>1</v>
      </c>
      <c r="I35" s="13">
        <v>1</v>
      </c>
      <c r="J35" s="13">
        <v>1</v>
      </c>
      <c r="K35" s="13">
        <v>1</v>
      </c>
    </row>
    <row r="36" spans="1:13" x14ac:dyDescent="0.25">
      <c r="A36" s="7" t="s">
        <v>214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</row>
    <row r="37" spans="1:13" x14ac:dyDescent="0.25">
      <c r="A37" s="7"/>
      <c r="C37" s="10">
        <f>SUM(C32,C35)</f>
        <v>2</v>
      </c>
      <c r="D37" s="10">
        <f>SUM(D32,D35)</f>
        <v>2</v>
      </c>
      <c r="E37" s="10">
        <f>SUM(E32,E35)</f>
        <v>2</v>
      </c>
      <c r="F37" s="10">
        <f>SUM(F32,F35)</f>
        <v>1</v>
      </c>
      <c r="G37" s="10">
        <f>SUM(G32,G35)</f>
        <v>1</v>
      </c>
      <c r="H37" s="10">
        <f>SUM(H32,H35)</f>
        <v>1</v>
      </c>
      <c r="I37" s="10">
        <f>SUM(I32,I35)</f>
        <v>1</v>
      </c>
      <c r="J37" s="10">
        <f>SUM(J32,J35)</f>
        <v>1</v>
      </c>
      <c r="K37" s="10">
        <f>SUM(K32,K35)</f>
        <v>1</v>
      </c>
      <c r="L37">
        <f>SUM(L32,L35)</f>
        <v>0</v>
      </c>
      <c r="M37">
        <f>SUM(M32,M35)</f>
        <v>0</v>
      </c>
    </row>
    <row r="38" spans="1:13" x14ac:dyDescent="0.25">
      <c r="A38" s="7"/>
      <c r="C38" s="10">
        <f>C37-C36</f>
        <v>2</v>
      </c>
      <c r="D38" s="10">
        <f>D37-D36</f>
        <v>2</v>
      </c>
      <c r="E38" s="10">
        <f>E37-E36</f>
        <v>2</v>
      </c>
      <c r="F38" s="10">
        <f>F37-F36</f>
        <v>1</v>
      </c>
      <c r="G38" s="10">
        <f>G37-G36</f>
        <v>1</v>
      </c>
      <c r="H38" s="10">
        <f>H37-H36</f>
        <v>1</v>
      </c>
      <c r="I38" s="10">
        <f>I37-I36</f>
        <v>1</v>
      </c>
      <c r="J38" s="10">
        <f>J37-J36</f>
        <v>1</v>
      </c>
      <c r="K38" s="10">
        <f>K37-K36</f>
        <v>1</v>
      </c>
      <c r="L38">
        <f>L37-L36</f>
        <v>0</v>
      </c>
      <c r="M38">
        <f>M37-M36</f>
        <v>0</v>
      </c>
    </row>
    <row r="39" spans="1:13" x14ac:dyDescent="0.25">
      <c r="A39" s="6" t="s">
        <v>215</v>
      </c>
      <c r="C39" s="13">
        <v>2</v>
      </c>
      <c r="D39" s="13">
        <v>2</v>
      </c>
      <c r="E39" s="13">
        <v>2</v>
      </c>
      <c r="F39" s="13">
        <v>1</v>
      </c>
      <c r="G39" s="13">
        <v>1</v>
      </c>
      <c r="H39" s="13">
        <v>1</v>
      </c>
      <c r="I39" s="13">
        <v>1</v>
      </c>
      <c r="J39" s="13">
        <v>1</v>
      </c>
      <c r="K39" s="13">
        <v>1</v>
      </c>
    </row>
    <row r="40" spans="1:13" x14ac:dyDescent="0.25">
      <c r="A40" s="7" t="s">
        <v>115</v>
      </c>
      <c r="B40" s="20">
        <v>0.11</v>
      </c>
      <c r="C40" s="23">
        <v>0.10340000000000001</v>
      </c>
      <c r="D40" s="23">
        <v>9.3100000000000002E-2</v>
      </c>
      <c r="E40" s="23">
        <v>8.3900000000000002E-2</v>
      </c>
      <c r="F40" s="23">
        <v>7.5600000000000001E-2</v>
      </c>
      <c r="G40" s="23">
        <v>6.8099999999999994E-2</v>
      </c>
      <c r="H40" s="23">
        <v>6.1400000000000003E-2</v>
      </c>
      <c r="I40" s="23">
        <v>5.5300000000000002E-2</v>
      </c>
      <c r="J40" s="23">
        <v>4.9799999999999997E-2</v>
      </c>
      <c r="K40" s="23">
        <v>4.4900000000000002E-2</v>
      </c>
    </row>
    <row r="41" spans="1:13" x14ac:dyDescent="0.25">
      <c r="A41" s="7"/>
      <c r="B41" s="20"/>
      <c r="C41" s="23">
        <f>C36*C39</f>
        <v>0</v>
      </c>
      <c r="D41" s="23">
        <f>D36*D39</f>
        <v>0</v>
      </c>
      <c r="E41" s="23">
        <f>E36*E39</f>
        <v>0</v>
      </c>
      <c r="F41" s="23">
        <f>F36*F39</f>
        <v>0</v>
      </c>
      <c r="G41" s="23">
        <f>G36*G39</f>
        <v>0</v>
      </c>
      <c r="H41" s="23">
        <f>H36*H39</f>
        <v>0</v>
      </c>
      <c r="I41" s="23">
        <f>I36*I39</f>
        <v>0</v>
      </c>
      <c r="J41" s="23">
        <f>J36*J39</f>
        <v>0</v>
      </c>
      <c r="K41" s="23">
        <f>K36*K39</f>
        <v>0</v>
      </c>
      <c r="L41">
        <f>L36*L39</f>
        <v>0</v>
      </c>
      <c r="M41">
        <f>M36*M39</f>
        <v>0</v>
      </c>
    </row>
    <row r="42" spans="1:13" x14ac:dyDescent="0.25">
      <c r="A42" s="7"/>
      <c r="B42" s="20"/>
      <c r="C42" s="23">
        <f>C41-C40</f>
        <v>-0.10340000000000001</v>
      </c>
      <c r="D42" s="23">
        <f>D41-D40</f>
        <v>-9.3100000000000002E-2</v>
      </c>
      <c r="E42" s="23">
        <f>E41-E40</f>
        <v>-8.3900000000000002E-2</v>
      </c>
      <c r="F42" s="23">
        <f>F41-F40</f>
        <v>-7.5600000000000001E-2</v>
      </c>
      <c r="G42" s="23">
        <f>G41-G40</f>
        <v>-6.8099999999999994E-2</v>
      </c>
      <c r="H42" s="23">
        <f>H41-H40</f>
        <v>-6.1400000000000003E-2</v>
      </c>
      <c r="I42" s="23">
        <f>I41-I40</f>
        <v>-5.5300000000000002E-2</v>
      </c>
      <c r="J42" s="23">
        <f>J41-J40</f>
        <v>-4.9799999999999997E-2</v>
      </c>
      <c r="K42" s="23">
        <f>K41-K40</f>
        <v>-4.4900000000000002E-2</v>
      </c>
      <c r="L42">
        <f>L41-L40</f>
        <v>0</v>
      </c>
      <c r="M42">
        <f>M41-M40</f>
        <v>0</v>
      </c>
    </row>
    <row r="43" spans="1:13" x14ac:dyDescent="0.25">
      <c r="A43" s="6" t="s">
        <v>116</v>
      </c>
      <c r="C43" s="13">
        <v>0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1:13" x14ac:dyDescent="0.25">
      <c r="A44" s="9" t="s">
        <v>221</v>
      </c>
    </row>
    <row r="45" spans="1:13" x14ac:dyDescent="0.25">
      <c r="A45" s="7" t="s">
        <v>222</v>
      </c>
      <c r="C45" s="20">
        <v>0.03</v>
      </c>
      <c r="D45" s="20">
        <v>0.03</v>
      </c>
      <c r="E45" s="20">
        <v>0.03</v>
      </c>
      <c r="F45" s="20">
        <v>0.03</v>
      </c>
      <c r="G45" s="20">
        <v>0.03</v>
      </c>
      <c r="H45" s="20">
        <v>0.03</v>
      </c>
      <c r="I45" s="20">
        <v>0.03</v>
      </c>
      <c r="J45" s="20">
        <v>0.03</v>
      </c>
      <c r="K45" s="20">
        <v>0.03</v>
      </c>
    </row>
    <row r="46" spans="1:13" x14ac:dyDescent="0.25">
      <c r="A46" s="7" t="s">
        <v>289</v>
      </c>
      <c r="C46" s="20">
        <v>5.0999999999999997E-2</v>
      </c>
      <c r="D46" s="20">
        <v>5.0999999999999997E-2</v>
      </c>
      <c r="E46" s="20">
        <v>5.0999999999999997E-2</v>
      </c>
      <c r="F46" s="20">
        <v>5.0999999999999997E-2</v>
      </c>
      <c r="G46" s="20">
        <v>5.0999999999999997E-2</v>
      </c>
      <c r="H46" s="20">
        <v>5.0999999999999997E-2</v>
      </c>
      <c r="I46" s="20">
        <v>5.0999999999999997E-2</v>
      </c>
      <c r="J46" s="20">
        <v>5.0999999999999997E-2</v>
      </c>
      <c r="K46" s="20">
        <v>5.0999999999999997E-2</v>
      </c>
    </row>
    <row r="47" spans="1:13" x14ac:dyDescent="0.25">
      <c r="A47" s="7" t="s">
        <v>224</v>
      </c>
      <c r="C47" s="20">
        <v>0.32600000000000001</v>
      </c>
      <c r="D47" s="20">
        <v>0.32600000000000001</v>
      </c>
      <c r="E47" s="20">
        <v>0.32600000000000001</v>
      </c>
      <c r="F47" s="20">
        <v>0.32600000000000001</v>
      </c>
      <c r="G47" s="20">
        <v>0.32600000000000001</v>
      </c>
      <c r="H47" s="20">
        <v>0.32600000000000001</v>
      </c>
      <c r="I47" s="20">
        <v>0.32600000000000001</v>
      </c>
      <c r="J47" s="20">
        <v>0.32600000000000001</v>
      </c>
      <c r="K47" s="20">
        <v>0.32600000000000001</v>
      </c>
    </row>
    <row r="48" spans="1:13" x14ac:dyDescent="0.25">
      <c r="A48" s="7" t="s">
        <v>107</v>
      </c>
      <c r="C48" s="20">
        <v>4.9000000000000002E-2</v>
      </c>
      <c r="D48" s="20">
        <v>4.9000000000000002E-2</v>
      </c>
      <c r="E48" s="20">
        <v>4.9000000000000002E-2</v>
      </c>
      <c r="F48" s="20">
        <v>4.9000000000000002E-2</v>
      </c>
      <c r="G48" s="20">
        <v>4.9000000000000002E-2</v>
      </c>
      <c r="H48" s="20">
        <v>4.9000000000000002E-2</v>
      </c>
      <c r="I48" s="20">
        <v>4.9000000000000002E-2</v>
      </c>
      <c r="J48" s="20">
        <v>4.9000000000000002E-2</v>
      </c>
      <c r="K48" s="20">
        <v>4.9000000000000002E-2</v>
      </c>
    </row>
    <row r="49" spans="1:13" x14ac:dyDescent="0.25">
      <c r="A49" s="7" t="s">
        <v>225</v>
      </c>
      <c r="C49" s="20">
        <v>0.27700000000000002</v>
      </c>
      <c r="D49" s="20">
        <v>0.27700000000000002</v>
      </c>
      <c r="E49" s="20">
        <v>0.27700000000000002</v>
      </c>
      <c r="F49" s="20">
        <v>0.27700000000000002</v>
      </c>
      <c r="G49" s="20">
        <v>0.27700000000000002</v>
      </c>
      <c r="H49" s="20">
        <v>0.27700000000000002</v>
      </c>
      <c r="I49" s="20">
        <v>0.27700000000000002</v>
      </c>
      <c r="J49" s="20">
        <v>0.27700000000000002</v>
      </c>
      <c r="K49" s="20">
        <v>0.27700000000000002</v>
      </c>
    </row>
    <row r="50" spans="1:13" x14ac:dyDescent="0.25">
      <c r="A50" s="7" t="s">
        <v>240</v>
      </c>
      <c r="C50" s="20">
        <v>-5.0000000000000001E-3</v>
      </c>
      <c r="D50" s="20">
        <v>-5.0000000000000001E-3</v>
      </c>
      <c r="E50" s="20">
        <v>-5.0000000000000001E-3</v>
      </c>
      <c r="F50" s="20">
        <v>-5.0000000000000001E-3</v>
      </c>
      <c r="G50" s="20">
        <v>-5.0000000000000001E-3</v>
      </c>
      <c r="H50" s="20">
        <v>-5.0000000000000001E-3</v>
      </c>
      <c r="I50" s="20">
        <v>-5.0000000000000001E-3</v>
      </c>
      <c r="J50" s="20">
        <v>-5.0000000000000001E-3</v>
      </c>
      <c r="K50" s="20">
        <v>-5.0000000000000001E-3</v>
      </c>
    </row>
    <row r="51" spans="1:13" x14ac:dyDescent="0.25">
      <c r="A51" s="16" t="s">
        <v>127</v>
      </c>
    </row>
    <row r="52" spans="1:13" x14ac:dyDescent="0.25">
      <c r="A52" s="7" t="s">
        <v>290</v>
      </c>
    </row>
    <row r="53" spans="1:13" x14ac:dyDescent="0.25">
      <c r="A53" s="7"/>
    </row>
    <row r="54" spans="1:13" x14ac:dyDescent="0.25">
      <c r="A54" s="7"/>
    </row>
    <row r="55" spans="1:13" x14ac:dyDescent="0.25">
      <c r="A55" s="7" t="s">
        <v>291</v>
      </c>
    </row>
    <row r="56" spans="1:13" x14ac:dyDescent="0.25">
      <c r="A56" s="7"/>
    </row>
    <row r="57" spans="1:13" x14ac:dyDescent="0.25">
      <c r="A57" s="7"/>
    </row>
    <row r="58" spans="1:13" x14ac:dyDescent="0.25">
      <c r="A58" s="16" t="s">
        <v>61</v>
      </c>
    </row>
    <row r="59" spans="1:13" x14ac:dyDescent="0.25">
      <c r="A59" s="16"/>
    </row>
    <row r="60" spans="1:13" x14ac:dyDescent="0.25">
      <c r="A60" s="16"/>
    </row>
    <row r="61" spans="1:13" x14ac:dyDescent="0.25">
      <c r="A61" s="9" t="s">
        <v>62</v>
      </c>
      <c r="M61" s="32" t="s">
        <v>63</v>
      </c>
    </row>
    <row r="62" spans="1:13" x14ac:dyDescent="0.25">
      <c r="A62" s="9"/>
      <c r="M62" s="32"/>
    </row>
    <row r="63" spans="1:13" x14ac:dyDescent="0.25">
      <c r="A63" s="9"/>
      <c r="M63" s="32"/>
    </row>
    <row r="64" spans="1:13" x14ac:dyDescent="0.25">
      <c r="F64" s="5" t="s">
        <v>6</v>
      </c>
    </row>
    <row r="65" spans="6:6" x14ac:dyDescent="0.25">
      <c r="F65" s="5"/>
    </row>
    <row r="66" spans="6:6" x14ac:dyDescent="0.25">
      <c r="F66" s="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N72"/>
  <sheetViews>
    <sheetView workbookViewId="0"/>
  </sheetViews>
  <sheetFormatPr defaultRowHeight="15" x14ac:dyDescent="0.25"/>
  <cols>
    <col min="1" max="1" width="75" bestFit="1" customWidth="1"/>
  </cols>
  <sheetData>
    <row r="2" spans="1:14" x14ac:dyDescent="0.25">
      <c r="A2" s="6" t="s">
        <v>1</v>
      </c>
      <c r="N2" s="7" t="s">
        <v>301</v>
      </c>
    </row>
    <row r="3" spans="1:14" x14ac:dyDescent="0.25">
      <c r="A3" s="6" t="s">
        <v>9</v>
      </c>
    </row>
    <row r="4" spans="1:14" x14ac:dyDescent="0.25">
      <c r="A4" s="6" t="s">
        <v>302</v>
      </c>
    </row>
    <row r="5" spans="1:14" x14ac:dyDescent="0.25">
      <c r="A5" s="6" t="s">
        <v>11</v>
      </c>
    </row>
    <row r="6" spans="1:14" x14ac:dyDescent="0.25">
      <c r="C6" s="9" t="s">
        <v>303</v>
      </c>
      <c r="D6" s="9" t="s">
        <v>95</v>
      </c>
      <c r="H6" s="9" t="s">
        <v>96</v>
      </c>
    </row>
    <row r="7" spans="1:14" x14ac:dyDescent="0.25">
      <c r="A7" s="8" t="s">
        <v>12</v>
      </c>
      <c r="B7" s="9" t="s">
        <v>304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</row>
    <row r="8" spans="1:14" x14ac:dyDescent="0.25">
      <c r="A8" s="7" t="s">
        <v>305</v>
      </c>
      <c r="D8" s="10">
        <v>59</v>
      </c>
      <c r="E8" s="10">
        <v>246</v>
      </c>
      <c r="F8" s="10">
        <v>254</v>
      </c>
      <c r="G8" s="10">
        <v>269</v>
      </c>
      <c r="H8" s="10">
        <v>282</v>
      </c>
      <c r="I8" s="10">
        <v>295</v>
      </c>
      <c r="J8" s="10">
        <v>312</v>
      </c>
      <c r="K8" s="10">
        <v>329</v>
      </c>
      <c r="L8" s="7" t="s">
        <v>90</v>
      </c>
      <c r="M8" s="7" t="s">
        <v>90</v>
      </c>
    </row>
    <row r="9" spans="1:14" x14ac:dyDescent="0.25">
      <c r="A9" s="7" t="s">
        <v>306</v>
      </c>
    </row>
    <row r="10" spans="1:14" x14ac:dyDescent="0.25">
      <c r="A10" s="7" t="s">
        <v>307</v>
      </c>
      <c r="B10" s="33">
        <v>5</v>
      </c>
      <c r="D10" s="10">
        <v>6</v>
      </c>
      <c r="E10" s="10">
        <v>24</v>
      </c>
      <c r="F10" s="10">
        <v>25</v>
      </c>
      <c r="G10" s="10">
        <v>25</v>
      </c>
      <c r="H10" s="10">
        <v>26</v>
      </c>
      <c r="I10" s="10">
        <v>25</v>
      </c>
      <c r="J10" s="10">
        <v>25</v>
      </c>
      <c r="K10" s="10">
        <v>26</v>
      </c>
    </row>
    <row r="11" spans="1:14" x14ac:dyDescent="0.25">
      <c r="A11" s="7"/>
      <c r="B11" s="33"/>
      <c r="C11">
        <f>SUM(C8:C9)</f>
        <v>0</v>
      </c>
      <c r="D11" s="10">
        <f>SUM(D8:D9)</f>
        <v>59</v>
      </c>
      <c r="E11" s="10">
        <f>SUM(E8:E9)</f>
        <v>246</v>
      </c>
      <c r="F11" s="10">
        <f>SUM(F8:F9)</f>
        <v>254</v>
      </c>
      <c r="G11" s="10">
        <f>SUM(G8:G9)</f>
        <v>269</v>
      </c>
      <c r="H11" s="10">
        <f>SUM(H8:H9)</f>
        <v>282</v>
      </c>
      <c r="I11" s="10">
        <f>SUM(I8:I9)</f>
        <v>295</v>
      </c>
      <c r="J11" s="10">
        <f>SUM(J8:J9)</f>
        <v>312</v>
      </c>
      <c r="K11" s="10">
        <f>SUM(K8:K9)</f>
        <v>329</v>
      </c>
      <c r="L11" s="56">
        <f>SUM(L8:L9)</f>
        <v>0</v>
      </c>
      <c r="M11" s="56">
        <f>SUM(M8:M9)</f>
        <v>0</v>
      </c>
    </row>
    <row r="12" spans="1:14" x14ac:dyDescent="0.25">
      <c r="A12" s="7"/>
      <c r="B12" s="33"/>
      <c r="C12">
        <f>C11-C10</f>
        <v>0</v>
      </c>
      <c r="D12" s="10">
        <f>D11-D10</f>
        <v>53</v>
      </c>
      <c r="E12" s="10">
        <f>E11-E10</f>
        <v>222</v>
      </c>
      <c r="F12" s="10">
        <f>F11-F10</f>
        <v>229</v>
      </c>
      <c r="G12" s="10">
        <f>G11-G10</f>
        <v>244</v>
      </c>
      <c r="H12" s="10">
        <f>H11-H10</f>
        <v>256</v>
      </c>
      <c r="I12" s="10">
        <f>I11-I10</f>
        <v>270</v>
      </c>
      <c r="J12" s="10">
        <f>J11-J10</f>
        <v>287</v>
      </c>
      <c r="K12" s="10">
        <f>K11-K10</f>
        <v>303</v>
      </c>
      <c r="L12" s="56">
        <f>L11-L10</f>
        <v>0</v>
      </c>
      <c r="M12" s="56">
        <f>M11-M10</f>
        <v>0</v>
      </c>
    </row>
    <row r="13" spans="1:14" x14ac:dyDescent="0.25">
      <c r="A13" s="7" t="s">
        <v>308</v>
      </c>
      <c r="D13" s="20">
        <v>1</v>
      </c>
      <c r="E13" s="20">
        <v>0.85099999999999998</v>
      </c>
      <c r="F13" s="20">
        <v>0.53500000000000003</v>
      </c>
      <c r="G13" s="20">
        <v>0.26400000000000001</v>
      </c>
      <c r="H13" s="20">
        <v>0.109</v>
      </c>
      <c r="I13" s="20">
        <v>3.9E-2</v>
      </c>
      <c r="J13" s="20">
        <v>1.2E-2</v>
      </c>
      <c r="K13" s="20">
        <v>3.0000000000000001E-3</v>
      </c>
    </row>
    <row r="14" spans="1:14" x14ac:dyDescent="0.25">
      <c r="D14" s="10">
        <v>6</v>
      </c>
      <c r="E14" s="10">
        <v>20</v>
      </c>
      <c r="F14" s="10">
        <v>13</v>
      </c>
      <c r="G14" s="10">
        <v>7</v>
      </c>
      <c r="H14" s="10">
        <v>3</v>
      </c>
      <c r="I14" s="10">
        <v>1</v>
      </c>
      <c r="J14" s="10">
        <v>0</v>
      </c>
      <c r="K14" s="10">
        <v>0</v>
      </c>
    </row>
    <row r="15" spans="1:14" x14ac:dyDescent="0.25">
      <c r="C15">
        <f>C10*C13</f>
        <v>0</v>
      </c>
      <c r="D15" s="10">
        <f>D10*D13</f>
        <v>6</v>
      </c>
      <c r="E15" s="10">
        <f>E10*E13</f>
        <v>20.423999999999999</v>
      </c>
      <c r="F15" s="10">
        <f>F10*F13</f>
        <v>13.375</v>
      </c>
      <c r="G15" s="10">
        <f>G10*G13</f>
        <v>6.6000000000000005</v>
      </c>
      <c r="H15" s="10">
        <f>H10*H13</f>
        <v>2.8340000000000001</v>
      </c>
      <c r="I15" s="10">
        <f>I10*I13</f>
        <v>0.97499999999999998</v>
      </c>
      <c r="J15" s="10">
        <f>J10*J13</f>
        <v>0.3</v>
      </c>
      <c r="K15" s="10">
        <f>K10*K13</f>
        <v>7.8E-2</v>
      </c>
      <c r="L15">
        <f>L10*L13</f>
        <v>0</v>
      </c>
      <c r="M15">
        <f>M10*M13</f>
        <v>0</v>
      </c>
    </row>
    <row r="16" spans="1:14" x14ac:dyDescent="0.25">
      <c r="C16">
        <f>C15-C14</f>
        <v>0</v>
      </c>
      <c r="D16" s="10">
        <f>D15-D14</f>
        <v>0</v>
      </c>
      <c r="E16" s="10">
        <f>E15-E14</f>
        <v>0.42399999999999949</v>
      </c>
      <c r="F16" s="10">
        <f>F15-F14</f>
        <v>0.375</v>
      </c>
      <c r="G16" s="10">
        <f>G15-G14</f>
        <v>-0.39999999999999947</v>
      </c>
      <c r="H16" s="10">
        <f>H15-H14</f>
        <v>-0.16599999999999993</v>
      </c>
      <c r="I16" s="10">
        <f>I15-I14</f>
        <v>-2.5000000000000022E-2</v>
      </c>
      <c r="J16" s="10">
        <f>J15-J14</f>
        <v>0.3</v>
      </c>
      <c r="K16" s="10">
        <f>K15-K14</f>
        <v>7.8E-2</v>
      </c>
      <c r="L16">
        <f>L15-L14</f>
        <v>0</v>
      </c>
      <c r="M16">
        <f>M15-M14</f>
        <v>0</v>
      </c>
    </row>
    <row r="17" spans="1:13" x14ac:dyDescent="0.25">
      <c r="A17" s="7" t="s">
        <v>309</v>
      </c>
      <c r="B17" s="33">
        <v>15</v>
      </c>
      <c r="D17" s="10">
        <v>6</v>
      </c>
      <c r="E17" s="10">
        <v>23</v>
      </c>
      <c r="F17" s="10">
        <v>21</v>
      </c>
      <c r="G17" s="10">
        <v>21</v>
      </c>
      <c r="H17" s="10">
        <v>21</v>
      </c>
      <c r="I17" s="10">
        <v>22</v>
      </c>
      <c r="J17" s="10">
        <v>22</v>
      </c>
      <c r="K17" s="10">
        <v>23</v>
      </c>
      <c r="L17" s="10">
        <v>23</v>
      </c>
      <c r="M17" s="10">
        <v>24</v>
      </c>
    </row>
    <row r="18" spans="1:13" x14ac:dyDescent="0.25">
      <c r="A18" s="7" t="s">
        <v>308</v>
      </c>
      <c r="D18" s="20">
        <v>1</v>
      </c>
      <c r="E18" s="20">
        <v>0.999</v>
      </c>
      <c r="F18" s="20">
        <v>0.99199999999999999</v>
      </c>
      <c r="G18" s="20">
        <v>0.97499999999999998</v>
      </c>
      <c r="H18" s="20">
        <v>0.94599999999999995</v>
      </c>
      <c r="I18" s="20">
        <v>0.90200000000000002</v>
      </c>
      <c r="J18" s="20">
        <v>0.84499999999999997</v>
      </c>
      <c r="K18" s="20">
        <v>0.77500000000000002</v>
      </c>
      <c r="L18" s="20">
        <v>0.69499999999999995</v>
      </c>
      <c r="M18" s="20">
        <v>0.60799999999999998</v>
      </c>
    </row>
    <row r="19" spans="1:13" x14ac:dyDescent="0.25">
      <c r="D19" s="10">
        <v>6</v>
      </c>
      <c r="E19" s="10">
        <v>23</v>
      </c>
      <c r="F19" s="10">
        <v>21</v>
      </c>
      <c r="G19" s="10">
        <v>21</v>
      </c>
      <c r="H19" s="10">
        <v>20</v>
      </c>
      <c r="I19" s="10">
        <v>20</v>
      </c>
      <c r="J19" s="10">
        <v>19</v>
      </c>
      <c r="K19" s="10">
        <v>18</v>
      </c>
      <c r="L19" s="10">
        <v>16</v>
      </c>
      <c r="M19" s="10">
        <v>15</v>
      </c>
    </row>
    <row r="20" spans="1:13" x14ac:dyDescent="0.25">
      <c r="A20" s="7" t="s">
        <v>310</v>
      </c>
      <c r="B20" s="33">
        <v>7</v>
      </c>
      <c r="D20" s="10">
        <v>10</v>
      </c>
      <c r="E20" s="10">
        <v>44</v>
      </c>
      <c r="F20" s="10">
        <v>46</v>
      </c>
      <c r="G20" s="10">
        <v>51</v>
      </c>
      <c r="H20" s="10">
        <v>54</v>
      </c>
      <c r="I20" s="10">
        <v>59</v>
      </c>
      <c r="J20" s="10">
        <v>65</v>
      </c>
      <c r="K20" s="10">
        <v>71</v>
      </c>
    </row>
    <row r="21" spans="1:13" x14ac:dyDescent="0.25">
      <c r="A21" s="7"/>
      <c r="B21" s="33"/>
      <c r="C21">
        <f>SUM(C18,C19)</f>
        <v>0</v>
      </c>
      <c r="D21" s="10">
        <f>SUM(D18,D19)</f>
        <v>7</v>
      </c>
      <c r="E21" s="10">
        <f>SUM(E18,E19)</f>
        <v>23.998999999999999</v>
      </c>
      <c r="F21" s="10">
        <f>SUM(F18,F19)</f>
        <v>21.992000000000001</v>
      </c>
      <c r="G21" s="10">
        <f>SUM(G18,G19)</f>
        <v>21.975000000000001</v>
      </c>
      <c r="H21" s="10">
        <f>SUM(H18,H19)</f>
        <v>20.946000000000002</v>
      </c>
      <c r="I21" s="10">
        <f>SUM(I18,I19)</f>
        <v>20.902000000000001</v>
      </c>
      <c r="J21" s="10">
        <f>SUM(J18,J19)</f>
        <v>19.844999999999999</v>
      </c>
      <c r="K21" s="10">
        <f>SUM(K18,K19)</f>
        <v>18.774999999999999</v>
      </c>
      <c r="L21" s="57">
        <f>SUM(L18,L19)</f>
        <v>16.695</v>
      </c>
      <c r="M21" s="57">
        <f>SUM(M18,M19)</f>
        <v>15.608000000000001</v>
      </c>
    </row>
    <row r="22" spans="1:13" x14ac:dyDescent="0.25">
      <c r="A22" s="7"/>
      <c r="B22" s="33"/>
      <c r="C22">
        <f>C21-C20</f>
        <v>0</v>
      </c>
      <c r="D22" s="10">
        <f>D21-D20</f>
        <v>-3</v>
      </c>
      <c r="E22" s="10">
        <f>E21-E20</f>
        <v>-20.001000000000001</v>
      </c>
      <c r="F22" s="10">
        <f>F21-F20</f>
        <v>-24.007999999999999</v>
      </c>
      <c r="G22" s="10">
        <f>G21-G20</f>
        <v>-29.024999999999999</v>
      </c>
      <c r="H22" s="10">
        <f>H21-H20</f>
        <v>-33.054000000000002</v>
      </c>
      <c r="I22" s="10">
        <f>I21-I20</f>
        <v>-38.097999999999999</v>
      </c>
      <c r="J22" s="10">
        <f>J21-J20</f>
        <v>-45.155000000000001</v>
      </c>
      <c r="K22" s="10">
        <f>K21-K20</f>
        <v>-52.225000000000001</v>
      </c>
      <c r="L22" s="57">
        <f>L21-L20</f>
        <v>16.695</v>
      </c>
      <c r="M22" s="57">
        <f>M21-M20</f>
        <v>15.608000000000001</v>
      </c>
    </row>
    <row r="23" spans="1:13" x14ac:dyDescent="0.25">
      <c r="A23" s="7" t="s">
        <v>308</v>
      </c>
      <c r="D23" s="20">
        <v>1</v>
      </c>
      <c r="E23" s="20">
        <v>0.97899999999999998</v>
      </c>
      <c r="F23" s="20">
        <v>0.86899999999999999</v>
      </c>
      <c r="G23" s="20">
        <v>0.64400000000000002</v>
      </c>
      <c r="H23" s="20">
        <v>0.377</v>
      </c>
      <c r="I23" s="20">
        <v>0.16700000000000001</v>
      </c>
      <c r="J23" s="20">
        <v>5.3999999999999999E-2</v>
      </c>
      <c r="K23" s="20">
        <v>1.2E-2</v>
      </c>
    </row>
    <row r="24" spans="1:13" x14ac:dyDescent="0.25">
      <c r="A24" s="7"/>
      <c r="C24">
        <f>C10*B23</f>
        <v>0</v>
      </c>
      <c r="D24" s="20">
        <f>D10*B23</f>
        <v>0</v>
      </c>
      <c r="E24" s="20">
        <f>E10*B23</f>
        <v>0</v>
      </c>
      <c r="F24" s="20">
        <f>F10*B23</f>
        <v>0</v>
      </c>
      <c r="G24" s="20">
        <f>G10*B23</f>
        <v>0</v>
      </c>
      <c r="H24" s="20">
        <f>H10*B23</f>
        <v>0</v>
      </c>
      <c r="I24" s="20">
        <f>I10*B23</f>
        <v>0</v>
      </c>
      <c r="J24" s="20">
        <f>J10*B23</f>
        <v>0</v>
      </c>
      <c r="K24" s="20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>
        <f>C24-C23</f>
        <v>0</v>
      </c>
      <c r="D25" s="20">
        <f>D24-D23</f>
        <v>-1</v>
      </c>
      <c r="E25" s="20">
        <f>E24-E23</f>
        <v>-0.97899999999999998</v>
      </c>
      <c r="F25" s="20">
        <f>F24-F23</f>
        <v>-0.86899999999999999</v>
      </c>
      <c r="G25" s="20">
        <f>G24-G23</f>
        <v>-0.64400000000000002</v>
      </c>
      <c r="H25" s="20">
        <f>H24-H23</f>
        <v>-0.377</v>
      </c>
      <c r="I25" s="20">
        <f>I24-I23</f>
        <v>-0.16700000000000001</v>
      </c>
      <c r="J25" s="20">
        <f>J24-J23</f>
        <v>-5.3999999999999999E-2</v>
      </c>
      <c r="K25" s="20">
        <f>K24-K23</f>
        <v>-1.2E-2</v>
      </c>
      <c r="L25">
        <f>L24-L23</f>
        <v>0</v>
      </c>
      <c r="M25">
        <f>M24-M23</f>
        <v>0</v>
      </c>
    </row>
    <row r="26" spans="1:13" x14ac:dyDescent="0.25">
      <c r="D26" s="10">
        <v>10</v>
      </c>
      <c r="E26" s="10">
        <v>43</v>
      </c>
      <c r="F26" s="10">
        <v>40</v>
      </c>
      <c r="G26" s="10">
        <v>33</v>
      </c>
      <c r="H26" s="10">
        <v>20</v>
      </c>
      <c r="I26" s="10">
        <v>10</v>
      </c>
      <c r="J26" s="10">
        <v>4</v>
      </c>
      <c r="K26" s="10">
        <v>1</v>
      </c>
    </row>
    <row r="27" spans="1:13" x14ac:dyDescent="0.25">
      <c r="C27">
        <f>SUM(C20,C23)</f>
        <v>0</v>
      </c>
      <c r="D27" s="10">
        <f>SUM(D20,D23)</f>
        <v>11</v>
      </c>
      <c r="E27" s="10">
        <f>SUM(E20,E23)</f>
        <v>44.978999999999999</v>
      </c>
      <c r="F27" s="10">
        <f>SUM(F20,F23)</f>
        <v>46.869</v>
      </c>
      <c r="G27" s="10">
        <f>SUM(G20,G23)</f>
        <v>51.643999999999998</v>
      </c>
      <c r="H27" s="10">
        <f>SUM(H20,H23)</f>
        <v>54.377000000000002</v>
      </c>
      <c r="I27" s="10">
        <f>SUM(I20,I23)</f>
        <v>59.167000000000002</v>
      </c>
      <c r="J27" s="10">
        <f>SUM(J20,J23)</f>
        <v>65.054000000000002</v>
      </c>
      <c r="K27" s="10">
        <f>SUM(K20,K23)</f>
        <v>71.012</v>
      </c>
      <c r="L27">
        <f>SUM(L20,L23)</f>
        <v>0</v>
      </c>
      <c r="M27">
        <f>SUM(M20,M23)</f>
        <v>0</v>
      </c>
    </row>
    <row r="28" spans="1:13" x14ac:dyDescent="0.25">
      <c r="C28">
        <f>C27-C26</f>
        <v>0</v>
      </c>
      <c r="D28" s="10">
        <f>D27-D26</f>
        <v>1</v>
      </c>
      <c r="E28" s="10">
        <f>E27-E26</f>
        <v>1.9789999999999992</v>
      </c>
      <c r="F28" s="10">
        <f>F27-F26</f>
        <v>6.8689999999999998</v>
      </c>
      <c r="G28" s="10">
        <f>G27-G26</f>
        <v>18.643999999999998</v>
      </c>
      <c r="H28" s="10">
        <f>H27-H26</f>
        <v>34.377000000000002</v>
      </c>
      <c r="I28" s="10">
        <f>I27-I26</f>
        <v>49.167000000000002</v>
      </c>
      <c r="J28" s="10">
        <f>J27-J26</f>
        <v>61.054000000000002</v>
      </c>
      <c r="K28" s="10">
        <f>K27-K26</f>
        <v>70.012</v>
      </c>
      <c r="L28">
        <f>L27-L26</f>
        <v>0</v>
      </c>
      <c r="M28">
        <f>M27-M26</f>
        <v>0</v>
      </c>
    </row>
    <row r="29" spans="1:13" x14ac:dyDescent="0.25">
      <c r="A29" s="7" t="s">
        <v>311</v>
      </c>
      <c r="B29" s="33">
        <v>10</v>
      </c>
      <c r="D29" s="10">
        <v>28</v>
      </c>
      <c r="E29" s="10">
        <v>120</v>
      </c>
      <c r="F29" s="10">
        <v>126</v>
      </c>
      <c r="G29" s="10">
        <v>133</v>
      </c>
      <c r="H29" s="10">
        <v>140</v>
      </c>
      <c r="I29" s="10">
        <v>148</v>
      </c>
      <c r="J29" s="10">
        <v>156</v>
      </c>
      <c r="K29" s="10">
        <v>164</v>
      </c>
      <c r="L29" s="10">
        <v>169</v>
      </c>
      <c r="M29" s="10">
        <v>174</v>
      </c>
    </row>
    <row r="30" spans="1:13" x14ac:dyDescent="0.25">
      <c r="A30" s="7"/>
      <c r="B30" s="33"/>
      <c r="C30">
        <f>C26*B29</f>
        <v>0</v>
      </c>
      <c r="D30" s="10">
        <f>D26*B29</f>
        <v>100</v>
      </c>
      <c r="E30" s="10">
        <f>E26*B29</f>
        <v>430</v>
      </c>
      <c r="F30" s="10">
        <f>F26*B29</f>
        <v>400</v>
      </c>
      <c r="G30" s="10">
        <f>G26*B29</f>
        <v>330</v>
      </c>
      <c r="H30" s="10">
        <f>H26*B29</f>
        <v>200</v>
      </c>
      <c r="I30" s="10">
        <f>I26*B29</f>
        <v>100</v>
      </c>
      <c r="J30" s="10">
        <f>J26*B29</f>
        <v>40</v>
      </c>
      <c r="K30" s="10">
        <f>K26*B29</f>
        <v>10</v>
      </c>
      <c r="L30" s="10">
        <f>L26*B29</f>
        <v>0</v>
      </c>
      <c r="M30" s="10">
        <f>M26*B29</f>
        <v>0</v>
      </c>
    </row>
    <row r="31" spans="1:13" x14ac:dyDescent="0.25">
      <c r="A31" s="7"/>
      <c r="B31" s="33"/>
      <c r="C31">
        <f>C30-C29</f>
        <v>0</v>
      </c>
      <c r="D31" s="10">
        <f>D30-D29</f>
        <v>72</v>
      </c>
      <c r="E31" s="10">
        <f>E30-E29</f>
        <v>310</v>
      </c>
      <c r="F31" s="10">
        <f>F30-F29</f>
        <v>274</v>
      </c>
      <c r="G31" s="10">
        <f>G30-G29</f>
        <v>197</v>
      </c>
      <c r="H31" s="10">
        <f>H30-H29</f>
        <v>60</v>
      </c>
      <c r="I31" s="10">
        <f>I30-I29</f>
        <v>-48</v>
      </c>
      <c r="J31" s="10">
        <f>J30-J29</f>
        <v>-116</v>
      </c>
      <c r="K31" s="10">
        <f>K30-K29</f>
        <v>-154</v>
      </c>
      <c r="L31" s="10">
        <f>L30-L29</f>
        <v>-169</v>
      </c>
      <c r="M31" s="10">
        <f>M30-M29</f>
        <v>-174</v>
      </c>
    </row>
    <row r="32" spans="1:13" x14ac:dyDescent="0.25">
      <c r="A32" s="7" t="s">
        <v>308</v>
      </c>
      <c r="D32" s="20">
        <v>1</v>
      </c>
      <c r="E32" s="20">
        <v>0.91200000000000003</v>
      </c>
      <c r="F32" s="20">
        <v>0.70299999999999996</v>
      </c>
      <c r="G32" s="20">
        <v>0.47399999999999998</v>
      </c>
      <c r="H32" s="20">
        <v>0.29099999999999998</v>
      </c>
      <c r="I32" s="20">
        <v>0.16500000000000001</v>
      </c>
      <c r="J32" s="20">
        <v>8.7999999999999995E-2</v>
      </c>
      <c r="K32" s="20">
        <v>4.3999999999999997E-2</v>
      </c>
      <c r="L32" s="20">
        <v>2.1000000000000001E-2</v>
      </c>
      <c r="M32" s="20">
        <v>8.9999999999999993E-3</v>
      </c>
    </row>
    <row r="33" spans="1:13" x14ac:dyDescent="0.25">
      <c r="A33" s="7"/>
      <c r="C33">
        <f>SUM(C26,C29)</f>
        <v>0</v>
      </c>
      <c r="D33" s="20">
        <f>SUM(D26,D29)</f>
        <v>38</v>
      </c>
      <c r="E33" s="20">
        <f>SUM(E26,E29)</f>
        <v>163</v>
      </c>
      <c r="F33" s="20">
        <f>SUM(F26,F29)</f>
        <v>166</v>
      </c>
      <c r="G33" s="20">
        <f>SUM(G26,G29)</f>
        <v>166</v>
      </c>
      <c r="H33" s="20">
        <f>SUM(H26,H29)</f>
        <v>160</v>
      </c>
      <c r="I33" s="20">
        <f>SUM(I26,I29)</f>
        <v>158</v>
      </c>
      <c r="J33" s="20">
        <f>SUM(J26,J29)</f>
        <v>160</v>
      </c>
      <c r="K33" s="20">
        <f>SUM(K26,K29)</f>
        <v>165</v>
      </c>
      <c r="L33" s="20">
        <f>SUM(L26,L29)</f>
        <v>169</v>
      </c>
      <c r="M33" s="20">
        <f>SUM(M26,M29)</f>
        <v>174</v>
      </c>
    </row>
    <row r="34" spans="1:13" x14ac:dyDescent="0.25">
      <c r="A34" s="7"/>
      <c r="C34">
        <f>C33-C32</f>
        <v>0</v>
      </c>
      <c r="D34" s="20">
        <f>D33-D32</f>
        <v>37</v>
      </c>
      <c r="E34" s="20">
        <f>E33-E32</f>
        <v>162.08799999999999</v>
      </c>
      <c r="F34" s="20">
        <f>F33-F32</f>
        <v>165.297</v>
      </c>
      <c r="G34" s="20">
        <f>G33-G32</f>
        <v>165.52600000000001</v>
      </c>
      <c r="H34" s="20">
        <f>H33-H32</f>
        <v>159.709</v>
      </c>
      <c r="I34" s="20">
        <f>I33-I32</f>
        <v>157.83500000000001</v>
      </c>
      <c r="J34" s="20">
        <f>J33-J32</f>
        <v>159.91200000000001</v>
      </c>
      <c r="K34" s="20">
        <f>K33-K32</f>
        <v>164.95599999999999</v>
      </c>
      <c r="L34" s="20">
        <f>L33-L32</f>
        <v>168.97900000000001</v>
      </c>
      <c r="M34" s="20">
        <f>M33-M32</f>
        <v>173.99100000000001</v>
      </c>
    </row>
    <row r="35" spans="1:13" x14ac:dyDescent="0.25">
      <c r="D35" s="10">
        <v>28</v>
      </c>
      <c r="E35" s="10">
        <v>109</v>
      </c>
      <c r="F35" s="10">
        <v>89</v>
      </c>
      <c r="G35" s="10">
        <v>63</v>
      </c>
      <c r="H35" s="10">
        <v>41</v>
      </c>
      <c r="I35" s="10">
        <v>24</v>
      </c>
      <c r="J35" s="10">
        <v>14</v>
      </c>
      <c r="K35" s="10">
        <v>7</v>
      </c>
      <c r="L35" s="10">
        <v>3</v>
      </c>
      <c r="M35" s="10">
        <v>2</v>
      </c>
    </row>
    <row r="36" spans="1:13" x14ac:dyDescent="0.25">
      <c r="A36" s="7" t="s">
        <v>312</v>
      </c>
      <c r="B36" s="33">
        <v>3</v>
      </c>
      <c r="D36" s="10">
        <v>9</v>
      </c>
      <c r="E36" s="10">
        <v>35</v>
      </c>
      <c r="F36" s="10">
        <v>36</v>
      </c>
      <c r="G36" s="10">
        <v>38</v>
      </c>
    </row>
    <row r="37" spans="1:13" x14ac:dyDescent="0.25">
      <c r="A37" s="7"/>
      <c r="B37" s="33"/>
      <c r="C37">
        <f>SUM(C32,C35)</f>
        <v>0</v>
      </c>
      <c r="D37" s="10">
        <f>SUM(D32,D35)</f>
        <v>29</v>
      </c>
      <c r="E37" s="10">
        <f>SUM(E32,E35)</f>
        <v>109.91200000000001</v>
      </c>
      <c r="F37" s="10">
        <f>SUM(F32,F35)</f>
        <v>89.703000000000003</v>
      </c>
      <c r="G37" s="10">
        <f>SUM(G32,G35)</f>
        <v>63.473999999999997</v>
      </c>
      <c r="H37" s="57">
        <f>SUM(H32,H35)</f>
        <v>41.290999999999997</v>
      </c>
      <c r="I37" s="57">
        <f>SUM(I32,I35)</f>
        <v>24.164999999999999</v>
      </c>
      <c r="J37" s="57">
        <f>SUM(J32,J35)</f>
        <v>14.087999999999999</v>
      </c>
      <c r="K37" s="57">
        <f>SUM(K32,K35)</f>
        <v>7.0439999999999996</v>
      </c>
      <c r="L37" s="57">
        <f>SUM(L32,L35)</f>
        <v>3.0209999999999999</v>
      </c>
      <c r="M37" s="57">
        <f>SUM(M32,M35)</f>
        <v>2.0089999999999999</v>
      </c>
    </row>
    <row r="38" spans="1:13" x14ac:dyDescent="0.25">
      <c r="A38" s="7"/>
      <c r="B38" s="33"/>
      <c r="C38">
        <f>C37-C36</f>
        <v>0</v>
      </c>
      <c r="D38" s="10">
        <f>D37-D36</f>
        <v>20</v>
      </c>
      <c r="E38" s="10">
        <f>E37-E36</f>
        <v>74.912000000000006</v>
      </c>
      <c r="F38" s="10">
        <f>F37-F36</f>
        <v>53.703000000000003</v>
      </c>
      <c r="G38" s="10">
        <f>G37-G36</f>
        <v>25.473999999999997</v>
      </c>
      <c r="H38" s="57">
        <f>H37-H36</f>
        <v>41.290999999999997</v>
      </c>
      <c r="I38" s="57">
        <f>I37-I36</f>
        <v>24.164999999999999</v>
      </c>
      <c r="J38" s="57">
        <f>J37-J36</f>
        <v>14.087999999999999</v>
      </c>
      <c r="K38" s="57">
        <f>K37-K36</f>
        <v>7.0439999999999996</v>
      </c>
      <c r="L38" s="57">
        <f>L37-L36</f>
        <v>3.0209999999999999</v>
      </c>
      <c r="M38" s="57">
        <f>M37-M36</f>
        <v>2.0089999999999999</v>
      </c>
    </row>
    <row r="39" spans="1:13" x14ac:dyDescent="0.25">
      <c r="A39" s="7" t="s">
        <v>308</v>
      </c>
      <c r="D39" s="20">
        <v>1</v>
      </c>
      <c r="E39" s="20">
        <v>0.84799999999999998</v>
      </c>
      <c r="F39" s="20">
        <v>0.41199999999999998</v>
      </c>
      <c r="G39" s="20">
        <v>6.6000000000000003E-2</v>
      </c>
    </row>
    <row r="40" spans="1:13" x14ac:dyDescent="0.25">
      <c r="D40" s="10">
        <v>9</v>
      </c>
      <c r="E40" s="10">
        <v>30</v>
      </c>
      <c r="F40" s="10">
        <v>15</v>
      </c>
      <c r="G40" s="10">
        <v>3</v>
      </c>
    </row>
    <row r="41" spans="1:13" x14ac:dyDescent="0.25">
      <c r="C41">
        <f>C36*C39</f>
        <v>0</v>
      </c>
      <c r="D41" s="10">
        <f>D36*D39</f>
        <v>9</v>
      </c>
      <c r="E41" s="10">
        <f>E36*E39</f>
        <v>29.68</v>
      </c>
      <c r="F41" s="10">
        <f>F36*F39</f>
        <v>14.831999999999999</v>
      </c>
      <c r="G41" s="10">
        <f>G36*G39</f>
        <v>2.508</v>
      </c>
      <c r="H41">
        <f>H36*H39</f>
        <v>0</v>
      </c>
      <c r="I41">
        <f>I36*I39</f>
        <v>0</v>
      </c>
      <c r="J41">
        <f>J36*J39</f>
        <v>0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C42">
        <f>C41-C40</f>
        <v>0</v>
      </c>
      <c r="D42" s="10">
        <f>D41-D40</f>
        <v>0</v>
      </c>
      <c r="E42" s="10">
        <f>E41-E40</f>
        <v>-0.32000000000000028</v>
      </c>
      <c r="F42" s="10">
        <f>F41-F40</f>
        <v>-0.16800000000000104</v>
      </c>
      <c r="G42" s="10">
        <f>G41-G40</f>
        <v>-0.49199999999999999</v>
      </c>
      <c r="H42">
        <f>H41-H40</f>
        <v>0</v>
      </c>
      <c r="I42">
        <f>I41-I40</f>
        <v>0</v>
      </c>
      <c r="J42">
        <f>J41-J40</f>
        <v>0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6" t="s">
        <v>313</v>
      </c>
      <c r="D43" s="13">
        <v>59</v>
      </c>
      <c r="E43" s="13">
        <v>226</v>
      </c>
      <c r="F43" s="13">
        <v>178</v>
      </c>
      <c r="G43" s="13">
        <v>126</v>
      </c>
      <c r="H43" s="13">
        <v>84</v>
      </c>
      <c r="I43" s="13">
        <v>55</v>
      </c>
      <c r="J43" s="13">
        <v>36</v>
      </c>
      <c r="K43" s="13">
        <v>26</v>
      </c>
      <c r="L43" s="13">
        <v>20</v>
      </c>
      <c r="M43" s="13">
        <v>16</v>
      </c>
    </row>
    <row r="44" spans="1:13" x14ac:dyDescent="0.25">
      <c r="A44" s="7" t="s">
        <v>314</v>
      </c>
      <c r="C44" s="20">
        <v>0.15</v>
      </c>
      <c r="D44" s="10">
        <v>9</v>
      </c>
      <c r="E44" s="10">
        <v>34</v>
      </c>
      <c r="F44" s="10">
        <v>27</v>
      </c>
      <c r="G44" s="10">
        <v>19</v>
      </c>
      <c r="H44" s="10">
        <v>13</v>
      </c>
      <c r="I44" s="10">
        <v>8</v>
      </c>
      <c r="J44" s="10">
        <v>5</v>
      </c>
      <c r="K44" s="10">
        <v>4</v>
      </c>
      <c r="L44" s="10">
        <v>3</v>
      </c>
      <c r="M44" s="10">
        <v>2</v>
      </c>
    </row>
    <row r="45" spans="1:13" x14ac:dyDescent="0.25">
      <c r="A45" s="6" t="s">
        <v>315</v>
      </c>
      <c r="D45" s="13">
        <v>9</v>
      </c>
      <c r="E45" s="13">
        <v>34</v>
      </c>
      <c r="F45" s="13">
        <v>27</v>
      </c>
      <c r="G45" s="13">
        <v>19</v>
      </c>
      <c r="H45" s="13">
        <v>13</v>
      </c>
      <c r="I45" s="13">
        <v>8</v>
      </c>
      <c r="J45" s="13">
        <v>5</v>
      </c>
      <c r="K45" s="13">
        <v>4</v>
      </c>
      <c r="L45" s="13">
        <v>3</v>
      </c>
      <c r="M45" s="13">
        <v>2</v>
      </c>
    </row>
    <row r="46" spans="1:13" x14ac:dyDescent="0.25">
      <c r="A46" s="7" t="s">
        <v>109</v>
      </c>
      <c r="C46" s="20">
        <v>0.218</v>
      </c>
      <c r="D46" s="19">
        <v>-2</v>
      </c>
      <c r="E46" s="19">
        <v>-7</v>
      </c>
      <c r="F46" s="19">
        <v>-6</v>
      </c>
      <c r="G46" s="19">
        <v>-4</v>
      </c>
      <c r="H46" s="19">
        <v>-3</v>
      </c>
      <c r="I46" s="19">
        <v>-2</v>
      </c>
      <c r="J46" s="19">
        <v>-1</v>
      </c>
      <c r="K46" s="19">
        <v>-1</v>
      </c>
      <c r="L46" s="19">
        <v>-1</v>
      </c>
      <c r="M46" s="19">
        <v>-1</v>
      </c>
    </row>
    <row r="47" spans="1:13" x14ac:dyDescent="0.25">
      <c r="A47" s="6" t="s">
        <v>316</v>
      </c>
      <c r="D47" s="13">
        <v>7</v>
      </c>
      <c r="E47" s="13">
        <v>26</v>
      </c>
      <c r="F47" s="13">
        <v>21</v>
      </c>
      <c r="G47" s="13">
        <v>15</v>
      </c>
      <c r="H47" s="13">
        <v>10</v>
      </c>
      <c r="I47" s="13">
        <v>6</v>
      </c>
      <c r="J47" s="13">
        <v>4</v>
      </c>
      <c r="K47" s="13">
        <v>3</v>
      </c>
      <c r="L47" s="13">
        <v>2</v>
      </c>
      <c r="M47" s="13">
        <v>2</v>
      </c>
    </row>
    <row r="48" spans="1:13" x14ac:dyDescent="0.25">
      <c r="A48" s="7" t="s">
        <v>115</v>
      </c>
      <c r="C48" s="20">
        <v>0.11</v>
      </c>
      <c r="D48" s="23">
        <v>0.98740000000000006</v>
      </c>
      <c r="E48" s="23">
        <v>0.92530000000000001</v>
      </c>
      <c r="F48" s="23">
        <v>0.83360000000000001</v>
      </c>
      <c r="G48" s="24">
        <v>0.751</v>
      </c>
      <c r="H48" s="23">
        <v>0.67659999999999998</v>
      </c>
      <c r="I48" s="23">
        <v>0.60950000000000004</v>
      </c>
      <c r="J48" s="23">
        <v>0.54910000000000003</v>
      </c>
      <c r="K48" s="23">
        <v>0.49469999999999997</v>
      </c>
      <c r="L48" s="23">
        <v>0.44569999999999999</v>
      </c>
      <c r="M48" s="23">
        <v>0.40150000000000002</v>
      </c>
    </row>
    <row r="49" spans="1:13" x14ac:dyDescent="0.25">
      <c r="A49" s="6" t="s">
        <v>317</v>
      </c>
      <c r="D49" s="13">
        <v>7</v>
      </c>
      <c r="E49" s="13">
        <v>24</v>
      </c>
      <c r="F49" s="13">
        <v>17</v>
      </c>
      <c r="G49" s="13">
        <v>11</v>
      </c>
      <c r="H49" s="13">
        <v>7</v>
      </c>
      <c r="I49" s="13">
        <v>4</v>
      </c>
      <c r="J49" s="13">
        <v>2</v>
      </c>
      <c r="K49" s="13">
        <v>1</v>
      </c>
      <c r="L49" s="13">
        <v>1</v>
      </c>
      <c r="M49" s="13">
        <v>1</v>
      </c>
    </row>
    <row r="50" spans="1:13" x14ac:dyDescent="0.25">
      <c r="A50" s="7" t="s">
        <v>216</v>
      </c>
      <c r="D50" s="10">
        <v>78</v>
      </c>
      <c r="I50" s="7" t="s">
        <v>14</v>
      </c>
    </row>
    <row r="51" spans="1:13" x14ac:dyDescent="0.25">
      <c r="A51" s="7" t="s">
        <v>121</v>
      </c>
      <c r="B51" s="5" t="s">
        <v>122</v>
      </c>
      <c r="D51" s="10">
        <v>7</v>
      </c>
      <c r="G51" s="13">
        <v>85</v>
      </c>
      <c r="H51" s="10">
        <v>5</v>
      </c>
      <c r="I51" s="10">
        <v>6</v>
      </c>
      <c r="J51" s="10">
        <v>7</v>
      </c>
    </row>
    <row r="52" spans="1:13" x14ac:dyDescent="0.25">
      <c r="A52" s="6" t="s">
        <v>219</v>
      </c>
      <c r="D52" s="13">
        <v>85</v>
      </c>
      <c r="G52" s="20">
        <v>0.1</v>
      </c>
      <c r="H52" s="21">
        <v>56</v>
      </c>
      <c r="I52" s="21">
        <v>56</v>
      </c>
      <c r="J52" s="21">
        <v>56</v>
      </c>
    </row>
    <row r="53" spans="1:13" x14ac:dyDescent="0.25">
      <c r="A53" s="6"/>
      <c r="D53" s="13"/>
      <c r="G53" s="20"/>
      <c r="H53" s="21"/>
      <c r="I53" s="21"/>
      <c r="J53" s="21"/>
    </row>
    <row r="54" spans="1:13" x14ac:dyDescent="0.25">
      <c r="A54" s="6"/>
      <c r="D54" s="13"/>
      <c r="G54" s="20"/>
      <c r="H54" s="21"/>
      <c r="I54" s="21"/>
      <c r="J54" s="21"/>
    </row>
    <row r="55" spans="1:13" x14ac:dyDescent="0.25">
      <c r="F55" s="7" t="s">
        <v>318</v>
      </c>
      <c r="G55" s="20">
        <v>0.125</v>
      </c>
      <c r="H55" s="21">
        <v>70</v>
      </c>
      <c r="I55" s="21">
        <v>70</v>
      </c>
      <c r="J55" s="21">
        <v>70</v>
      </c>
    </row>
    <row r="56" spans="1:13" x14ac:dyDescent="0.25">
      <c r="F56" s="7"/>
      <c r="G56" s="20"/>
      <c r="H56" s="21"/>
      <c r="I56" s="21"/>
      <c r="J56" s="21"/>
    </row>
    <row r="57" spans="1:13" x14ac:dyDescent="0.25">
      <c r="F57" s="7"/>
      <c r="G57" s="20"/>
      <c r="H57" s="21"/>
      <c r="I57" s="21"/>
      <c r="J57" s="21"/>
    </row>
    <row r="58" spans="1:13" x14ac:dyDescent="0.25">
      <c r="G58" s="20">
        <v>0.15</v>
      </c>
      <c r="H58" s="21">
        <v>85</v>
      </c>
      <c r="I58" s="21">
        <v>85</v>
      </c>
      <c r="J58" s="21">
        <v>85</v>
      </c>
    </row>
    <row r="59" spans="1:13" x14ac:dyDescent="0.25">
      <c r="G59" s="20"/>
      <c r="H59" s="21"/>
      <c r="I59" s="21"/>
      <c r="J59" s="21"/>
    </row>
    <row r="60" spans="1:13" x14ac:dyDescent="0.25">
      <c r="G60" s="20"/>
      <c r="H60" s="21"/>
      <c r="I60" s="21"/>
      <c r="J60" s="21"/>
    </row>
    <row r="61" spans="1:13" x14ac:dyDescent="0.25">
      <c r="A61" s="9" t="s">
        <v>319</v>
      </c>
    </row>
    <row r="62" spans="1:13" x14ac:dyDescent="0.25">
      <c r="A62" s="9"/>
    </row>
    <row r="63" spans="1:13" x14ac:dyDescent="0.25">
      <c r="A63" s="9"/>
    </row>
    <row r="64" spans="1:13" x14ac:dyDescent="0.25">
      <c r="A64" s="7" t="s">
        <v>225</v>
      </c>
      <c r="D64" s="20">
        <v>0.29499999999999998</v>
      </c>
      <c r="E64" s="20">
        <v>0.27900000000000003</v>
      </c>
      <c r="F64" s="20">
        <v>0.3</v>
      </c>
      <c r="G64" s="20">
        <v>0.29599999999999999</v>
      </c>
      <c r="H64" s="20">
        <v>0.29399999999999998</v>
      </c>
      <c r="I64" s="20">
        <v>0.30599999999999999</v>
      </c>
      <c r="J64" s="20">
        <v>0.317</v>
      </c>
      <c r="K64" s="20">
        <v>0.32800000000000001</v>
      </c>
      <c r="L64" s="20">
        <v>0.38800000000000001</v>
      </c>
    </row>
    <row r="65" spans="1:14" x14ac:dyDescent="0.25">
      <c r="A65" s="7"/>
      <c r="D65" s="20"/>
      <c r="E65" s="20"/>
      <c r="F65" s="20"/>
      <c r="G65" s="20"/>
      <c r="H65" s="20"/>
      <c r="I65" s="20"/>
      <c r="J65" s="20"/>
      <c r="K65" s="20"/>
      <c r="L65" s="20"/>
    </row>
    <row r="66" spans="1:14" x14ac:dyDescent="0.25">
      <c r="A66" s="7"/>
      <c r="D66" s="20"/>
      <c r="E66" s="20"/>
      <c r="F66" s="20"/>
      <c r="G66" s="20"/>
      <c r="H66" s="20"/>
      <c r="I66" s="20"/>
      <c r="J66" s="20"/>
      <c r="K66" s="20"/>
      <c r="L66" s="20"/>
    </row>
    <row r="67" spans="1:14" x14ac:dyDescent="0.25">
      <c r="A67" s="7" t="s">
        <v>320</v>
      </c>
      <c r="D67" s="20">
        <v>0.50800000000000001</v>
      </c>
      <c r="E67" s="20">
        <v>0.53800000000000003</v>
      </c>
      <c r="F67" s="20">
        <v>0.5</v>
      </c>
      <c r="G67" s="20">
        <v>0.50700000000000001</v>
      </c>
      <c r="H67" s="20">
        <v>0.51</v>
      </c>
      <c r="I67" s="20">
        <v>0.49</v>
      </c>
      <c r="J67" s="20">
        <v>0.47299999999999998</v>
      </c>
      <c r="K67" s="20">
        <v>0.45800000000000002</v>
      </c>
      <c r="L67" s="20">
        <v>0.38700000000000001</v>
      </c>
    </row>
    <row r="68" spans="1:14" x14ac:dyDescent="0.25">
      <c r="A68" s="16" t="s">
        <v>127</v>
      </c>
    </row>
    <row r="69" spans="1:14" x14ac:dyDescent="0.25">
      <c r="A69" s="7" t="s">
        <v>227</v>
      </c>
    </row>
    <row r="70" spans="1:14" x14ac:dyDescent="0.25">
      <c r="A70" s="16" t="s">
        <v>61</v>
      </c>
    </row>
    <row r="71" spans="1:14" x14ac:dyDescent="0.25">
      <c r="A71" s="4" t="s">
        <v>62</v>
      </c>
      <c r="N71" s="32" t="s">
        <v>63</v>
      </c>
    </row>
    <row r="72" spans="1:14" x14ac:dyDescent="0.25">
      <c r="H72" s="5" t="s">
        <v>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2:M50"/>
  <sheetViews>
    <sheetView workbookViewId="0"/>
  </sheetViews>
  <sheetFormatPr defaultRowHeight="15" x14ac:dyDescent="0.25"/>
  <cols>
    <col min="1" max="1" width="75" bestFit="1" customWidth="1"/>
  </cols>
  <sheetData>
    <row r="2" spans="1:13" x14ac:dyDescent="0.25">
      <c r="A2" s="6" t="s">
        <v>1</v>
      </c>
      <c r="M2" s="7" t="s">
        <v>321</v>
      </c>
    </row>
    <row r="3" spans="1:13" x14ac:dyDescent="0.25">
      <c r="A3" s="6" t="s">
        <v>9</v>
      </c>
    </row>
    <row r="4" spans="1:13" x14ac:dyDescent="0.25">
      <c r="A4" s="6" t="s">
        <v>302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202</v>
      </c>
      <c r="D7" s="9" t="s">
        <v>229</v>
      </c>
      <c r="E7" s="9" t="s">
        <v>230</v>
      </c>
      <c r="F7" s="9" t="s">
        <v>231</v>
      </c>
      <c r="G7" s="9" t="s">
        <v>232</v>
      </c>
      <c r="H7" s="9" t="s">
        <v>233</v>
      </c>
      <c r="I7" s="9" t="s">
        <v>234</v>
      </c>
      <c r="J7" s="9" t="s">
        <v>235</v>
      </c>
      <c r="K7" s="9" t="s">
        <v>236</v>
      </c>
      <c r="L7" s="9" t="s">
        <v>237</v>
      </c>
    </row>
    <row r="8" spans="1:13" x14ac:dyDescent="0.25">
      <c r="A8" s="7" t="s">
        <v>305</v>
      </c>
      <c r="C8" s="7" t="s">
        <v>90</v>
      </c>
      <c r="D8" s="7" t="s">
        <v>90</v>
      </c>
      <c r="E8" s="7" t="s">
        <v>90</v>
      </c>
      <c r="F8" s="7" t="s">
        <v>90</v>
      </c>
      <c r="G8" s="7" t="s">
        <v>90</v>
      </c>
      <c r="H8" s="7" t="s">
        <v>90</v>
      </c>
      <c r="I8" s="7" t="s">
        <v>90</v>
      </c>
      <c r="J8" s="7" t="s">
        <v>90</v>
      </c>
      <c r="K8" s="7" t="s">
        <v>90</v>
      </c>
      <c r="L8" s="7" t="s">
        <v>90</v>
      </c>
    </row>
    <row r="9" spans="1:13" x14ac:dyDescent="0.25">
      <c r="A9" s="7" t="s">
        <v>306</v>
      </c>
    </row>
    <row r="10" spans="1:13" x14ac:dyDescent="0.25">
      <c r="A10" s="7" t="s">
        <v>307</v>
      </c>
      <c r="C10" s="7" t="s">
        <v>90</v>
      </c>
      <c r="D10" s="7" t="s">
        <v>90</v>
      </c>
      <c r="E10" s="7" t="s">
        <v>90</v>
      </c>
      <c r="F10" s="7" t="s">
        <v>90</v>
      </c>
      <c r="G10" s="7" t="s">
        <v>90</v>
      </c>
      <c r="H10" s="7" t="s">
        <v>90</v>
      </c>
      <c r="I10" s="7" t="s">
        <v>90</v>
      </c>
      <c r="J10" s="7" t="s">
        <v>90</v>
      </c>
      <c r="K10" s="7" t="s">
        <v>90</v>
      </c>
      <c r="L10" s="7" t="s">
        <v>90</v>
      </c>
    </row>
    <row r="11" spans="1:13" x14ac:dyDescent="0.25">
      <c r="A11" s="7"/>
      <c r="C11" s="7" t="s">
        <v>825</v>
      </c>
      <c r="D11" s="7" t="s">
        <v>831</v>
      </c>
      <c r="E11" s="7" t="s">
        <v>837</v>
      </c>
      <c r="F11" s="7" t="s">
        <v>847</v>
      </c>
      <c r="G11" s="7" t="s">
        <v>859</v>
      </c>
      <c r="H11" s="7" t="s">
        <v>871</v>
      </c>
      <c r="I11" s="7" t="s">
        <v>883</v>
      </c>
      <c r="J11" s="7" t="s">
        <v>895</v>
      </c>
      <c r="K11" s="7" t="s">
        <v>907</v>
      </c>
      <c r="L11" s="7" t="s">
        <v>919</v>
      </c>
      <c r="M11">
        <f>SUM(M8:M9)</f>
        <v>0</v>
      </c>
    </row>
    <row r="12" spans="1:13" x14ac:dyDescent="0.25">
      <c r="A12" s="7"/>
      <c r="C12" s="7" t="s">
        <v>826</v>
      </c>
      <c r="D12" s="7" t="s">
        <v>832</v>
      </c>
      <c r="E12" s="7" t="s">
        <v>838</v>
      </c>
      <c r="F12" s="7" t="s">
        <v>848</v>
      </c>
      <c r="G12" s="7" t="s">
        <v>860</v>
      </c>
      <c r="H12" s="7" t="s">
        <v>872</v>
      </c>
      <c r="I12" s="7" t="s">
        <v>884</v>
      </c>
      <c r="J12" s="7" t="s">
        <v>896</v>
      </c>
      <c r="K12" s="7" t="s">
        <v>908</v>
      </c>
      <c r="L12" s="7" t="s">
        <v>920</v>
      </c>
      <c r="M12">
        <f>M11-M10</f>
        <v>0</v>
      </c>
    </row>
    <row r="13" spans="1:13" x14ac:dyDescent="0.25">
      <c r="A13" s="7" t="s">
        <v>308</v>
      </c>
      <c r="C13" s="7" t="s">
        <v>90</v>
      </c>
      <c r="D13" s="7" t="s">
        <v>90</v>
      </c>
      <c r="E13" s="7" t="s">
        <v>90</v>
      </c>
      <c r="F13" s="7" t="s">
        <v>90</v>
      </c>
      <c r="G13" s="7" t="s">
        <v>90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</row>
    <row r="14" spans="1:13" x14ac:dyDescent="0.25">
      <c r="A14" s="7" t="s">
        <v>309</v>
      </c>
      <c r="C14" s="10">
        <v>25</v>
      </c>
      <c r="D14" s="10">
        <v>25</v>
      </c>
      <c r="E14" s="10">
        <v>26</v>
      </c>
      <c r="F14" s="10">
        <v>27</v>
      </c>
      <c r="G14" s="10">
        <v>28</v>
      </c>
      <c r="H14" s="10">
        <v>29</v>
      </c>
      <c r="I14" s="10">
        <v>29</v>
      </c>
      <c r="J14" s="10">
        <v>30</v>
      </c>
      <c r="K14" s="10">
        <v>31</v>
      </c>
      <c r="L14" s="10">
        <v>32</v>
      </c>
    </row>
    <row r="15" spans="1:13" x14ac:dyDescent="0.25">
      <c r="A15" s="7"/>
      <c r="C15" s="10" t="e">
        <f>C10*C13</f>
        <v>#VALUE!</v>
      </c>
      <c r="D15" s="10" t="e">
        <f>D10*D13</f>
        <v>#VALUE!</v>
      </c>
      <c r="E15" s="10" t="e">
        <f>E10*E13</f>
        <v>#VALUE!</v>
      </c>
      <c r="F15" s="10" t="e">
        <f>F10*F13</f>
        <v>#VALUE!</v>
      </c>
      <c r="G15" s="10" t="e">
        <f>G10*G13</f>
        <v>#VALUE!</v>
      </c>
      <c r="H15" s="10" t="e">
        <f>H10*H13</f>
        <v>#VALUE!</v>
      </c>
      <c r="I15" s="10" t="e">
        <f>I10*I13</f>
        <v>#VALUE!</v>
      </c>
      <c r="J15" s="10" t="e">
        <f>J10*J13</f>
        <v>#VALUE!</v>
      </c>
      <c r="K15" s="10" t="e">
        <f>K10*K13</f>
        <v>#VALUE!</v>
      </c>
      <c r="L15" s="10" t="e">
        <f>L10*L13</f>
        <v>#VALUE!</v>
      </c>
      <c r="M15">
        <f>M10*M13</f>
        <v>0</v>
      </c>
    </row>
    <row r="16" spans="1:13" x14ac:dyDescent="0.25">
      <c r="A16" s="7"/>
      <c r="C16" s="10" t="e">
        <f>C15-C14</f>
        <v>#VALUE!</v>
      </c>
      <c r="D16" s="10" t="e">
        <f>D15-D14</f>
        <v>#VALUE!</v>
      </c>
      <c r="E16" s="10" t="e">
        <f>E15-E14</f>
        <v>#VALUE!</v>
      </c>
      <c r="F16" s="10" t="e">
        <f>F15-F14</f>
        <v>#VALUE!</v>
      </c>
      <c r="G16" s="10" t="e">
        <f>G15-G14</f>
        <v>#VALUE!</v>
      </c>
      <c r="H16" s="10" t="e">
        <f>H15-H14</f>
        <v>#VALUE!</v>
      </c>
      <c r="I16" s="10" t="e">
        <f>I15-I14</f>
        <v>#VALUE!</v>
      </c>
      <c r="J16" s="10" t="e">
        <f>J15-J14</f>
        <v>#VALUE!</v>
      </c>
      <c r="K16" s="10" t="e">
        <f>K15-K14</f>
        <v>#VALUE!</v>
      </c>
      <c r="L16" s="10" t="e">
        <f>L15-L14</f>
        <v>#VALUE!</v>
      </c>
      <c r="M16">
        <f>M15-M14</f>
        <v>0</v>
      </c>
    </row>
    <row r="17" spans="1:13" x14ac:dyDescent="0.25">
      <c r="A17" s="7" t="s">
        <v>308</v>
      </c>
      <c r="C17" s="20">
        <v>0.51900000000000002</v>
      </c>
      <c r="D17" s="20">
        <v>0.432</v>
      </c>
      <c r="E17" s="20">
        <v>0.34899999999999998</v>
      </c>
      <c r="F17" s="20">
        <v>0.27300000000000002</v>
      </c>
      <c r="G17" s="20">
        <v>0.20799999999999999</v>
      </c>
      <c r="H17" s="20">
        <v>0.153</v>
      </c>
      <c r="I17" s="20">
        <v>0.109</v>
      </c>
      <c r="J17" s="20">
        <v>7.4999999999999997E-2</v>
      </c>
      <c r="K17" s="20">
        <v>0.05</v>
      </c>
      <c r="L17" s="20">
        <v>3.2000000000000001E-2</v>
      </c>
    </row>
    <row r="18" spans="1:13" x14ac:dyDescent="0.25">
      <c r="C18" s="10">
        <v>13</v>
      </c>
      <c r="D18" s="10">
        <v>11</v>
      </c>
      <c r="E18" s="10">
        <v>9</v>
      </c>
      <c r="F18" s="10">
        <v>7</v>
      </c>
      <c r="G18" s="10">
        <v>6</v>
      </c>
      <c r="H18" s="10">
        <v>4</v>
      </c>
      <c r="I18" s="10">
        <v>3</v>
      </c>
      <c r="J18" s="10">
        <v>2</v>
      </c>
      <c r="K18" s="10">
        <v>2</v>
      </c>
      <c r="L18" s="10">
        <v>1</v>
      </c>
    </row>
    <row r="19" spans="1:13" x14ac:dyDescent="0.25">
      <c r="A19" s="7" t="s">
        <v>310</v>
      </c>
      <c r="C19" s="7" t="s">
        <v>90</v>
      </c>
      <c r="D19" s="7" t="s">
        <v>90</v>
      </c>
      <c r="E19" s="7" t="s">
        <v>90</v>
      </c>
      <c r="F19" s="7" t="s">
        <v>90</v>
      </c>
      <c r="G19" s="7" t="s">
        <v>90</v>
      </c>
      <c r="H19" s="7" t="s">
        <v>90</v>
      </c>
      <c r="I19" s="7" t="s">
        <v>90</v>
      </c>
      <c r="J19" s="7" t="s">
        <v>90</v>
      </c>
      <c r="K19" s="7" t="s">
        <v>90</v>
      </c>
      <c r="L19" s="7" t="s">
        <v>90</v>
      </c>
    </row>
    <row r="20" spans="1:13" x14ac:dyDescent="0.25">
      <c r="A20" s="7" t="s">
        <v>308</v>
      </c>
      <c r="C20" s="7" t="s">
        <v>90</v>
      </c>
      <c r="D20" s="7" t="s">
        <v>90</v>
      </c>
      <c r="E20" s="7" t="s">
        <v>90</v>
      </c>
      <c r="F20" s="7" t="s">
        <v>90</v>
      </c>
      <c r="G20" s="7" t="s">
        <v>90</v>
      </c>
      <c r="H20" s="7" t="s">
        <v>90</v>
      </c>
      <c r="I20" s="7" t="s">
        <v>90</v>
      </c>
      <c r="J20" s="7" t="s">
        <v>90</v>
      </c>
      <c r="K20" s="7" t="s">
        <v>90</v>
      </c>
      <c r="L20" s="7" t="s">
        <v>90</v>
      </c>
    </row>
    <row r="21" spans="1:13" x14ac:dyDescent="0.25">
      <c r="A21" s="7"/>
      <c r="C21" s="7" t="s">
        <v>827</v>
      </c>
      <c r="D21" s="7" t="s">
        <v>833</v>
      </c>
      <c r="E21" s="7" t="s">
        <v>839</v>
      </c>
      <c r="F21" s="7" t="s">
        <v>849</v>
      </c>
      <c r="G21" s="7" t="s">
        <v>861</v>
      </c>
      <c r="H21" s="7" t="s">
        <v>873</v>
      </c>
      <c r="I21" s="7" t="s">
        <v>885</v>
      </c>
      <c r="J21" s="7" t="s">
        <v>897</v>
      </c>
      <c r="K21" s="7" t="s">
        <v>909</v>
      </c>
      <c r="L21" s="7" t="s">
        <v>921</v>
      </c>
      <c r="M21">
        <f>SUM(M18,M19)</f>
        <v>0</v>
      </c>
    </row>
    <row r="22" spans="1:13" x14ac:dyDescent="0.25">
      <c r="A22" s="7"/>
      <c r="C22" s="7" t="s">
        <v>828</v>
      </c>
      <c r="D22" s="7" t="s">
        <v>834</v>
      </c>
      <c r="E22" s="7" t="s">
        <v>840</v>
      </c>
      <c r="F22" s="7" t="s">
        <v>850</v>
      </c>
      <c r="G22" s="7" t="s">
        <v>862</v>
      </c>
      <c r="H22" s="7" t="s">
        <v>874</v>
      </c>
      <c r="I22" s="7" t="s">
        <v>886</v>
      </c>
      <c r="J22" s="7" t="s">
        <v>898</v>
      </c>
      <c r="K22" s="7" t="s">
        <v>910</v>
      </c>
      <c r="L22" s="7" t="s">
        <v>922</v>
      </c>
      <c r="M22">
        <f>M21-M20</f>
        <v>0</v>
      </c>
    </row>
    <row r="23" spans="1:13" x14ac:dyDescent="0.25">
      <c r="A23" s="7" t="s">
        <v>311</v>
      </c>
      <c r="C23" s="10">
        <v>179</v>
      </c>
      <c r="D23" s="10">
        <v>185</v>
      </c>
      <c r="E23" s="7" t="s">
        <v>90</v>
      </c>
      <c r="F23" s="7" t="s">
        <v>90</v>
      </c>
      <c r="G23" s="7" t="s">
        <v>90</v>
      </c>
      <c r="H23" s="7" t="s">
        <v>90</v>
      </c>
      <c r="I23" s="7" t="s">
        <v>90</v>
      </c>
      <c r="J23" s="7" t="s">
        <v>90</v>
      </c>
      <c r="K23" s="7" t="s">
        <v>90</v>
      </c>
      <c r="L23" s="7" t="s">
        <v>90</v>
      </c>
    </row>
    <row r="24" spans="1:13" x14ac:dyDescent="0.25">
      <c r="A24" s="7"/>
      <c r="C24" s="10" t="e">
        <f>C10*B23</f>
        <v>#VALUE!</v>
      </c>
      <c r="D24" s="10" t="e">
        <f>D10*B23</f>
        <v>#VALUE!</v>
      </c>
      <c r="E24" s="7" t="s">
        <v>841</v>
      </c>
      <c r="F24" s="7" t="s">
        <v>851</v>
      </c>
      <c r="G24" s="7" t="s">
        <v>863</v>
      </c>
      <c r="H24" s="7" t="s">
        <v>875</v>
      </c>
      <c r="I24" s="7" t="s">
        <v>887</v>
      </c>
      <c r="J24" s="7" t="s">
        <v>899</v>
      </c>
      <c r="K24" s="7" t="s">
        <v>911</v>
      </c>
      <c r="L24" s="7" t="s">
        <v>923</v>
      </c>
      <c r="M24">
        <f>M10*B23</f>
        <v>0</v>
      </c>
    </row>
    <row r="25" spans="1:13" x14ac:dyDescent="0.25">
      <c r="A25" s="7"/>
      <c r="C25" s="10" t="e">
        <f>C24-C23</f>
        <v>#VALUE!</v>
      </c>
      <c r="D25" s="10" t="e">
        <f>D24-D23</f>
        <v>#VALUE!</v>
      </c>
      <c r="E25" s="7" t="s">
        <v>842</v>
      </c>
      <c r="F25" s="7" t="s">
        <v>852</v>
      </c>
      <c r="G25" s="7" t="s">
        <v>864</v>
      </c>
      <c r="H25" s="7" t="s">
        <v>876</v>
      </c>
      <c r="I25" s="7" t="s">
        <v>888</v>
      </c>
      <c r="J25" s="7" t="s">
        <v>900</v>
      </c>
      <c r="K25" s="7" t="s">
        <v>912</v>
      </c>
      <c r="L25" s="7" t="s">
        <v>924</v>
      </c>
      <c r="M25">
        <f>M24-M23</f>
        <v>0</v>
      </c>
    </row>
    <row r="26" spans="1:13" x14ac:dyDescent="0.25">
      <c r="A26" s="7" t="s">
        <v>308</v>
      </c>
      <c r="C26" s="20">
        <v>4.0000000000000001E-3</v>
      </c>
      <c r="D26" s="20">
        <v>2E-3</v>
      </c>
      <c r="E26" s="20">
        <v>0</v>
      </c>
      <c r="F26" s="7" t="s">
        <v>90</v>
      </c>
      <c r="G26" s="7" t="s">
        <v>90</v>
      </c>
      <c r="H26" s="7" t="s">
        <v>90</v>
      </c>
      <c r="I26" s="7" t="s">
        <v>90</v>
      </c>
      <c r="J26" s="7" t="s">
        <v>90</v>
      </c>
      <c r="K26" s="7" t="s">
        <v>90</v>
      </c>
      <c r="L26" s="7" t="s">
        <v>90</v>
      </c>
    </row>
    <row r="27" spans="1:13" x14ac:dyDescent="0.25">
      <c r="A27" s="7"/>
      <c r="C27" s="7">
        <f>SUM(C20,C23)</f>
        <v>179</v>
      </c>
      <c r="D27" s="7">
        <f>SUM(D20,D23)</f>
        <v>185</v>
      </c>
      <c r="E27" s="7">
        <f>SUM(E20,E23)</f>
        <v>0</v>
      </c>
      <c r="F27" s="7" t="s">
        <v>853</v>
      </c>
      <c r="G27" s="7" t="s">
        <v>865</v>
      </c>
      <c r="H27" s="7" t="s">
        <v>877</v>
      </c>
      <c r="I27" s="7" t="s">
        <v>889</v>
      </c>
      <c r="J27" s="7" t="s">
        <v>901</v>
      </c>
      <c r="K27" s="7" t="s">
        <v>913</v>
      </c>
      <c r="L27" s="7" t="s">
        <v>925</v>
      </c>
      <c r="M27">
        <f>SUM(M20,M23)</f>
        <v>0</v>
      </c>
    </row>
    <row r="28" spans="1:13" x14ac:dyDescent="0.25">
      <c r="A28" s="7"/>
      <c r="C28" s="7">
        <f>C27-C26</f>
        <v>178.99600000000001</v>
      </c>
      <c r="D28" s="7">
        <f>D27-D26</f>
        <v>184.99799999999999</v>
      </c>
      <c r="E28" s="7">
        <f>E27-E26</f>
        <v>0</v>
      </c>
      <c r="F28" s="7" t="s">
        <v>854</v>
      </c>
      <c r="G28" s="7" t="s">
        <v>866</v>
      </c>
      <c r="H28" s="7" t="s">
        <v>878</v>
      </c>
      <c r="I28" s="7" t="s">
        <v>890</v>
      </c>
      <c r="J28" s="7" t="s">
        <v>902</v>
      </c>
      <c r="K28" s="7" t="s">
        <v>914</v>
      </c>
      <c r="L28" s="7" t="s">
        <v>926</v>
      </c>
      <c r="M28">
        <f>M27-M26</f>
        <v>0</v>
      </c>
    </row>
    <row r="29" spans="1:13" x14ac:dyDescent="0.25">
      <c r="C29" s="10">
        <v>1</v>
      </c>
      <c r="D29" s="10">
        <v>0</v>
      </c>
      <c r="E29" s="7" t="s">
        <v>90</v>
      </c>
      <c r="F29" s="7" t="s">
        <v>90</v>
      </c>
      <c r="G29" s="7" t="s">
        <v>90</v>
      </c>
      <c r="H29" s="7" t="s">
        <v>90</v>
      </c>
      <c r="I29" s="7" t="s">
        <v>90</v>
      </c>
      <c r="J29" s="7" t="s">
        <v>90</v>
      </c>
      <c r="K29" s="7" t="s">
        <v>90</v>
      </c>
      <c r="L29" s="7" t="s">
        <v>90</v>
      </c>
    </row>
    <row r="30" spans="1:13" x14ac:dyDescent="0.25">
      <c r="C30" s="10">
        <f>C26*B29</f>
        <v>0</v>
      </c>
      <c r="D30" s="10">
        <f>D26*B29</f>
        <v>0</v>
      </c>
      <c r="E30" s="7" t="s">
        <v>843</v>
      </c>
      <c r="F30" s="7" t="s">
        <v>855</v>
      </c>
      <c r="G30" s="7" t="s">
        <v>867</v>
      </c>
      <c r="H30" s="7" t="s">
        <v>879</v>
      </c>
      <c r="I30" s="7" t="s">
        <v>891</v>
      </c>
      <c r="J30" s="7" t="s">
        <v>903</v>
      </c>
      <c r="K30" s="7" t="s">
        <v>915</v>
      </c>
      <c r="L30" s="7" t="s">
        <v>927</v>
      </c>
      <c r="M30">
        <f>M26*B29</f>
        <v>0</v>
      </c>
    </row>
    <row r="31" spans="1:13" x14ac:dyDescent="0.25">
      <c r="C31" s="10">
        <f>C30-C29</f>
        <v>-1</v>
      </c>
      <c r="D31" s="10">
        <f>D30-D29</f>
        <v>0</v>
      </c>
      <c r="E31" s="7" t="s">
        <v>844</v>
      </c>
      <c r="F31" s="7" t="s">
        <v>856</v>
      </c>
      <c r="G31" s="7" t="s">
        <v>868</v>
      </c>
      <c r="H31" s="7" t="s">
        <v>880</v>
      </c>
      <c r="I31" s="7" t="s">
        <v>892</v>
      </c>
      <c r="J31" s="7" t="s">
        <v>904</v>
      </c>
      <c r="K31" s="7" t="s">
        <v>916</v>
      </c>
      <c r="L31" s="7" t="s">
        <v>928</v>
      </c>
      <c r="M31">
        <f>M30-M29</f>
        <v>0</v>
      </c>
    </row>
    <row r="32" spans="1:13" x14ac:dyDescent="0.25">
      <c r="A32" s="7" t="s">
        <v>312</v>
      </c>
      <c r="C32" s="7" t="s">
        <v>90</v>
      </c>
      <c r="D32" s="7" t="s">
        <v>90</v>
      </c>
      <c r="E32" s="7" t="s">
        <v>90</v>
      </c>
      <c r="F32" s="7" t="s">
        <v>90</v>
      </c>
      <c r="G32" s="7" t="s">
        <v>90</v>
      </c>
      <c r="H32" s="7" t="s">
        <v>90</v>
      </c>
      <c r="I32" s="7" t="s">
        <v>90</v>
      </c>
      <c r="J32" s="7" t="s">
        <v>90</v>
      </c>
      <c r="K32" s="7" t="s">
        <v>90</v>
      </c>
      <c r="L32" s="7" t="s">
        <v>90</v>
      </c>
    </row>
    <row r="33" spans="1:13" x14ac:dyDescent="0.25">
      <c r="A33" s="7"/>
      <c r="C33" s="7" t="s">
        <v>829</v>
      </c>
      <c r="D33" s="7" t="s">
        <v>835</v>
      </c>
      <c r="E33" s="7" t="s">
        <v>845</v>
      </c>
      <c r="F33" s="7" t="s">
        <v>857</v>
      </c>
      <c r="G33" s="7" t="s">
        <v>869</v>
      </c>
      <c r="H33" s="7" t="s">
        <v>881</v>
      </c>
      <c r="I33" s="7" t="s">
        <v>893</v>
      </c>
      <c r="J33" s="7" t="s">
        <v>905</v>
      </c>
      <c r="K33" s="7" t="s">
        <v>917</v>
      </c>
      <c r="L33" s="7" t="s">
        <v>929</v>
      </c>
      <c r="M33">
        <f>SUM(M26,M29)</f>
        <v>0</v>
      </c>
    </row>
    <row r="34" spans="1:13" x14ac:dyDescent="0.25">
      <c r="A34" s="7"/>
      <c r="C34" s="7" t="s">
        <v>830</v>
      </c>
      <c r="D34" s="7" t="s">
        <v>836</v>
      </c>
      <c r="E34" s="7" t="s">
        <v>846</v>
      </c>
      <c r="F34" s="7" t="s">
        <v>858</v>
      </c>
      <c r="G34" s="7" t="s">
        <v>870</v>
      </c>
      <c r="H34" s="7" t="s">
        <v>882</v>
      </c>
      <c r="I34" s="7" t="s">
        <v>894</v>
      </c>
      <c r="J34" s="7" t="s">
        <v>906</v>
      </c>
      <c r="K34" s="7" t="s">
        <v>918</v>
      </c>
      <c r="L34" s="7" t="s">
        <v>930</v>
      </c>
      <c r="M34">
        <f>M33-M32</f>
        <v>0</v>
      </c>
    </row>
    <row r="35" spans="1:13" x14ac:dyDescent="0.25">
      <c r="A35" s="7" t="s">
        <v>308</v>
      </c>
      <c r="C35" s="7" t="s">
        <v>90</v>
      </c>
      <c r="D35" s="7" t="s">
        <v>90</v>
      </c>
      <c r="E35" s="7" t="s">
        <v>90</v>
      </c>
      <c r="F35" s="7" t="s">
        <v>90</v>
      </c>
      <c r="G35" s="7" t="s">
        <v>90</v>
      </c>
      <c r="H35" s="7" t="s">
        <v>90</v>
      </c>
      <c r="I35" s="7" t="s">
        <v>90</v>
      </c>
      <c r="J35" s="7" t="s">
        <v>90</v>
      </c>
      <c r="K35" s="7" t="s">
        <v>90</v>
      </c>
      <c r="L35" s="7" t="s">
        <v>90</v>
      </c>
    </row>
    <row r="36" spans="1:13" x14ac:dyDescent="0.25">
      <c r="A36" s="6" t="s">
        <v>313</v>
      </c>
      <c r="C36" s="13">
        <v>14</v>
      </c>
      <c r="D36" s="13">
        <v>11</v>
      </c>
      <c r="E36" s="13">
        <v>9</v>
      </c>
      <c r="F36" s="13">
        <v>7</v>
      </c>
      <c r="G36" s="13">
        <v>6</v>
      </c>
      <c r="H36" s="13">
        <v>4</v>
      </c>
      <c r="I36" s="13">
        <v>3</v>
      </c>
      <c r="J36" s="13">
        <v>2</v>
      </c>
      <c r="K36" s="13">
        <v>2</v>
      </c>
      <c r="L36" s="13">
        <v>1</v>
      </c>
    </row>
    <row r="37" spans="1:13" x14ac:dyDescent="0.25">
      <c r="A37" s="6"/>
      <c r="C37" s="13">
        <f>SUM(C32,C35)</f>
        <v>0</v>
      </c>
      <c r="D37" s="13">
        <f>SUM(D32,D35)</f>
        <v>0</v>
      </c>
      <c r="E37" s="13">
        <f>SUM(E32,E35)</f>
        <v>0</v>
      </c>
      <c r="F37" s="13">
        <f>SUM(F32,F35)</f>
        <v>0</v>
      </c>
      <c r="G37" s="13">
        <f>SUM(G32,G35)</f>
        <v>0</v>
      </c>
      <c r="H37" s="13">
        <f>SUM(H32,H35)</f>
        <v>0</v>
      </c>
      <c r="I37" s="13">
        <f>SUM(I32,I35)</f>
        <v>0</v>
      </c>
      <c r="J37" s="13">
        <f>SUM(J32,J35)</f>
        <v>0</v>
      </c>
      <c r="K37" s="13">
        <f>SUM(K32,K35)</f>
        <v>0</v>
      </c>
      <c r="L37" s="13">
        <f>SUM(L32,L35)</f>
        <v>0</v>
      </c>
      <c r="M37">
        <f>SUM(M32,M35)</f>
        <v>0</v>
      </c>
    </row>
    <row r="38" spans="1:13" x14ac:dyDescent="0.25">
      <c r="A38" s="6"/>
      <c r="C38" s="13">
        <f>C37-C36</f>
        <v>-14</v>
      </c>
      <c r="D38" s="13">
        <f>D37-D36</f>
        <v>-11</v>
      </c>
      <c r="E38" s="13">
        <f>E37-E36</f>
        <v>-9</v>
      </c>
      <c r="F38" s="13">
        <f>F37-F36</f>
        <v>-7</v>
      </c>
      <c r="G38" s="13">
        <f>G37-G36</f>
        <v>-6</v>
      </c>
      <c r="H38" s="13">
        <f>H37-H36</f>
        <v>-4</v>
      </c>
      <c r="I38" s="13">
        <f>I37-I36</f>
        <v>-3</v>
      </c>
      <c r="J38" s="13">
        <f>J37-J36</f>
        <v>-2</v>
      </c>
      <c r="K38" s="13">
        <f>K37-K36</f>
        <v>-2</v>
      </c>
      <c r="L38" s="13">
        <f>L37-L36</f>
        <v>-1</v>
      </c>
      <c r="M38">
        <f>M37-M36</f>
        <v>0</v>
      </c>
    </row>
    <row r="39" spans="1:13" x14ac:dyDescent="0.25">
      <c r="A39" s="7" t="s">
        <v>314</v>
      </c>
      <c r="B39" s="20">
        <v>0.15</v>
      </c>
      <c r="C39" s="10">
        <v>2</v>
      </c>
      <c r="D39" s="10">
        <v>2</v>
      </c>
      <c r="E39" s="10">
        <v>1</v>
      </c>
      <c r="F39" s="10">
        <v>1</v>
      </c>
      <c r="G39" s="10">
        <v>1</v>
      </c>
      <c r="H39" s="10">
        <v>1</v>
      </c>
      <c r="I39" s="10">
        <v>0</v>
      </c>
      <c r="J39" s="10">
        <v>0</v>
      </c>
      <c r="K39" s="10">
        <v>0</v>
      </c>
      <c r="L39" s="10">
        <v>0</v>
      </c>
    </row>
    <row r="40" spans="1:13" x14ac:dyDescent="0.25">
      <c r="A40" s="6" t="s">
        <v>315</v>
      </c>
      <c r="C40" s="13">
        <v>2</v>
      </c>
      <c r="D40" s="13">
        <v>2</v>
      </c>
      <c r="E40" s="13">
        <v>1</v>
      </c>
      <c r="F40" s="13">
        <v>1</v>
      </c>
      <c r="G40" s="13">
        <v>1</v>
      </c>
      <c r="H40" s="13">
        <v>1</v>
      </c>
      <c r="I40" s="13">
        <v>0</v>
      </c>
      <c r="J40" s="13">
        <v>0</v>
      </c>
      <c r="K40" s="13">
        <v>0</v>
      </c>
      <c r="L40" s="13">
        <v>0</v>
      </c>
    </row>
    <row r="41" spans="1:13" x14ac:dyDescent="0.25">
      <c r="A41" s="6"/>
      <c r="C41" s="13">
        <f>C36*C39</f>
        <v>28</v>
      </c>
      <c r="D41" s="13">
        <f>D36*D39</f>
        <v>22</v>
      </c>
      <c r="E41" s="13">
        <f>E36*E39</f>
        <v>9</v>
      </c>
      <c r="F41" s="13">
        <f>F36*F39</f>
        <v>7</v>
      </c>
      <c r="G41" s="13">
        <f>G36*G39</f>
        <v>6</v>
      </c>
      <c r="H41" s="13">
        <f>H36*H39</f>
        <v>4</v>
      </c>
      <c r="I41" s="13">
        <f>I36*I39</f>
        <v>0</v>
      </c>
      <c r="J41" s="13">
        <f>J36*J39</f>
        <v>0</v>
      </c>
      <c r="K41" s="13">
        <f>K36*K39</f>
        <v>0</v>
      </c>
      <c r="L41" s="13">
        <f>L36*L39</f>
        <v>0</v>
      </c>
      <c r="M41">
        <f>M36*M39</f>
        <v>0</v>
      </c>
    </row>
    <row r="42" spans="1:13" x14ac:dyDescent="0.25">
      <c r="A42" s="6"/>
      <c r="C42" s="13">
        <f>C41-C40</f>
        <v>26</v>
      </c>
      <c r="D42" s="13">
        <f>D41-D40</f>
        <v>20</v>
      </c>
      <c r="E42" s="13">
        <f>E41-E40</f>
        <v>8</v>
      </c>
      <c r="F42" s="13">
        <f>F41-F40</f>
        <v>6</v>
      </c>
      <c r="G42" s="13">
        <f>G41-G40</f>
        <v>5</v>
      </c>
      <c r="H42" s="13">
        <f>H41-H40</f>
        <v>3</v>
      </c>
      <c r="I42" s="13">
        <f>I41-I40</f>
        <v>0</v>
      </c>
      <c r="J42" s="13">
        <f>J41-J40</f>
        <v>0</v>
      </c>
      <c r="K42" s="13">
        <f>K41-K40</f>
        <v>0</v>
      </c>
      <c r="L42" s="13">
        <f>L41-L40</f>
        <v>0</v>
      </c>
      <c r="M42">
        <f>M41-M40</f>
        <v>0</v>
      </c>
    </row>
    <row r="43" spans="1:13" x14ac:dyDescent="0.25">
      <c r="A43" s="7" t="s">
        <v>109</v>
      </c>
      <c r="B43" s="20">
        <v>0.218</v>
      </c>
      <c r="C43" s="19">
        <v>0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19">
        <v>0</v>
      </c>
    </row>
    <row r="44" spans="1:13" x14ac:dyDescent="0.25">
      <c r="A44" s="6" t="s">
        <v>316</v>
      </c>
      <c r="C44" s="13">
        <v>2</v>
      </c>
      <c r="D44" s="13">
        <v>1</v>
      </c>
      <c r="E44" s="13">
        <v>1</v>
      </c>
      <c r="F44" s="13">
        <v>1</v>
      </c>
      <c r="G44" s="13">
        <v>1</v>
      </c>
      <c r="H44" s="13">
        <v>1</v>
      </c>
      <c r="I44" s="13">
        <v>0</v>
      </c>
      <c r="J44" s="13">
        <v>0</v>
      </c>
      <c r="K44" s="13">
        <v>0</v>
      </c>
      <c r="L44" s="13">
        <v>0</v>
      </c>
    </row>
    <row r="45" spans="1:13" x14ac:dyDescent="0.25">
      <c r="A45" s="7" t="s">
        <v>115</v>
      </c>
      <c r="B45" s="20">
        <v>0.11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</row>
    <row r="46" spans="1:13" x14ac:dyDescent="0.25">
      <c r="A46" s="6" t="s">
        <v>317</v>
      </c>
      <c r="C46" s="13">
        <v>1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</row>
    <row r="47" spans="1:13" x14ac:dyDescent="0.25">
      <c r="A47" s="16" t="s">
        <v>127</v>
      </c>
    </row>
    <row r="48" spans="1:13" x14ac:dyDescent="0.25">
      <c r="A48" s="16" t="s">
        <v>61</v>
      </c>
    </row>
    <row r="49" spans="1:2" x14ac:dyDescent="0.25">
      <c r="A49" s="4" t="s">
        <v>62</v>
      </c>
    </row>
    <row r="50" spans="1:2" x14ac:dyDescent="0.25">
      <c r="B50" s="5" t="s">
        <v>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2:M137"/>
  <sheetViews>
    <sheetView workbookViewId="0"/>
  </sheetViews>
  <sheetFormatPr defaultRowHeight="15" x14ac:dyDescent="0.25"/>
  <cols>
    <col min="1" max="1" width="75" bestFit="1" customWidth="1"/>
  </cols>
  <sheetData>
    <row r="2" spans="1:13" x14ac:dyDescent="0.25">
      <c r="A2" s="6" t="s">
        <v>1</v>
      </c>
      <c r="F2" s="7" t="s">
        <v>321</v>
      </c>
    </row>
    <row r="3" spans="1:13" x14ac:dyDescent="0.25">
      <c r="A3" s="6" t="s">
        <v>9</v>
      </c>
    </row>
    <row r="4" spans="1:13" x14ac:dyDescent="0.25">
      <c r="A4" s="6" t="s">
        <v>322</v>
      </c>
    </row>
    <row r="5" spans="1:13" x14ac:dyDescent="0.25">
      <c r="A5" s="6" t="s">
        <v>11</v>
      </c>
    </row>
    <row r="6" spans="1:13" x14ac:dyDescent="0.25">
      <c r="F6" s="9" t="s">
        <v>323</v>
      </c>
    </row>
    <row r="7" spans="1:13" x14ac:dyDescent="0.25">
      <c r="A7" s="8" t="s">
        <v>324</v>
      </c>
      <c r="B7" s="8" t="s">
        <v>325</v>
      </c>
      <c r="C7" s="8" t="s">
        <v>326</v>
      </c>
      <c r="D7" s="8" t="s">
        <v>327</v>
      </c>
      <c r="E7" s="9" t="s">
        <v>328</v>
      </c>
    </row>
    <row r="8" spans="1:13" x14ac:dyDescent="0.25">
      <c r="A8" s="7" t="s">
        <v>329</v>
      </c>
      <c r="B8" s="7" t="s">
        <v>330</v>
      </c>
      <c r="D8" s="7" t="s">
        <v>331</v>
      </c>
      <c r="E8" s="7" t="s">
        <v>332</v>
      </c>
      <c r="F8" s="20">
        <v>0.7</v>
      </c>
    </row>
    <row r="9" spans="1:13" x14ac:dyDescent="0.25">
      <c r="A9" s="7" t="s">
        <v>333</v>
      </c>
      <c r="C9" s="7" t="s">
        <v>334</v>
      </c>
    </row>
    <row r="10" spans="1:13" x14ac:dyDescent="0.25">
      <c r="C10" s="7" t="s">
        <v>335</v>
      </c>
      <c r="D10" s="7" t="s">
        <v>336</v>
      </c>
    </row>
    <row r="11" spans="1:13" x14ac:dyDescent="0.25">
      <c r="C11" s="7" t="s">
        <v>825</v>
      </c>
      <c r="D11" s="7" t="s">
        <v>831</v>
      </c>
      <c r="E11" s="56">
        <f>SUM(E8:E9)</f>
        <v>0</v>
      </c>
      <c r="F11" s="57">
        <f>SUM(F8:F9)</f>
        <v>0.7</v>
      </c>
      <c r="G11">
        <f>SUM(G8:G9)</f>
        <v>0</v>
      </c>
      <c r="H11">
        <f>SUM(H8:H9)</f>
        <v>0</v>
      </c>
      <c r="I11">
        <f>SUM(I8:I9)</f>
        <v>0</v>
      </c>
      <c r="J11">
        <f>SUM(J8:J9)</f>
        <v>0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C12" s="7" t="s">
        <v>826</v>
      </c>
      <c r="D12" s="7" t="s">
        <v>832</v>
      </c>
      <c r="E12" s="56">
        <f>E11-E10</f>
        <v>0</v>
      </c>
      <c r="F12" s="57">
        <f>F11-F10</f>
        <v>0.7</v>
      </c>
      <c r="G12">
        <f>G11-G10</f>
        <v>0</v>
      </c>
      <c r="H12">
        <f>H11-H10</f>
        <v>0</v>
      </c>
      <c r="I12">
        <f>I11-I10</f>
        <v>0</v>
      </c>
      <c r="J12">
        <f>J11-J10</f>
        <v>0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C13" s="7" t="s">
        <v>337</v>
      </c>
    </row>
    <row r="14" spans="1:13" x14ac:dyDescent="0.25">
      <c r="C14" s="7" t="s">
        <v>338</v>
      </c>
    </row>
    <row r="15" spans="1:13" x14ac:dyDescent="0.25">
      <c r="C15" s="7" t="s">
        <v>931</v>
      </c>
      <c r="D15" t="e">
        <f>D10*D13</f>
        <v>#VALUE!</v>
      </c>
      <c r="E15">
        <f>E10*E13</f>
        <v>0</v>
      </c>
      <c r="F15">
        <f>F10*F13</f>
        <v>0</v>
      </c>
      <c r="G15">
        <f>G10*G13</f>
        <v>0</v>
      </c>
      <c r="H15">
        <f>H10*H13</f>
        <v>0</v>
      </c>
      <c r="I15">
        <f>I10*I13</f>
        <v>0</v>
      </c>
      <c r="J15">
        <f>J10*J13</f>
        <v>0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C16" s="7" t="s">
        <v>932</v>
      </c>
      <c r="D16" t="e">
        <f>D15-D14</f>
        <v>#VALUE!</v>
      </c>
      <c r="E16">
        <f>E15-E14</f>
        <v>0</v>
      </c>
      <c r="F16">
        <f>F15-F14</f>
        <v>0</v>
      </c>
      <c r="G16">
        <f>G15-G14</f>
        <v>0</v>
      </c>
      <c r="H16">
        <f>H15-H14</f>
        <v>0</v>
      </c>
      <c r="I16">
        <f>I15-I14</f>
        <v>0</v>
      </c>
      <c r="J16">
        <f>J15-J14</f>
        <v>0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C17" s="7" t="s">
        <v>339</v>
      </c>
    </row>
    <row r="18" spans="1:13" x14ac:dyDescent="0.25">
      <c r="A18" s="7" t="s">
        <v>340</v>
      </c>
      <c r="B18" s="7" t="s">
        <v>341</v>
      </c>
      <c r="C18" s="7" t="s">
        <v>342</v>
      </c>
      <c r="D18" s="7" t="s">
        <v>343</v>
      </c>
      <c r="E18" s="7" t="s">
        <v>332</v>
      </c>
      <c r="F18" s="20">
        <v>0.2</v>
      </c>
    </row>
    <row r="19" spans="1:13" x14ac:dyDescent="0.25">
      <c r="A19" s="7" t="s">
        <v>344</v>
      </c>
      <c r="B19" s="7" t="s">
        <v>345</v>
      </c>
      <c r="C19" s="7" t="s">
        <v>346</v>
      </c>
      <c r="D19" s="7" t="s">
        <v>347</v>
      </c>
    </row>
    <row r="20" spans="1:13" x14ac:dyDescent="0.25">
      <c r="B20" s="7" t="s">
        <v>344</v>
      </c>
      <c r="C20" s="7" t="s">
        <v>348</v>
      </c>
    </row>
    <row r="21" spans="1:13" x14ac:dyDescent="0.25">
      <c r="B21" s="7"/>
      <c r="C21" s="7" t="s">
        <v>827</v>
      </c>
      <c r="D21" s="56">
        <f>SUM(D18,D19)</f>
        <v>0</v>
      </c>
      <c r="E21" s="56">
        <f>SUM(E18,E19)</f>
        <v>0</v>
      </c>
      <c r="F21" s="57">
        <f>SUM(F18,F19)</f>
        <v>0.2</v>
      </c>
      <c r="G21">
        <f>SUM(G18,G19)</f>
        <v>0</v>
      </c>
      <c r="H21">
        <f>SUM(H18,H19)</f>
        <v>0</v>
      </c>
      <c r="I21">
        <f>SUM(I18,I19)</f>
        <v>0</v>
      </c>
      <c r="J21">
        <f>SUM(J18,J19)</f>
        <v>0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B22" s="7"/>
      <c r="C22" s="7" t="s">
        <v>828</v>
      </c>
      <c r="D22" s="56">
        <f>D21-D20</f>
        <v>0</v>
      </c>
      <c r="E22" s="56">
        <f>E21-E20</f>
        <v>0</v>
      </c>
      <c r="F22" s="57">
        <f>F21-F20</f>
        <v>0.2</v>
      </c>
      <c r="G22">
        <f>G21-G20</f>
        <v>0</v>
      </c>
      <c r="H22">
        <f>H21-H20</f>
        <v>0</v>
      </c>
      <c r="I22">
        <f>I21-I20</f>
        <v>0</v>
      </c>
      <c r="J22">
        <f>J21-J20</f>
        <v>0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C23" s="7" t="s">
        <v>349</v>
      </c>
      <c r="D23" s="7" t="s">
        <v>350</v>
      </c>
    </row>
    <row r="24" spans="1:13" x14ac:dyDescent="0.25">
      <c r="C24" s="7" t="s">
        <v>933</v>
      </c>
      <c r="D24" s="7" t="s">
        <v>937</v>
      </c>
      <c r="E24">
        <f>E10*B23</f>
        <v>0</v>
      </c>
      <c r="F24">
        <f>F10*B23</f>
        <v>0</v>
      </c>
      <c r="G24">
        <f>G10*B23</f>
        <v>0</v>
      </c>
      <c r="H24">
        <f>H10*B23</f>
        <v>0</v>
      </c>
      <c r="I24">
        <f>I10*B23</f>
        <v>0</v>
      </c>
      <c r="J24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C25" s="7" t="s">
        <v>934</v>
      </c>
      <c r="D25" s="7" t="s">
        <v>938</v>
      </c>
      <c r="E25">
        <f>E24-E23</f>
        <v>0</v>
      </c>
      <c r="F25">
        <f>F24-F23</f>
        <v>0</v>
      </c>
      <c r="G25">
        <f>G24-G23</f>
        <v>0</v>
      </c>
      <c r="H25">
        <f>H24-H23</f>
        <v>0</v>
      </c>
      <c r="I25">
        <f>I24-I23</f>
        <v>0</v>
      </c>
      <c r="J25">
        <f>J24-J23</f>
        <v>0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D26" s="7" t="s">
        <v>351</v>
      </c>
    </row>
    <row r="27" spans="1:13" x14ac:dyDescent="0.25">
      <c r="C27" s="56">
        <f>SUM(C20,C23)</f>
        <v>0</v>
      </c>
      <c r="D27" s="7" t="s">
        <v>939</v>
      </c>
      <c r="E27">
        <f>SUM(E20,E23)</f>
        <v>0</v>
      </c>
      <c r="F27">
        <f>SUM(F20,F23)</f>
        <v>0</v>
      </c>
      <c r="G27">
        <f>SUM(G20,G23)</f>
        <v>0</v>
      </c>
      <c r="H27">
        <f>SUM(H20,H23)</f>
        <v>0</v>
      </c>
      <c r="I27">
        <f>SUM(I20,I23)</f>
        <v>0</v>
      </c>
      <c r="J27">
        <f>SUM(J20,J23)</f>
        <v>0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C28" s="56">
        <f>C27-C26</f>
        <v>0</v>
      </c>
      <c r="D28" s="7" t="s">
        <v>940</v>
      </c>
      <c r="E28">
        <f>E27-E26</f>
        <v>0</v>
      </c>
      <c r="F28">
        <f>F27-F26</f>
        <v>0</v>
      </c>
      <c r="G28">
        <f>G27-G26</f>
        <v>0</v>
      </c>
      <c r="H28">
        <f>H27-H26</f>
        <v>0</v>
      </c>
      <c r="I28">
        <f>I27-I26</f>
        <v>0</v>
      </c>
      <c r="J28">
        <f>J27-J26</f>
        <v>0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352</v>
      </c>
      <c r="B29" s="7" t="s">
        <v>353</v>
      </c>
      <c r="C29" s="7" t="s">
        <v>342</v>
      </c>
      <c r="D29" s="7" t="s">
        <v>354</v>
      </c>
      <c r="E29" s="7" t="s">
        <v>355</v>
      </c>
      <c r="F29" s="20">
        <v>0.2</v>
      </c>
    </row>
    <row r="30" spans="1:13" x14ac:dyDescent="0.25">
      <c r="A30" s="7"/>
      <c r="B30" s="7"/>
      <c r="C30" s="7" t="s">
        <v>935</v>
      </c>
      <c r="D30" s="7" t="s">
        <v>941</v>
      </c>
      <c r="E30" s="7" t="s">
        <v>843</v>
      </c>
      <c r="F30" s="20" t="e">
        <f>F26*B29</f>
        <v>#VALUE!</v>
      </c>
      <c r="G30" t="e">
        <f>G26*B29</f>
        <v>#VALUE!</v>
      </c>
      <c r="H30" t="e">
        <f>H26*B29</f>
        <v>#VALUE!</v>
      </c>
      <c r="I30" t="e">
        <f>I26*B29</f>
        <v>#VALUE!</v>
      </c>
      <c r="J30" t="e">
        <f>J26*B29</f>
        <v>#VALUE!</v>
      </c>
      <c r="K30" t="e">
        <f>K26*B29</f>
        <v>#VALUE!</v>
      </c>
      <c r="L30" t="e">
        <f>L26*B29</f>
        <v>#VALUE!</v>
      </c>
      <c r="M30" t="e">
        <f>M26*B29</f>
        <v>#VALUE!</v>
      </c>
    </row>
    <row r="31" spans="1:13" x14ac:dyDescent="0.25">
      <c r="A31" s="7"/>
      <c r="B31" s="7"/>
      <c r="C31" s="7" t="s">
        <v>936</v>
      </c>
      <c r="D31" s="7" t="s">
        <v>942</v>
      </c>
      <c r="E31" s="7" t="s">
        <v>844</v>
      </c>
      <c r="F31" s="20" t="e">
        <f>F30-F29</f>
        <v>#VALUE!</v>
      </c>
      <c r="G31" t="e">
        <f>G30-G29</f>
        <v>#VALUE!</v>
      </c>
      <c r="H31" t="e">
        <f>H30-H29</f>
        <v>#VALUE!</v>
      </c>
      <c r="I31" t="e">
        <f>I30-I29</f>
        <v>#VALUE!</v>
      </c>
      <c r="J31" t="e">
        <f>J30-J29</f>
        <v>#VALUE!</v>
      </c>
      <c r="K31" t="e">
        <f>K30-K29</f>
        <v>#VALUE!</v>
      </c>
      <c r="L31" t="e">
        <f>L30-L29</f>
        <v>#VALUE!</v>
      </c>
      <c r="M31" t="e">
        <f>M30-M29</f>
        <v>#VALUE!</v>
      </c>
    </row>
    <row r="32" spans="1:13" x14ac:dyDescent="0.25">
      <c r="C32" s="7" t="s">
        <v>356</v>
      </c>
      <c r="D32" s="7" t="s">
        <v>357</v>
      </c>
    </row>
    <row r="33" spans="1:13" x14ac:dyDescent="0.25">
      <c r="C33" s="7" t="s">
        <v>829</v>
      </c>
      <c r="D33" s="7" t="s">
        <v>835</v>
      </c>
      <c r="E33" s="56">
        <f>SUM(E26,E29)</f>
        <v>0</v>
      </c>
      <c r="F33" s="57">
        <f>SUM(F26,F29)</f>
        <v>0.2</v>
      </c>
      <c r="G33">
        <f>SUM(G26,G29)</f>
        <v>0</v>
      </c>
      <c r="H33">
        <f>SUM(H26,H29)</f>
        <v>0</v>
      </c>
      <c r="I33">
        <f>SUM(I26,I29)</f>
        <v>0</v>
      </c>
      <c r="J33">
        <f>SUM(J26,J29)</f>
        <v>0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C34" s="7" t="s">
        <v>830</v>
      </c>
      <c r="D34" s="7" t="s">
        <v>836</v>
      </c>
      <c r="E34" s="56">
        <f>E33-E32</f>
        <v>0</v>
      </c>
      <c r="F34" s="57">
        <f>F33-F32</f>
        <v>0.2</v>
      </c>
      <c r="G34">
        <f>G33-G32</f>
        <v>0</v>
      </c>
      <c r="H34">
        <f>H33-H32</f>
        <v>0</v>
      </c>
      <c r="I34">
        <f>I33-I32</f>
        <v>0</v>
      </c>
      <c r="J34">
        <f>J33-J32</f>
        <v>0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D35" s="7" t="s">
        <v>358</v>
      </c>
    </row>
    <row r="36" spans="1:13" x14ac:dyDescent="0.25">
      <c r="D36" s="7" t="s">
        <v>359</v>
      </c>
    </row>
    <row r="37" spans="1:13" x14ac:dyDescent="0.25">
      <c r="C37" s="56">
        <f>SUM(C32,C35)</f>
        <v>0</v>
      </c>
      <c r="D37" s="7" t="s">
        <v>943</v>
      </c>
      <c r="E37">
        <f>SUM(E32,E35)</f>
        <v>0</v>
      </c>
      <c r="F37">
        <f>SUM(F32,F35)</f>
        <v>0</v>
      </c>
      <c r="G37">
        <f>SUM(G32,G35)</f>
        <v>0</v>
      </c>
      <c r="H37">
        <f>SUM(H32,H35)</f>
        <v>0</v>
      </c>
      <c r="I37">
        <f>SUM(I32,I35)</f>
        <v>0</v>
      </c>
      <c r="J37">
        <f>SUM(J32,J35)</f>
        <v>0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C38" s="56">
        <f>C37-C36</f>
        <v>0</v>
      </c>
      <c r="D38" s="7" t="s">
        <v>944</v>
      </c>
      <c r="E38">
        <f>E37-E36</f>
        <v>0</v>
      </c>
      <c r="F38">
        <f>F37-F36</f>
        <v>0</v>
      </c>
      <c r="G38">
        <f>G37-G36</f>
        <v>0</v>
      </c>
      <c r="H38">
        <f>H37-H36</f>
        <v>0</v>
      </c>
      <c r="I38">
        <f>I37-I36</f>
        <v>0</v>
      </c>
      <c r="J38">
        <f>J37-J36</f>
        <v>0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D39" s="7" t="s">
        <v>360</v>
      </c>
    </row>
    <row r="40" spans="1:13" x14ac:dyDescent="0.25">
      <c r="D40" s="7" t="s">
        <v>361</v>
      </c>
    </row>
    <row r="41" spans="1:13" x14ac:dyDescent="0.25">
      <c r="C41">
        <f>C36*C39</f>
        <v>0</v>
      </c>
      <c r="D41" s="7" t="s">
        <v>945</v>
      </c>
      <c r="E41">
        <f>E36*E39</f>
        <v>0</v>
      </c>
      <c r="F41">
        <f>F36*F39</f>
        <v>0</v>
      </c>
      <c r="G41">
        <f>G36*G39</f>
        <v>0</v>
      </c>
      <c r="H41">
        <f>H36*H39</f>
        <v>0</v>
      </c>
      <c r="I41">
        <f>I36*I39</f>
        <v>0</v>
      </c>
      <c r="J41">
        <f>J36*J39</f>
        <v>0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C42">
        <f>C41-C40</f>
        <v>0</v>
      </c>
      <c r="D42" s="7" t="s">
        <v>946</v>
      </c>
      <c r="E42">
        <f>E41-E40</f>
        <v>0</v>
      </c>
      <c r="F42">
        <f>F41-F40</f>
        <v>0</v>
      </c>
      <c r="G42">
        <f>G41-G40</f>
        <v>0</v>
      </c>
      <c r="H42">
        <f>H41-H40</f>
        <v>0</v>
      </c>
      <c r="I42">
        <f>I41-I40</f>
        <v>0</v>
      </c>
      <c r="J42">
        <f>J41-J40</f>
        <v>0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7" t="s">
        <v>362</v>
      </c>
      <c r="B43" s="7" t="s">
        <v>363</v>
      </c>
      <c r="C43" s="7" t="s">
        <v>342</v>
      </c>
      <c r="D43" s="7" t="s">
        <v>364</v>
      </c>
      <c r="E43" s="7" t="s">
        <v>355</v>
      </c>
      <c r="F43" s="20">
        <v>3.0000000000000001E-3</v>
      </c>
    </row>
    <row r="44" spans="1:13" x14ac:dyDescent="0.25">
      <c r="A44" s="7" t="s">
        <v>365</v>
      </c>
      <c r="C44" s="7" t="s">
        <v>366</v>
      </c>
      <c r="D44" s="7" t="s">
        <v>367</v>
      </c>
    </row>
    <row r="45" spans="1:13" x14ac:dyDescent="0.25">
      <c r="A45" s="7" t="s">
        <v>368</v>
      </c>
    </row>
    <row r="46" spans="1:13" x14ac:dyDescent="0.25">
      <c r="A46" s="7" t="s">
        <v>369</v>
      </c>
      <c r="C46" s="7" t="s">
        <v>370</v>
      </c>
      <c r="D46" s="7" t="s">
        <v>371</v>
      </c>
      <c r="E46" s="7" t="s">
        <v>355</v>
      </c>
      <c r="F46" s="20">
        <v>0.125</v>
      </c>
    </row>
    <row r="47" spans="1:13" x14ac:dyDescent="0.25">
      <c r="A47" s="7" t="s">
        <v>372</v>
      </c>
      <c r="C47" s="7" t="s">
        <v>373</v>
      </c>
      <c r="D47" s="7" t="s">
        <v>374</v>
      </c>
    </row>
    <row r="48" spans="1:13" x14ac:dyDescent="0.25">
      <c r="A48" s="7" t="s">
        <v>344</v>
      </c>
    </row>
    <row r="49" spans="1:6" x14ac:dyDescent="0.25">
      <c r="A49" s="7" t="s">
        <v>375</v>
      </c>
      <c r="C49" s="7" t="s">
        <v>342</v>
      </c>
      <c r="D49" s="7" t="s">
        <v>376</v>
      </c>
      <c r="E49" s="7" t="s">
        <v>355</v>
      </c>
      <c r="F49" s="20">
        <v>0.25</v>
      </c>
    </row>
    <row r="50" spans="1:6" x14ac:dyDescent="0.25">
      <c r="A50" s="7" t="s">
        <v>377</v>
      </c>
      <c r="C50" s="7" t="s">
        <v>346</v>
      </c>
      <c r="D50" s="7" t="s">
        <v>378</v>
      </c>
    </row>
    <row r="51" spans="1:6" x14ac:dyDescent="0.25">
      <c r="C51" s="7" t="s">
        <v>379</v>
      </c>
      <c r="D51" s="7" t="s">
        <v>380</v>
      </c>
    </row>
    <row r="52" spans="1:6" x14ac:dyDescent="0.25">
      <c r="A52" s="7" t="s">
        <v>381</v>
      </c>
      <c r="B52" s="7" t="s">
        <v>382</v>
      </c>
      <c r="C52" s="7" t="s">
        <v>342</v>
      </c>
      <c r="D52" s="7" t="s">
        <v>383</v>
      </c>
      <c r="E52" s="7" t="s">
        <v>332</v>
      </c>
      <c r="F52" s="20">
        <v>0.1</v>
      </c>
    </row>
    <row r="53" spans="1:6" x14ac:dyDescent="0.25">
      <c r="A53" s="7"/>
      <c r="B53" s="7"/>
      <c r="C53" s="7"/>
      <c r="D53" s="7"/>
      <c r="E53" s="7"/>
      <c r="F53" s="20"/>
    </row>
    <row r="54" spans="1:6" x14ac:dyDescent="0.25">
      <c r="A54" s="7"/>
      <c r="B54" s="7"/>
      <c r="C54" s="7"/>
      <c r="D54" s="7"/>
      <c r="E54" s="7"/>
      <c r="F54" s="20"/>
    </row>
    <row r="55" spans="1:6" x14ac:dyDescent="0.25">
      <c r="C55" s="7" t="s">
        <v>384</v>
      </c>
      <c r="D55" s="7" t="s">
        <v>385</v>
      </c>
    </row>
    <row r="56" spans="1:6" x14ac:dyDescent="0.25">
      <c r="C56" s="7"/>
      <c r="D56" s="7"/>
    </row>
    <row r="57" spans="1:6" x14ac:dyDescent="0.25">
      <c r="C57" s="7"/>
      <c r="D57" s="7"/>
    </row>
    <row r="58" spans="1:6" x14ac:dyDescent="0.25">
      <c r="D58" s="7" t="s">
        <v>386</v>
      </c>
    </row>
    <row r="59" spans="1:6" x14ac:dyDescent="0.25">
      <c r="D59" s="7"/>
    </row>
    <row r="60" spans="1:6" x14ac:dyDescent="0.25">
      <c r="D60" s="7"/>
    </row>
    <row r="61" spans="1:6" x14ac:dyDescent="0.25">
      <c r="A61" s="7" t="s">
        <v>340</v>
      </c>
      <c r="B61" s="7" t="s">
        <v>341</v>
      </c>
      <c r="C61" s="7" t="s">
        <v>342</v>
      </c>
      <c r="D61" s="7" t="s">
        <v>387</v>
      </c>
      <c r="E61" s="7" t="s">
        <v>332</v>
      </c>
      <c r="F61" s="20">
        <v>0.2</v>
      </c>
    </row>
    <row r="62" spans="1:6" x14ac:dyDescent="0.25">
      <c r="A62" s="7"/>
      <c r="B62" s="7"/>
      <c r="C62" s="7"/>
      <c r="D62" s="7"/>
      <c r="E62" s="7"/>
      <c r="F62" s="20"/>
    </row>
    <row r="63" spans="1:6" x14ac:dyDescent="0.25">
      <c r="A63" s="7"/>
      <c r="B63" s="7"/>
      <c r="C63" s="7"/>
      <c r="D63" s="7"/>
      <c r="E63" s="7"/>
      <c r="F63" s="20"/>
    </row>
    <row r="64" spans="1:6" x14ac:dyDescent="0.25">
      <c r="A64" s="7" t="s">
        <v>344</v>
      </c>
      <c r="B64" s="7" t="s">
        <v>345</v>
      </c>
      <c r="C64" s="7" t="s">
        <v>388</v>
      </c>
      <c r="D64" s="7" t="s">
        <v>389</v>
      </c>
    </row>
    <row r="65" spans="1:6" x14ac:dyDescent="0.25">
      <c r="A65" s="7"/>
      <c r="B65" s="7"/>
      <c r="C65" s="7"/>
      <c r="D65" s="7"/>
    </row>
    <row r="66" spans="1:6" x14ac:dyDescent="0.25">
      <c r="A66" s="7"/>
      <c r="B66" s="7"/>
      <c r="C66" s="7"/>
      <c r="D66" s="7"/>
    </row>
    <row r="67" spans="1:6" x14ac:dyDescent="0.25">
      <c r="B67" s="7" t="s">
        <v>344</v>
      </c>
      <c r="D67" s="7" t="s">
        <v>390</v>
      </c>
    </row>
    <row r="68" spans="1:6" x14ac:dyDescent="0.25">
      <c r="A68" s="7" t="s">
        <v>362</v>
      </c>
      <c r="B68" s="7" t="s">
        <v>391</v>
      </c>
      <c r="C68" s="7" t="s">
        <v>342</v>
      </c>
      <c r="D68" s="7" t="s">
        <v>392</v>
      </c>
      <c r="E68" s="7" t="s">
        <v>355</v>
      </c>
      <c r="F68" s="20">
        <v>0.3</v>
      </c>
    </row>
    <row r="69" spans="1:6" x14ac:dyDescent="0.25">
      <c r="A69" s="7" t="s">
        <v>365</v>
      </c>
      <c r="C69" s="7" t="s">
        <v>346</v>
      </c>
      <c r="D69" s="7" t="s">
        <v>393</v>
      </c>
    </row>
    <row r="70" spans="1:6" x14ac:dyDescent="0.25">
      <c r="A70" s="7" t="s">
        <v>368</v>
      </c>
      <c r="C70" s="7" t="s">
        <v>394</v>
      </c>
      <c r="D70" s="7" t="s">
        <v>395</v>
      </c>
    </row>
    <row r="71" spans="1:6" x14ac:dyDescent="0.25">
      <c r="C71" s="7" t="s">
        <v>396</v>
      </c>
    </row>
    <row r="72" spans="1:6" x14ac:dyDescent="0.25">
      <c r="D72" s="7" t="s">
        <v>397</v>
      </c>
    </row>
    <row r="73" spans="1:6" x14ac:dyDescent="0.25">
      <c r="D73" s="7" t="s">
        <v>398</v>
      </c>
    </row>
    <row r="74" spans="1:6" x14ac:dyDescent="0.25">
      <c r="A74" s="7" t="s">
        <v>399</v>
      </c>
      <c r="B74" s="7" t="s">
        <v>400</v>
      </c>
      <c r="C74" s="7" t="s">
        <v>370</v>
      </c>
      <c r="D74" s="7" t="s">
        <v>401</v>
      </c>
      <c r="E74" s="7" t="s">
        <v>355</v>
      </c>
      <c r="F74" s="20">
        <v>0.1</v>
      </c>
    </row>
    <row r="75" spans="1:6" x14ac:dyDescent="0.25">
      <c r="C75" s="7" t="s">
        <v>402</v>
      </c>
    </row>
    <row r="76" spans="1:6" x14ac:dyDescent="0.25">
      <c r="C76" s="7" t="s">
        <v>403</v>
      </c>
    </row>
    <row r="77" spans="1:6" x14ac:dyDescent="0.25">
      <c r="D77" s="7" t="s">
        <v>404</v>
      </c>
    </row>
    <row r="78" spans="1:6" x14ac:dyDescent="0.25">
      <c r="D78" s="7" t="s">
        <v>405</v>
      </c>
    </row>
    <row r="79" spans="1:6" x14ac:dyDescent="0.25">
      <c r="D79" s="7" t="s">
        <v>406</v>
      </c>
    </row>
    <row r="80" spans="1:6" x14ac:dyDescent="0.25">
      <c r="D80" s="7" t="s">
        <v>407</v>
      </c>
    </row>
    <row r="81" spans="1:6" x14ac:dyDescent="0.25">
      <c r="D81" s="7" t="s">
        <v>408</v>
      </c>
    </row>
    <row r="82" spans="1:6" x14ac:dyDescent="0.25">
      <c r="A82" s="7" t="s">
        <v>409</v>
      </c>
      <c r="B82" s="7" t="s">
        <v>410</v>
      </c>
      <c r="C82" s="7" t="s">
        <v>411</v>
      </c>
      <c r="D82" s="7" t="s">
        <v>412</v>
      </c>
      <c r="E82" s="7" t="s">
        <v>413</v>
      </c>
      <c r="F82" s="20">
        <v>0.5</v>
      </c>
    </row>
    <row r="83" spans="1:6" x14ac:dyDescent="0.25">
      <c r="C83" s="7" t="s">
        <v>414</v>
      </c>
      <c r="D83" s="7" t="s">
        <v>415</v>
      </c>
    </row>
    <row r="84" spans="1:6" x14ac:dyDescent="0.25">
      <c r="C84" s="7" t="s">
        <v>416</v>
      </c>
      <c r="D84" s="7" t="s">
        <v>417</v>
      </c>
    </row>
    <row r="85" spans="1:6" x14ac:dyDescent="0.25">
      <c r="D85" s="7" t="s">
        <v>418</v>
      </c>
    </row>
    <row r="86" spans="1:6" x14ac:dyDescent="0.25">
      <c r="D86" s="7" t="s">
        <v>419</v>
      </c>
    </row>
    <row r="87" spans="1:6" x14ac:dyDescent="0.25">
      <c r="D87" s="7" t="s">
        <v>420</v>
      </c>
    </row>
    <row r="88" spans="1:6" x14ac:dyDescent="0.25">
      <c r="D88" s="7" t="s">
        <v>421</v>
      </c>
    </row>
    <row r="89" spans="1:6" x14ac:dyDescent="0.25">
      <c r="D89" s="7" t="s">
        <v>422</v>
      </c>
    </row>
    <row r="90" spans="1:6" x14ac:dyDescent="0.25">
      <c r="A90" s="7" t="s">
        <v>423</v>
      </c>
      <c r="B90" s="7" t="s">
        <v>424</v>
      </c>
      <c r="C90" s="7" t="s">
        <v>342</v>
      </c>
      <c r="D90" s="7" t="s">
        <v>425</v>
      </c>
      <c r="E90" s="7" t="s">
        <v>355</v>
      </c>
      <c r="F90" s="20">
        <v>0.1</v>
      </c>
    </row>
    <row r="91" spans="1:6" x14ac:dyDescent="0.25">
      <c r="B91" s="7" t="s">
        <v>377</v>
      </c>
      <c r="C91" s="7" t="s">
        <v>426</v>
      </c>
      <c r="D91" s="7" t="s">
        <v>427</v>
      </c>
    </row>
    <row r="92" spans="1:6" x14ac:dyDescent="0.25">
      <c r="D92" s="7" t="s">
        <v>428</v>
      </c>
    </row>
    <row r="93" spans="1:6" x14ac:dyDescent="0.25">
      <c r="E93" s="7" t="s">
        <v>355</v>
      </c>
      <c r="F93" s="20">
        <v>0.1</v>
      </c>
    </row>
    <row r="94" spans="1:6" x14ac:dyDescent="0.25">
      <c r="A94" s="7" t="s">
        <v>429</v>
      </c>
      <c r="B94" s="7" t="s">
        <v>430</v>
      </c>
      <c r="C94" s="7" t="s">
        <v>342</v>
      </c>
      <c r="D94" s="7" t="s">
        <v>431</v>
      </c>
      <c r="E94" s="7" t="s">
        <v>355</v>
      </c>
      <c r="F94" s="20">
        <v>0.05</v>
      </c>
    </row>
    <row r="95" spans="1:6" x14ac:dyDescent="0.25">
      <c r="A95" s="7" t="s">
        <v>432</v>
      </c>
      <c r="C95" s="7" t="s">
        <v>433</v>
      </c>
      <c r="D95" s="7" t="s">
        <v>434</v>
      </c>
    </row>
    <row r="96" spans="1:6" x14ac:dyDescent="0.25">
      <c r="A96" s="7" t="s">
        <v>435</v>
      </c>
      <c r="B96" s="7" t="s">
        <v>436</v>
      </c>
      <c r="C96" s="7" t="s">
        <v>370</v>
      </c>
      <c r="D96" s="7" t="s">
        <v>437</v>
      </c>
      <c r="E96" s="7" t="s">
        <v>332</v>
      </c>
      <c r="F96" s="20">
        <v>7.4999999999999997E-2</v>
      </c>
    </row>
    <row r="97" spans="1:6" x14ac:dyDescent="0.25">
      <c r="C97" s="7" t="s">
        <v>438</v>
      </c>
      <c r="D97" s="7" t="s">
        <v>439</v>
      </c>
    </row>
    <row r="98" spans="1:6" x14ac:dyDescent="0.25">
      <c r="C98" s="7" t="s">
        <v>440</v>
      </c>
      <c r="D98" s="7" t="s">
        <v>441</v>
      </c>
    </row>
    <row r="99" spans="1:6" x14ac:dyDescent="0.25">
      <c r="A99" s="7" t="s">
        <v>442</v>
      </c>
      <c r="B99" s="7" t="s">
        <v>443</v>
      </c>
      <c r="C99" s="7" t="s">
        <v>342</v>
      </c>
      <c r="D99" s="7" t="s">
        <v>444</v>
      </c>
      <c r="F99" s="20">
        <v>0.6</v>
      </c>
    </row>
    <row r="100" spans="1:6" x14ac:dyDescent="0.25">
      <c r="B100" s="7" t="s">
        <v>368</v>
      </c>
      <c r="C100" s="7" t="s">
        <v>445</v>
      </c>
      <c r="D100" s="7" t="s">
        <v>446</v>
      </c>
    </row>
    <row r="101" spans="1:6" x14ac:dyDescent="0.25">
      <c r="C101" s="7" t="s">
        <v>447</v>
      </c>
      <c r="D101" s="7" t="s">
        <v>448</v>
      </c>
    </row>
    <row r="102" spans="1:6" x14ac:dyDescent="0.25">
      <c r="C102" s="7" t="s">
        <v>396</v>
      </c>
    </row>
    <row r="103" spans="1:6" x14ac:dyDescent="0.25">
      <c r="D103" s="7" t="s">
        <v>449</v>
      </c>
    </row>
    <row r="104" spans="1:6" x14ac:dyDescent="0.25">
      <c r="D104" s="7" t="s">
        <v>450</v>
      </c>
    </row>
    <row r="105" spans="1:6" x14ac:dyDescent="0.25">
      <c r="D105" s="7" t="s">
        <v>451</v>
      </c>
    </row>
    <row r="106" spans="1:6" x14ac:dyDescent="0.25">
      <c r="D106" s="7" t="s">
        <v>452</v>
      </c>
    </row>
    <row r="107" spans="1:6" x14ac:dyDescent="0.25">
      <c r="D107" s="7" t="s">
        <v>453</v>
      </c>
    </row>
    <row r="108" spans="1:6" x14ac:dyDescent="0.25">
      <c r="D108" s="23" t="s">
        <v>454</v>
      </c>
    </row>
    <row r="109" spans="1:6" x14ac:dyDescent="0.25">
      <c r="D109" s="7" t="s">
        <v>455</v>
      </c>
    </row>
    <row r="110" spans="1:6" x14ac:dyDescent="0.25">
      <c r="A110" s="7" t="s">
        <v>456</v>
      </c>
      <c r="B110" s="7" t="s">
        <v>457</v>
      </c>
      <c r="C110" s="7" t="s">
        <v>458</v>
      </c>
      <c r="E110" s="7" t="s">
        <v>355</v>
      </c>
      <c r="F110" s="20">
        <v>0.2</v>
      </c>
    </row>
    <row r="111" spans="1:6" x14ac:dyDescent="0.25">
      <c r="A111" s="7" t="s">
        <v>377</v>
      </c>
      <c r="B111" s="7" t="s">
        <v>459</v>
      </c>
    </row>
    <row r="112" spans="1:6" x14ac:dyDescent="0.25">
      <c r="A112" s="7" t="s">
        <v>460</v>
      </c>
      <c r="B112" s="7" t="s">
        <v>461</v>
      </c>
      <c r="C112" s="7" t="s">
        <v>342</v>
      </c>
      <c r="D112" s="7" t="s">
        <v>462</v>
      </c>
      <c r="E112" s="7" t="s">
        <v>355</v>
      </c>
      <c r="F112" s="20">
        <v>0.1</v>
      </c>
    </row>
    <row r="113" spans="1:6" x14ac:dyDescent="0.25">
      <c r="A113" s="7" t="s">
        <v>463</v>
      </c>
      <c r="B113" s="7" t="s">
        <v>464</v>
      </c>
      <c r="C113" s="7" t="s">
        <v>465</v>
      </c>
    </row>
    <row r="114" spans="1:6" x14ac:dyDescent="0.25">
      <c r="A114" s="7" t="s">
        <v>429</v>
      </c>
      <c r="C114" s="7" t="s">
        <v>466</v>
      </c>
      <c r="D114" s="7" t="s">
        <v>467</v>
      </c>
    </row>
    <row r="115" spans="1:6" x14ac:dyDescent="0.25">
      <c r="A115" s="7" t="s">
        <v>468</v>
      </c>
      <c r="D115" s="7" t="s">
        <v>469</v>
      </c>
    </row>
    <row r="116" spans="1:6" x14ac:dyDescent="0.25">
      <c r="A116" s="7" t="s">
        <v>470</v>
      </c>
      <c r="B116" s="7" t="s">
        <v>471</v>
      </c>
      <c r="C116" s="7" t="s">
        <v>370</v>
      </c>
      <c r="D116" s="7" t="s">
        <v>472</v>
      </c>
      <c r="E116" s="7" t="s">
        <v>355</v>
      </c>
      <c r="F116" s="20">
        <v>0</v>
      </c>
    </row>
    <row r="117" spans="1:6" x14ac:dyDescent="0.25">
      <c r="A117" s="7" t="s">
        <v>473</v>
      </c>
      <c r="C117" s="7" t="s">
        <v>438</v>
      </c>
      <c r="D117" s="7" t="s">
        <v>474</v>
      </c>
    </row>
    <row r="118" spans="1:6" x14ac:dyDescent="0.25">
      <c r="A118" s="7" t="s">
        <v>470</v>
      </c>
      <c r="C118" s="7" t="s">
        <v>475</v>
      </c>
    </row>
    <row r="119" spans="1:6" x14ac:dyDescent="0.25">
      <c r="A119" s="7" t="s">
        <v>476</v>
      </c>
      <c r="C119" s="7" t="s">
        <v>477</v>
      </c>
      <c r="E119" s="7" t="s">
        <v>355</v>
      </c>
      <c r="F119" s="20">
        <v>8.5000000000000006E-2</v>
      </c>
    </row>
    <row r="120" spans="1:6" x14ac:dyDescent="0.25">
      <c r="A120" s="7" t="s">
        <v>478</v>
      </c>
      <c r="B120" s="7" t="s">
        <v>479</v>
      </c>
      <c r="C120" s="7" t="s">
        <v>480</v>
      </c>
      <c r="D120" s="7" t="s">
        <v>481</v>
      </c>
    </row>
    <row r="121" spans="1:6" x14ac:dyDescent="0.25">
      <c r="C121" s="7" t="s">
        <v>438</v>
      </c>
      <c r="D121" s="7" t="s">
        <v>482</v>
      </c>
    </row>
    <row r="122" spans="1:6" x14ac:dyDescent="0.25">
      <c r="C122" s="7" t="s">
        <v>483</v>
      </c>
      <c r="D122" s="7" t="s">
        <v>484</v>
      </c>
    </row>
    <row r="123" spans="1:6" x14ac:dyDescent="0.25">
      <c r="D123" s="7" t="s">
        <v>485</v>
      </c>
    </row>
    <row r="124" spans="1:6" x14ac:dyDescent="0.25">
      <c r="D124" s="7" t="s">
        <v>486</v>
      </c>
    </row>
    <row r="125" spans="1:6" x14ac:dyDescent="0.25">
      <c r="A125" s="7" t="s">
        <v>487</v>
      </c>
      <c r="B125" s="7" t="s">
        <v>488</v>
      </c>
      <c r="C125" s="7" t="s">
        <v>342</v>
      </c>
      <c r="D125" s="7" t="s">
        <v>489</v>
      </c>
      <c r="E125" s="7" t="s">
        <v>355</v>
      </c>
      <c r="F125" s="20">
        <v>0.25</v>
      </c>
    </row>
    <row r="126" spans="1:6" x14ac:dyDescent="0.25">
      <c r="A126" s="7" t="s">
        <v>368</v>
      </c>
      <c r="B126" s="7" t="s">
        <v>368</v>
      </c>
      <c r="C126" s="7" t="s">
        <v>490</v>
      </c>
    </row>
    <row r="127" spans="1:6" x14ac:dyDescent="0.25">
      <c r="C127" s="7" t="s">
        <v>491</v>
      </c>
      <c r="D127" s="7" t="s">
        <v>492</v>
      </c>
    </row>
    <row r="128" spans="1:6" x14ac:dyDescent="0.25">
      <c r="C128" s="7" t="s">
        <v>493</v>
      </c>
      <c r="D128" s="7" t="s">
        <v>494</v>
      </c>
    </row>
    <row r="129" spans="1:7" x14ac:dyDescent="0.25">
      <c r="C129" s="7" t="s">
        <v>495</v>
      </c>
    </row>
    <row r="130" spans="1:7" x14ac:dyDescent="0.25">
      <c r="E130" s="6" t="s">
        <v>496</v>
      </c>
      <c r="F130" s="20">
        <v>0.7</v>
      </c>
    </row>
    <row r="131" spans="1:7" x14ac:dyDescent="0.25">
      <c r="E131" s="6" t="s">
        <v>165</v>
      </c>
      <c r="F131" s="20">
        <v>0.16300000000000001</v>
      </c>
    </row>
    <row r="132" spans="1:7" x14ac:dyDescent="0.25">
      <c r="E132" s="6" t="s">
        <v>497</v>
      </c>
      <c r="F132" s="20">
        <v>0.20899999999999999</v>
      </c>
    </row>
    <row r="133" spans="1:7" x14ac:dyDescent="0.25">
      <c r="A133" s="34" t="s">
        <v>127</v>
      </c>
      <c r="E133" s="6" t="s">
        <v>498</v>
      </c>
      <c r="F133" s="20">
        <v>3.0000000000000001E-3</v>
      </c>
    </row>
    <row r="134" spans="1:7" x14ac:dyDescent="0.25">
      <c r="A134" s="7" t="s">
        <v>499</v>
      </c>
    </row>
    <row r="135" spans="1:7" x14ac:dyDescent="0.25">
      <c r="A135" s="16" t="s">
        <v>61</v>
      </c>
    </row>
    <row r="136" spans="1:7" x14ac:dyDescent="0.25">
      <c r="A136" s="4" t="s">
        <v>62</v>
      </c>
      <c r="F136" s="2" t="s">
        <v>63</v>
      </c>
    </row>
    <row r="137" spans="1:7" x14ac:dyDescent="0.25">
      <c r="G137" s="5" t="s">
        <v>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2:M42"/>
  <sheetViews>
    <sheetView workbookViewId="0"/>
  </sheetViews>
  <sheetFormatPr defaultRowHeight="15" x14ac:dyDescent="0.25"/>
  <cols>
    <col min="1" max="1" width="75" bestFit="1" customWidth="1"/>
    <col min="2" max="2" width="10.85546875" bestFit="1" customWidth="1"/>
    <col min="3" max="3" width="12.5703125" bestFit="1" customWidth="1"/>
    <col min="4" max="4" width="10.85546875" bestFit="1" customWidth="1"/>
    <col min="6" max="6" width="10.85546875" bestFit="1" customWidth="1"/>
  </cols>
  <sheetData>
    <row r="2" spans="1:13" x14ac:dyDescent="0.25">
      <c r="A2" s="6" t="s">
        <v>1</v>
      </c>
      <c r="G2" s="7" t="s">
        <v>500</v>
      </c>
    </row>
    <row r="3" spans="1:13" x14ac:dyDescent="0.25">
      <c r="A3" s="6" t="s">
        <v>9</v>
      </c>
    </row>
    <row r="4" spans="1:13" x14ac:dyDescent="0.25">
      <c r="A4" s="6" t="s">
        <v>501</v>
      </c>
    </row>
    <row r="5" spans="1:13" x14ac:dyDescent="0.25">
      <c r="A5" s="6" t="s">
        <v>11</v>
      </c>
    </row>
    <row r="6" spans="1:13" x14ac:dyDescent="0.25">
      <c r="A6" s="8" t="s">
        <v>502</v>
      </c>
    </row>
    <row r="7" spans="1:13" x14ac:dyDescent="0.25">
      <c r="A7" s="7" t="s">
        <v>503</v>
      </c>
    </row>
    <row r="8" spans="1:13" x14ac:dyDescent="0.25">
      <c r="F8" s="7" t="s">
        <v>504</v>
      </c>
    </row>
    <row r="9" spans="1:13" x14ac:dyDescent="0.25">
      <c r="A9" s="7" t="s">
        <v>122</v>
      </c>
      <c r="B9" s="7" t="s">
        <v>505</v>
      </c>
      <c r="C9" s="7" t="s">
        <v>506</v>
      </c>
      <c r="D9" s="7" t="s">
        <v>507</v>
      </c>
      <c r="F9" s="7" t="s">
        <v>508</v>
      </c>
    </row>
    <row r="10" spans="1:13" x14ac:dyDescent="0.25">
      <c r="A10" s="7" t="s">
        <v>509</v>
      </c>
      <c r="B10" s="14">
        <v>394626954</v>
      </c>
      <c r="C10" s="35">
        <v>-296611866</v>
      </c>
      <c r="D10" s="14">
        <v>98015088</v>
      </c>
      <c r="E10" s="7" t="s">
        <v>90</v>
      </c>
      <c r="F10" s="14">
        <v>169344999</v>
      </c>
    </row>
    <row r="11" spans="1:13" x14ac:dyDescent="0.25">
      <c r="A11" s="7"/>
      <c r="B11" s="14"/>
      <c r="C11" s="35">
        <f>SUM(C8:C9)</f>
        <v>0</v>
      </c>
      <c r="D11" s="14">
        <f>SUM(D8:D9)</f>
        <v>0</v>
      </c>
      <c r="E11" s="7" t="s">
        <v>837</v>
      </c>
      <c r="F11" s="14">
        <f>SUM(F8:F9)</f>
        <v>0</v>
      </c>
      <c r="G11">
        <f>SUM(G8:G9)</f>
        <v>0</v>
      </c>
      <c r="H11">
        <f>SUM(H8:H9)</f>
        <v>0</v>
      </c>
      <c r="I11">
        <f>SUM(I8:I9)</f>
        <v>0</v>
      </c>
      <c r="J11">
        <f>SUM(J8:J9)</f>
        <v>0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B12" s="14"/>
      <c r="C12" s="35">
        <f>C11-C10</f>
        <v>296611866</v>
      </c>
      <c r="D12" s="14">
        <f>D11-D10</f>
        <v>-98015088</v>
      </c>
      <c r="E12" s="7" t="s">
        <v>838</v>
      </c>
      <c r="F12" s="14">
        <f>F11-F10</f>
        <v>-169344999</v>
      </c>
      <c r="G12">
        <f>G11-G10</f>
        <v>0</v>
      </c>
      <c r="H12">
        <f>H11-H10</f>
        <v>0</v>
      </c>
      <c r="I12">
        <f>I11-I10</f>
        <v>0</v>
      </c>
      <c r="J12">
        <f>J11-J10</f>
        <v>0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510</v>
      </c>
      <c r="B13" s="14">
        <v>14444274</v>
      </c>
      <c r="C13" s="7" t="s">
        <v>90</v>
      </c>
      <c r="D13" s="14">
        <v>14444274</v>
      </c>
      <c r="E13" s="7" t="s">
        <v>90</v>
      </c>
      <c r="F13" s="14">
        <v>13712275</v>
      </c>
    </row>
    <row r="14" spans="1:13" x14ac:dyDescent="0.25">
      <c r="A14" s="7" t="s">
        <v>303</v>
      </c>
      <c r="B14" s="14">
        <v>409071228</v>
      </c>
      <c r="C14" s="35">
        <v>-296611866</v>
      </c>
      <c r="D14" s="14">
        <v>112459362</v>
      </c>
      <c r="F14" s="14">
        <v>183057274</v>
      </c>
    </row>
    <row r="15" spans="1:13" x14ac:dyDescent="0.25">
      <c r="A15" s="7"/>
      <c r="B15" s="14"/>
      <c r="C15" s="35" t="e">
        <f>C10*C13</f>
        <v>#VALUE!</v>
      </c>
      <c r="D15" s="14">
        <f>D10*D13</f>
        <v>1415756787206112</v>
      </c>
      <c r="E15" t="e">
        <f>E10*E13</f>
        <v>#VALUE!</v>
      </c>
      <c r="F15" s="14">
        <f>F10*F13</f>
        <v>2322105196162725</v>
      </c>
      <c r="G15">
        <f>G10*G13</f>
        <v>0</v>
      </c>
      <c r="H15">
        <f>H10*H13</f>
        <v>0</v>
      </c>
      <c r="I15">
        <f>I10*I13</f>
        <v>0</v>
      </c>
      <c r="J15">
        <f>J10*J13</f>
        <v>0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B16" s="14"/>
      <c r="C16" s="35" t="e">
        <f>C15-C14</f>
        <v>#VALUE!</v>
      </c>
      <c r="D16" s="14">
        <f>D15-D14</f>
        <v>1415756674746750</v>
      </c>
      <c r="E16" t="e">
        <f>E15-E14</f>
        <v>#VALUE!</v>
      </c>
      <c r="F16" s="14">
        <f>F15-F14</f>
        <v>2322105013105451</v>
      </c>
      <c r="G16">
        <f>G15-G14</f>
        <v>0</v>
      </c>
      <c r="H16">
        <f>H15-H14</f>
        <v>0</v>
      </c>
      <c r="I16">
        <f>I15-I14</f>
        <v>0</v>
      </c>
      <c r="J16">
        <f>J15-J14</f>
        <v>0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511</v>
      </c>
      <c r="F17" s="10">
        <v>183</v>
      </c>
    </row>
    <row r="18" spans="1:13" x14ac:dyDescent="0.25">
      <c r="A18" s="7" t="s">
        <v>512</v>
      </c>
    </row>
    <row r="19" spans="1:13" x14ac:dyDescent="0.25">
      <c r="A19" s="7" t="s">
        <v>513</v>
      </c>
      <c r="F19" s="10">
        <v>85</v>
      </c>
    </row>
    <row r="20" spans="1:13" x14ac:dyDescent="0.25">
      <c r="A20" s="6" t="s">
        <v>514</v>
      </c>
      <c r="F20" s="13">
        <v>100</v>
      </c>
    </row>
    <row r="21" spans="1:13" x14ac:dyDescent="0.25">
      <c r="A21" s="6"/>
      <c r="C21">
        <f>SUM(C18,C19)</f>
        <v>0</v>
      </c>
      <c r="D21">
        <f>SUM(D18,D19)</f>
        <v>0</v>
      </c>
      <c r="E21">
        <f>SUM(E18,E19)</f>
        <v>0</v>
      </c>
      <c r="F21" s="13">
        <f>SUM(F18,F19)</f>
        <v>85</v>
      </c>
      <c r="G21">
        <f>SUM(G18,G19)</f>
        <v>0</v>
      </c>
      <c r="H21">
        <f>SUM(H18,H19)</f>
        <v>0</v>
      </c>
      <c r="I21">
        <f>SUM(I18,I19)</f>
        <v>0</v>
      </c>
      <c r="J21">
        <f>SUM(J18,J19)</f>
        <v>0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6"/>
      <c r="C22">
        <f>C21-C20</f>
        <v>0</v>
      </c>
      <c r="D22">
        <f>D21-D20</f>
        <v>0</v>
      </c>
      <c r="E22">
        <f>E21-E20</f>
        <v>0</v>
      </c>
      <c r="F22" s="13">
        <f>F21-F20</f>
        <v>-15</v>
      </c>
      <c r="G22">
        <f>G21-G20</f>
        <v>0</v>
      </c>
      <c r="H22">
        <f>H21-H20</f>
        <v>0</v>
      </c>
      <c r="I22">
        <f>I21-I20</f>
        <v>0</v>
      </c>
      <c r="J22">
        <f>J21-J20</f>
        <v>0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6" t="s">
        <v>515</v>
      </c>
    </row>
    <row r="24" spans="1:13" x14ac:dyDescent="0.25">
      <c r="A24" s="6"/>
      <c r="C24">
        <f>C10*B23</f>
        <v>0</v>
      </c>
      <c r="D24">
        <f>D10*B23</f>
        <v>0</v>
      </c>
      <c r="E24" t="e">
        <f>E10*B23</f>
        <v>#VALUE!</v>
      </c>
      <c r="F24">
        <f>F10*B23</f>
        <v>0</v>
      </c>
      <c r="G24">
        <f>G10*B23</f>
        <v>0</v>
      </c>
      <c r="H24">
        <f>H10*B23</f>
        <v>0</v>
      </c>
      <c r="I24">
        <f>I10*B23</f>
        <v>0</v>
      </c>
      <c r="J24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6"/>
      <c r="C25">
        <f>C24-C23</f>
        <v>0</v>
      </c>
      <c r="D25">
        <f>D24-D23</f>
        <v>0</v>
      </c>
      <c r="E25" t="e">
        <f>E24-E23</f>
        <v>#VALUE!</v>
      </c>
      <c r="F25">
        <f>F24-F23</f>
        <v>0</v>
      </c>
      <c r="G25">
        <f>G24-G23</f>
        <v>0</v>
      </c>
      <c r="H25">
        <f>H24-H23</f>
        <v>0</v>
      </c>
      <c r="I25">
        <f>I24-I23</f>
        <v>0</v>
      </c>
      <c r="J25">
        <f>J24-J23</f>
        <v>0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16" t="s">
        <v>190</v>
      </c>
    </row>
    <row r="27" spans="1:13" x14ac:dyDescent="0.25">
      <c r="A27" s="16"/>
      <c r="C27">
        <f>SUM(C20,C23)</f>
        <v>0</v>
      </c>
      <c r="D27">
        <f>SUM(D20,D23)</f>
        <v>0</v>
      </c>
      <c r="E27">
        <f>SUM(E20,E23)</f>
        <v>0</v>
      </c>
      <c r="F27" s="58">
        <f>SUM(F20,F23)</f>
        <v>100</v>
      </c>
      <c r="G27">
        <f>SUM(G20,G23)</f>
        <v>0</v>
      </c>
      <c r="H27">
        <f>SUM(H20,H23)</f>
        <v>0</v>
      </c>
      <c r="I27">
        <f>SUM(I20,I23)</f>
        <v>0</v>
      </c>
      <c r="J27">
        <f>SUM(J20,J23)</f>
        <v>0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16"/>
      <c r="C28">
        <f>C27-C26</f>
        <v>0</v>
      </c>
      <c r="D28">
        <f>D27-D26</f>
        <v>0</v>
      </c>
      <c r="E28">
        <f>E27-E26</f>
        <v>0</v>
      </c>
      <c r="F28" s="58">
        <f>F27-F26</f>
        <v>100</v>
      </c>
      <c r="G28">
        <f>G27-G26</f>
        <v>0</v>
      </c>
      <c r="H28">
        <f>H27-H26</f>
        <v>0</v>
      </c>
      <c r="I28">
        <f>I27-I26</f>
        <v>0</v>
      </c>
      <c r="J28">
        <f>J27-J26</f>
        <v>0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516</v>
      </c>
    </row>
    <row r="30" spans="1:13" x14ac:dyDescent="0.25">
      <c r="A30" s="7"/>
      <c r="C30">
        <f>C26*B29</f>
        <v>0</v>
      </c>
      <c r="D30">
        <f>D26*B29</f>
        <v>0</v>
      </c>
      <c r="E30">
        <f>E26*B29</f>
        <v>0</v>
      </c>
      <c r="F30">
        <f>F26*B29</f>
        <v>0</v>
      </c>
      <c r="G30">
        <f>G26*B29</f>
        <v>0</v>
      </c>
      <c r="H30">
        <f>H26*B29</f>
        <v>0</v>
      </c>
      <c r="I30">
        <f>I26*B29</f>
        <v>0</v>
      </c>
      <c r="J3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>
        <f>C30-C29</f>
        <v>0</v>
      </c>
      <c r="D31">
        <f>D30-D29</f>
        <v>0</v>
      </c>
      <c r="E31">
        <f>E30-E29</f>
        <v>0</v>
      </c>
      <c r="F31">
        <f>F30-F29</f>
        <v>0</v>
      </c>
      <c r="G31">
        <f>G30-G29</f>
        <v>0</v>
      </c>
      <c r="H31">
        <f>H30-H29</f>
        <v>0</v>
      </c>
      <c r="I31">
        <f>I30-I29</f>
        <v>0</v>
      </c>
      <c r="J31">
        <f>J30-J29</f>
        <v>0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16" t="s">
        <v>61</v>
      </c>
    </row>
    <row r="33" spans="1:13" x14ac:dyDescent="0.25">
      <c r="A33" s="16"/>
      <c r="C33">
        <f>SUM(C26,C29)</f>
        <v>0</v>
      </c>
      <c r="D33">
        <f>SUM(D26,D29)</f>
        <v>0</v>
      </c>
      <c r="E33">
        <f>SUM(E26,E29)</f>
        <v>0</v>
      </c>
      <c r="F33">
        <f>SUM(F26,F29)</f>
        <v>0</v>
      </c>
      <c r="G33">
        <f>SUM(G26,G29)</f>
        <v>0</v>
      </c>
      <c r="H33">
        <f>SUM(H26,H29)</f>
        <v>0</v>
      </c>
      <c r="I33">
        <f>SUM(I26,I29)</f>
        <v>0</v>
      </c>
      <c r="J33">
        <f>SUM(J26,J29)</f>
        <v>0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16"/>
      <c r="C34">
        <f>C33-C32</f>
        <v>0</v>
      </c>
      <c r="D34">
        <f>D33-D32</f>
        <v>0</v>
      </c>
      <c r="E34">
        <f>E33-E32</f>
        <v>0</v>
      </c>
      <c r="F34">
        <f>F33-F32</f>
        <v>0</v>
      </c>
      <c r="G34">
        <f>G33-G32</f>
        <v>0</v>
      </c>
      <c r="H34">
        <f>H33-H32</f>
        <v>0</v>
      </c>
      <c r="I34">
        <f>I33-I32</f>
        <v>0</v>
      </c>
      <c r="J34">
        <f>J33-J32</f>
        <v>0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4" t="s">
        <v>62</v>
      </c>
      <c r="G35" s="36" t="s">
        <v>63</v>
      </c>
    </row>
    <row r="36" spans="1:13" x14ac:dyDescent="0.25">
      <c r="E36" s="5" t="s">
        <v>6</v>
      </c>
    </row>
    <row r="37" spans="1:13" x14ac:dyDescent="0.25">
      <c r="C37">
        <f>SUM(C32,C35)</f>
        <v>0</v>
      </c>
      <c r="D37">
        <f>SUM(D32,D35)</f>
        <v>0</v>
      </c>
      <c r="E37" s="5" t="s">
        <v>947</v>
      </c>
      <c r="F37">
        <f>SUM(F32,F35)</f>
        <v>0</v>
      </c>
      <c r="G37" s="56">
        <f>SUM(G32,G35)</f>
        <v>0</v>
      </c>
      <c r="H37">
        <f>SUM(H32,H35)</f>
        <v>0</v>
      </c>
      <c r="I37">
        <f>SUM(I32,I35)</f>
        <v>0</v>
      </c>
      <c r="J37">
        <f>SUM(J32,J35)</f>
        <v>0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C38">
        <f>C37-C36</f>
        <v>0</v>
      </c>
      <c r="D38">
        <f>D37-D36</f>
        <v>0</v>
      </c>
      <c r="E38" s="5" t="s">
        <v>948</v>
      </c>
      <c r="F38">
        <f>F37-F36</f>
        <v>0</v>
      </c>
      <c r="G38" s="56">
        <f>G37-G36</f>
        <v>0</v>
      </c>
      <c r="H38">
        <f>H37-H36</f>
        <v>0</v>
      </c>
      <c r="I38">
        <f>I37-I36</f>
        <v>0</v>
      </c>
      <c r="J38">
        <f>J37-J36</f>
        <v>0</v>
      </c>
      <c r="K38">
        <f>K37-K36</f>
        <v>0</v>
      </c>
      <c r="L38">
        <f>L37-L36</f>
        <v>0</v>
      </c>
      <c r="M38">
        <f>M37-M36</f>
        <v>0</v>
      </c>
    </row>
    <row r="41" spans="1:13" x14ac:dyDescent="0.25">
      <c r="C41">
        <f>C36*C39</f>
        <v>0</v>
      </c>
      <c r="D41">
        <f>D36*D39</f>
        <v>0</v>
      </c>
      <c r="E41" t="e">
        <f>E36*E39</f>
        <v>#VALUE!</v>
      </c>
      <c r="F41">
        <f>F36*F39</f>
        <v>0</v>
      </c>
      <c r="G41">
        <f>G36*G39</f>
        <v>0</v>
      </c>
      <c r="H41">
        <f>H36*H39</f>
        <v>0</v>
      </c>
      <c r="I41">
        <f>I36*I39</f>
        <v>0</v>
      </c>
      <c r="J41">
        <f>J36*J39</f>
        <v>0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C42">
        <f>C41-C40</f>
        <v>0</v>
      </c>
      <c r="D42">
        <f>D41-D40</f>
        <v>0</v>
      </c>
      <c r="E42" t="e">
        <f>E41-E40</f>
        <v>#VALUE!</v>
      </c>
      <c r="F42">
        <f>F41-F40</f>
        <v>0</v>
      </c>
      <c r="G42">
        <f>G41-G40</f>
        <v>0</v>
      </c>
      <c r="H42">
        <f>H41-H40</f>
        <v>0</v>
      </c>
      <c r="I42">
        <f>I41-I40</f>
        <v>0</v>
      </c>
      <c r="J42">
        <f>J41-J40</f>
        <v>0</v>
      </c>
      <c r="K42">
        <f>K41-K40</f>
        <v>0</v>
      </c>
      <c r="L42">
        <f>L41-L40</f>
        <v>0</v>
      </c>
      <c r="M42">
        <f>M41-M40</f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2:M44"/>
  <sheetViews>
    <sheetView workbookViewId="0"/>
  </sheetViews>
  <sheetFormatPr defaultRowHeight="15" x14ac:dyDescent="0.25"/>
  <cols>
    <col min="1" max="1" width="75" bestFit="1" customWidth="1"/>
    <col min="2" max="2" width="9.85546875" bestFit="1" customWidth="1"/>
    <col min="4" max="4" width="9.85546875" bestFit="1" customWidth="1"/>
    <col min="6" max="6" width="9.85546875" bestFit="1" customWidth="1"/>
  </cols>
  <sheetData>
    <row r="2" spans="1:13" x14ac:dyDescent="0.25">
      <c r="A2" s="5" t="s">
        <v>1</v>
      </c>
      <c r="F2" s="7" t="s">
        <v>517</v>
      </c>
    </row>
    <row r="3" spans="1:13" x14ac:dyDescent="0.25">
      <c r="A3" s="5" t="s">
        <v>9</v>
      </c>
    </row>
    <row r="4" spans="1:13" x14ac:dyDescent="0.25">
      <c r="A4" s="1" t="s">
        <v>518</v>
      </c>
    </row>
    <row r="5" spans="1:13" x14ac:dyDescent="0.25">
      <c r="A5" s="4" t="s">
        <v>11</v>
      </c>
    </row>
    <row r="6" spans="1:13" x14ac:dyDescent="0.25">
      <c r="A6" s="8" t="s">
        <v>519</v>
      </c>
    </row>
    <row r="7" spans="1:13" x14ac:dyDescent="0.25">
      <c r="F7" s="9" t="s">
        <v>520</v>
      </c>
    </row>
    <row r="8" spans="1:13" x14ac:dyDescent="0.25">
      <c r="A8" s="9" t="s">
        <v>521</v>
      </c>
      <c r="B8" s="9" t="s">
        <v>522</v>
      </c>
      <c r="C8" s="9" t="s">
        <v>523</v>
      </c>
      <c r="D8" s="9" t="s">
        <v>524</v>
      </c>
      <c r="E8" s="9" t="s">
        <v>525</v>
      </c>
      <c r="F8" s="9" t="s">
        <v>526</v>
      </c>
    </row>
    <row r="9" spans="1:13" x14ac:dyDescent="0.25">
      <c r="A9" s="7" t="s">
        <v>527</v>
      </c>
      <c r="B9" s="14">
        <v>5599247</v>
      </c>
      <c r="C9" s="14">
        <v>2406067</v>
      </c>
      <c r="D9" s="14">
        <v>8005314</v>
      </c>
      <c r="E9" s="23">
        <v>2.5</v>
      </c>
      <c r="F9" s="14">
        <v>20013286</v>
      </c>
    </row>
    <row r="10" spans="1:13" x14ac:dyDescent="0.25">
      <c r="A10" s="7" t="s">
        <v>528</v>
      </c>
      <c r="B10" s="14">
        <v>10347773</v>
      </c>
      <c r="C10" s="14">
        <v>2722884</v>
      </c>
      <c r="D10" s="14">
        <v>13070656</v>
      </c>
      <c r="E10" s="23">
        <v>2.5</v>
      </c>
      <c r="F10" s="14">
        <v>32676641</v>
      </c>
    </row>
    <row r="11" spans="1:13" x14ac:dyDescent="0.25">
      <c r="A11" s="7"/>
      <c r="B11" s="14"/>
      <c r="C11" s="14">
        <f>SUM(C8:C9)</f>
        <v>2406067</v>
      </c>
      <c r="D11" s="14">
        <f>SUM(D8:D9)</f>
        <v>8005314</v>
      </c>
      <c r="E11" s="7">
        <f>SUM(E8:E9)</f>
        <v>2.5</v>
      </c>
      <c r="F11" s="14">
        <f>SUM(F8:F9)</f>
        <v>20013286</v>
      </c>
      <c r="G11">
        <f>SUM(G8:G9)</f>
        <v>0</v>
      </c>
      <c r="H11">
        <f>SUM(H8:H9)</f>
        <v>0</v>
      </c>
      <c r="I11">
        <f>SUM(I8:I9)</f>
        <v>0</v>
      </c>
      <c r="J11">
        <f>SUM(J8:J9)</f>
        <v>0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B12" s="14"/>
      <c r="C12" s="14">
        <f>C11-C10</f>
        <v>-316817</v>
      </c>
      <c r="D12" s="14">
        <f>D11-D10</f>
        <v>-5065342</v>
      </c>
      <c r="E12" s="7">
        <f>E11-E10</f>
        <v>0</v>
      </c>
      <c r="F12" s="14">
        <f>F11-F10</f>
        <v>-12663355</v>
      </c>
      <c r="G12">
        <f>G11-G10</f>
        <v>0</v>
      </c>
      <c r="H12">
        <f>H11-H10</f>
        <v>0</v>
      </c>
      <c r="I12">
        <f>I11-I10</f>
        <v>0</v>
      </c>
      <c r="J12">
        <f>J11-J10</f>
        <v>0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529</v>
      </c>
      <c r="B13" s="14">
        <v>391096</v>
      </c>
      <c r="C13" s="14">
        <v>324786</v>
      </c>
      <c r="D13" s="14">
        <v>715881</v>
      </c>
      <c r="E13" s="23">
        <v>2.5</v>
      </c>
      <c r="F13" s="14">
        <v>1789704</v>
      </c>
    </row>
    <row r="14" spans="1:13" x14ac:dyDescent="0.25">
      <c r="A14" s="7" t="s">
        <v>530</v>
      </c>
      <c r="B14" s="7" t="s">
        <v>90</v>
      </c>
      <c r="C14" s="14">
        <v>375963</v>
      </c>
      <c r="D14" s="14">
        <v>375963</v>
      </c>
      <c r="E14" s="23">
        <v>2.5</v>
      </c>
      <c r="F14" s="14">
        <v>939908</v>
      </c>
    </row>
    <row r="15" spans="1:13" x14ac:dyDescent="0.25">
      <c r="A15" s="7"/>
      <c r="B15" s="7"/>
      <c r="C15" s="14">
        <f>C10*C13</f>
        <v>884354602824</v>
      </c>
      <c r="D15" s="14">
        <f>D10*D13</f>
        <v>9357034287936</v>
      </c>
      <c r="E15" s="23">
        <f>E10*E13</f>
        <v>6.25</v>
      </c>
      <c r="F15" s="14">
        <f>F10*F13</f>
        <v>58481515104264</v>
      </c>
      <c r="G15">
        <f>G10*G13</f>
        <v>0</v>
      </c>
      <c r="H15">
        <f>H10*H13</f>
        <v>0</v>
      </c>
      <c r="I15">
        <f>I10*I13</f>
        <v>0</v>
      </c>
      <c r="J15">
        <f>J10*J13</f>
        <v>0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B16" s="7"/>
      <c r="C16" s="14">
        <f>C15-C14</f>
        <v>884354226861</v>
      </c>
      <c r="D16" s="14">
        <f>D15-D14</f>
        <v>9357033911973</v>
      </c>
      <c r="E16" s="23">
        <f>E15-E14</f>
        <v>3.75</v>
      </c>
      <c r="F16" s="14">
        <f>F15-F14</f>
        <v>58481514164356</v>
      </c>
      <c r="G16">
        <f>G15-G14</f>
        <v>0</v>
      </c>
      <c r="H16">
        <f>H15-H14</f>
        <v>0</v>
      </c>
      <c r="I16">
        <f>I15-I14</f>
        <v>0</v>
      </c>
      <c r="J16">
        <f>J15-J14</f>
        <v>0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531</v>
      </c>
      <c r="B17" s="14">
        <v>551352</v>
      </c>
      <c r="C17" s="14">
        <v>494898</v>
      </c>
      <c r="D17" s="14">
        <v>1046251</v>
      </c>
      <c r="E17" s="23">
        <v>2.5</v>
      </c>
      <c r="F17" s="14">
        <v>2615626</v>
      </c>
    </row>
    <row r="18" spans="1:13" x14ac:dyDescent="0.25">
      <c r="A18" s="7" t="s">
        <v>532</v>
      </c>
      <c r="B18" s="14">
        <v>3244584</v>
      </c>
      <c r="C18" s="14">
        <v>6747048</v>
      </c>
      <c r="D18" s="14">
        <v>9991633</v>
      </c>
      <c r="E18" s="23">
        <v>2.5</v>
      </c>
      <c r="F18" s="14">
        <v>24979082</v>
      </c>
    </row>
    <row r="19" spans="1:13" x14ac:dyDescent="0.25">
      <c r="A19" s="7" t="s">
        <v>533</v>
      </c>
      <c r="B19" s="14">
        <v>4219567</v>
      </c>
      <c r="C19" s="14">
        <v>2464168</v>
      </c>
      <c r="D19" s="14">
        <v>6683735</v>
      </c>
      <c r="E19" s="23">
        <v>2.5</v>
      </c>
      <c r="F19" s="14">
        <v>16709337</v>
      </c>
    </row>
    <row r="20" spans="1:13" x14ac:dyDescent="0.25">
      <c r="A20" s="6" t="s">
        <v>534</v>
      </c>
      <c r="F20" s="14">
        <v>99723584</v>
      </c>
    </row>
    <row r="21" spans="1:13" x14ac:dyDescent="0.25">
      <c r="A21" s="6"/>
      <c r="C21" s="59">
        <f>SUM(C18,C19)</f>
        <v>9211216</v>
      </c>
      <c r="D21" s="59">
        <f>SUM(D18,D19)</f>
        <v>16675368</v>
      </c>
      <c r="E21">
        <f>SUM(E18,E19)</f>
        <v>5</v>
      </c>
      <c r="F21" s="14">
        <f>SUM(F18,F19)</f>
        <v>41688419</v>
      </c>
      <c r="G21">
        <f>SUM(G18,G19)</f>
        <v>0</v>
      </c>
      <c r="H21">
        <f>SUM(H18,H19)</f>
        <v>0</v>
      </c>
      <c r="I21">
        <f>SUM(I18,I19)</f>
        <v>0</v>
      </c>
      <c r="J21">
        <f>SUM(J18,J19)</f>
        <v>0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6"/>
      <c r="C22" s="59">
        <f>C21-C20</f>
        <v>9211216</v>
      </c>
      <c r="D22" s="59">
        <f>D21-D20</f>
        <v>16675368</v>
      </c>
      <c r="E22">
        <f>E21-E20</f>
        <v>5</v>
      </c>
      <c r="F22" s="14">
        <f>F21-F20</f>
        <v>-58035165</v>
      </c>
      <c r="G22">
        <f>G21-G20</f>
        <v>0</v>
      </c>
      <c r="H22">
        <f>H21-H20</f>
        <v>0</v>
      </c>
      <c r="I22">
        <f>I21-I20</f>
        <v>0</v>
      </c>
      <c r="J22">
        <f>J21-J20</f>
        <v>0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E23" s="7" t="s">
        <v>218</v>
      </c>
      <c r="F23" s="14">
        <v>99723584</v>
      </c>
    </row>
    <row r="24" spans="1:13" x14ac:dyDescent="0.25">
      <c r="C24">
        <f>C10*B23</f>
        <v>0</v>
      </c>
      <c r="D24">
        <f>D10*B23</f>
        <v>0</v>
      </c>
      <c r="E24" s="7" t="s">
        <v>841</v>
      </c>
      <c r="F24" s="14">
        <f>F10*B23</f>
        <v>0</v>
      </c>
      <c r="G24">
        <f>G10*B23</f>
        <v>0</v>
      </c>
      <c r="H24">
        <f>H10*B23</f>
        <v>0</v>
      </c>
      <c r="I24">
        <f>I10*B23</f>
        <v>0</v>
      </c>
      <c r="J24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C25">
        <f>C24-C23</f>
        <v>0</v>
      </c>
      <c r="D25">
        <f>D24-D23</f>
        <v>0</v>
      </c>
      <c r="E25" s="7" t="s">
        <v>842</v>
      </c>
      <c r="F25" s="14">
        <f>F24-F23</f>
        <v>-99723584</v>
      </c>
      <c r="G25">
        <f>G24-G23</f>
        <v>0</v>
      </c>
      <c r="H25">
        <f>H24-H23</f>
        <v>0</v>
      </c>
      <c r="I25">
        <f>I24-I23</f>
        <v>0</v>
      </c>
      <c r="J25">
        <f>J24-J23</f>
        <v>0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E26" s="7" t="s">
        <v>535</v>
      </c>
      <c r="F26" s="7" t="s">
        <v>90</v>
      </c>
    </row>
    <row r="27" spans="1:13" x14ac:dyDescent="0.25">
      <c r="C27">
        <f>SUM(C20,C23)</f>
        <v>0</v>
      </c>
      <c r="D27">
        <f>SUM(D20,D23)</f>
        <v>0</v>
      </c>
      <c r="E27" s="7" t="s">
        <v>949</v>
      </c>
      <c r="F27" s="7" t="s">
        <v>853</v>
      </c>
      <c r="G27">
        <f>SUM(G20,G23)</f>
        <v>0</v>
      </c>
      <c r="H27">
        <f>SUM(H20,H23)</f>
        <v>0</v>
      </c>
      <c r="I27">
        <f>SUM(I20,I23)</f>
        <v>0</v>
      </c>
      <c r="J27">
        <f>SUM(J20,J23)</f>
        <v>0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C28">
        <f>C27-C26</f>
        <v>0</v>
      </c>
      <c r="D28">
        <f>D27-D26</f>
        <v>0</v>
      </c>
      <c r="E28" s="7" t="s">
        <v>950</v>
      </c>
      <c r="F28" s="7" t="s">
        <v>854</v>
      </c>
      <c r="G28">
        <f>G27-G26</f>
        <v>0</v>
      </c>
      <c r="H28">
        <f>H27-H26</f>
        <v>0</v>
      </c>
      <c r="I28">
        <f>I27-I26</f>
        <v>0</v>
      </c>
      <c r="J28">
        <f>J27-J26</f>
        <v>0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E29" s="7" t="s">
        <v>218</v>
      </c>
      <c r="F29" s="14">
        <v>99723584</v>
      </c>
    </row>
    <row r="30" spans="1:13" x14ac:dyDescent="0.25">
      <c r="C30">
        <f>C26*B29</f>
        <v>0</v>
      </c>
      <c r="D30">
        <f>D26*B29</f>
        <v>0</v>
      </c>
      <c r="E30" s="7" t="s">
        <v>843</v>
      </c>
      <c r="F30" s="14" t="e">
        <f>F26*B29</f>
        <v>#VALUE!</v>
      </c>
      <c r="G30">
        <f>G26*B29</f>
        <v>0</v>
      </c>
      <c r="H30">
        <f>H26*B29</f>
        <v>0</v>
      </c>
      <c r="I30">
        <f>I26*B29</f>
        <v>0</v>
      </c>
      <c r="J3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C31">
        <f>C30-C29</f>
        <v>0</v>
      </c>
      <c r="D31">
        <f>D30-D29</f>
        <v>0</v>
      </c>
      <c r="E31" s="7" t="s">
        <v>844</v>
      </c>
      <c r="F31" s="14" t="e">
        <f>F30-F29</f>
        <v>#VALUE!</v>
      </c>
      <c r="G31">
        <f>G30-G29</f>
        <v>0</v>
      </c>
      <c r="H31">
        <f>H30-H29</f>
        <v>0</v>
      </c>
      <c r="I31">
        <f>I30-I29</f>
        <v>0</v>
      </c>
      <c r="J31">
        <f>J30-J29</f>
        <v>0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E32" s="6" t="s">
        <v>536</v>
      </c>
      <c r="F32" s="10">
        <v>100</v>
      </c>
    </row>
    <row r="33" spans="1:13" x14ac:dyDescent="0.25">
      <c r="C33">
        <f>SUM(C26,C29)</f>
        <v>0</v>
      </c>
      <c r="D33">
        <f>SUM(D26,D29)</f>
        <v>0</v>
      </c>
      <c r="E33" s="6" t="s">
        <v>845</v>
      </c>
      <c r="F33" s="10">
        <f>SUM(F26,F29)</f>
        <v>99723584</v>
      </c>
      <c r="G33">
        <f>SUM(G26,G29)</f>
        <v>0</v>
      </c>
      <c r="H33">
        <f>SUM(H26,H29)</f>
        <v>0</v>
      </c>
      <c r="I33">
        <f>SUM(I26,I29)</f>
        <v>0</v>
      </c>
      <c r="J33">
        <f>SUM(J26,J29)</f>
        <v>0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C34">
        <f>C33-C32</f>
        <v>0</v>
      </c>
      <c r="D34">
        <f>D33-D32</f>
        <v>0</v>
      </c>
      <c r="E34" s="6" t="s">
        <v>846</v>
      </c>
      <c r="F34" s="10">
        <f>F33-F32</f>
        <v>99723484</v>
      </c>
      <c r="G34">
        <f>G33-G32</f>
        <v>0</v>
      </c>
      <c r="H34">
        <f>H33-H32</f>
        <v>0</v>
      </c>
      <c r="I34">
        <f>I33-I32</f>
        <v>0</v>
      </c>
      <c r="J34">
        <f>J33-J32</f>
        <v>0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8" t="s">
        <v>127</v>
      </c>
    </row>
    <row r="36" spans="1:13" x14ac:dyDescent="0.25">
      <c r="A36" s="7" t="s">
        <v>516</v>
      </c>
    </row>
    <row r="37" spans="1:13" x14ac:dyDescent="0.25">
      <c r="A37" s="7"/>
      <c r="C37">
        <f>SUM(C32,C35)</f>
        <v>0</v>
      </c>
      <c r="D37">
        <f>SUM(D32,D35)</f>
        <v>0</v>
      </c>
      <c r="E37" s="56">
        <f>SUM(E32,E35)</f>
        <v>0</v>
      </c>
      <c r="F37" s="58">
        <f>SUM(F32,F35)</f>
        <v>100</v>
      </c>
      <c r="G37">
        <f>SUM(G32,G35)</f>
        <v>0</v>
      </c>
      <c r="H37">
        <f>SUM(H32,H35)</f>
        <v>0</v>
      </c>
      <c r="I37">
        <f>SUM(I32,I35)</f>
        <v>0</v>
      </c>
      <c r="J37">
        <f>SUM(J32,J35)</f>
        <v>0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7"/>
      <c r="C38">
        <f>C37-C36</f>
        <v>0</v>
      </c>
      <c r="D38">
        <f>D37-D36</f>
        <v>0</v>
      </c>
      <c r="E38" s="56">
        <f>E37-E36</f>
        <v>0</v>
      </c>
      <c r="F38" s="58">
        <f>F37-F36</f>
        <v>100</v>
      </c>
      <c r="G38">
        <f>G37-G36</f>
        <v>0</v>
      </c>
      <c r="H38">
        <f>H37-H36</f>
        <v>0</v>
      </c>
      <c r="I38">
        <f>I37-I36</f>
        <v>0</v>
      </c>
      <c r="J38">
        <f>J37-J36</f>
        <v>0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537</v>
      </c>
    </row>
    <row r="40" spans="1:13" x14ac:dyDescent="0.25">
      <c r="A40" s="16" t="s">
        <v>61</v>
      </c>
    </row>
    <row r="41" spans="1:13" x14ac:dyDescent="0.25">
      <c r="A41" s="16"/>
      <c r="C41">
        <f>C36*C39</f>
        <v>0</v>
      </c>
      <c r="D41">
        <f>D36*D39</f>
        <v>0</v>
      </c>
      <c r="E41">
        <f>E36*E39</f>
        <v>0</v>
      </c>
      <c r="F41">
        <f>F36*F39</f>
        <v>0</v>
      </c>
      <c r="G41">
        <f>G36*G39</f>
        <v>0</v>
      </c>
      <c r="H41">
        <f>H36*H39</f>
        <v>0</v>
      </c>
      <c r="I41">
        <f>I36*I39</f>
        <v>0</v>
      </c>
      <c r="J41">
        <f>J36*J39</f>
        <v>0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16"/>
      <c r="C42">
        <f>C41-C40</f>
        <v>0</v>
      </c>
      <c r="D42">
        <f>D41-D40</f>
        <v>0</v>
      </c>
      <c r="E42">
        <f>E41-E40</f>
        <v>0</v>
      </c>
      <c r="F42">
        <f>F41-F40</f>
        <v>0</v>
      </c>
      <c r="G42">
        <f>G41-G40</f>
        <v>0</v>
      </c>
      <c r="H42">
        <f>H41-H40</f>
        <v>0</v>
      </c>
      <c r="I42">
        <f>I41-I40</f>
        <v>0</v>
      </c>
      <c r="J42">
        <f>J41-J40</f>
        <v>0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4" t="s">
        <v>62</v>
      </c>
    </row>
    <row r="44" spans="1:13" x14ac:dyDescent="0.25">
      <c r="C44" s="5" t="s">
        <v>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M98"/>
  <sheetViews>
    <sheetView workbookViewId="0"/>
  </sheetViews>
  <sheetFormatPr defaultRowHeight="15" x14ac:dyDescent="0.25"/>
  <cols>
    <col min="1" max="1" width="75" bestFit="1" customWidth="1"/>
  </cols>
  <sheetData>
    <row r="2" spans="1:13" x14ac:dyDescent="0.25">
      <c r="A2" s="6" t="s">
        <v>1</v>
      </c>
      <c r="K2" s="7" t="s">
        <v>538</v>
      </c>
    </row>
    <row r="3" spans="1:13" x14ac:dyDescent="0.25">
      <c r="A3" s="6" t="s">
        <v>9</v>
      </c>
    </row>
    <row r="4" spans="1:13" x14ac:dyDescent="0.25">
      <c r="A4" s="6" t="s">
        <v>539</v>
      </c>
    </row>
    <row r="5" spans="1:13" x14ac:dyDescent="0.25">
      <c r="A5" s="6" t="s">
        <v>11</v>
      </c>
    </row>
    <row r="6" spans="1:13" x14ac:dyDescent="0.25">
      <c r="G6" s="9" t="s">
        <v>96</v>
      </c>
    </row>
    <row r="7" spans="1:13" x14ac:dyDescent="0.25">
      <c r="A7" s="8" t="s">
        <v>12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540</v>
      </c>
      <c r="C8" s="10">
        <v>972</v>
      </c>
      <c r="D8" s="14">
        <v>1000</v>
      </c>
      <c r="E8" s="14">
        <v>1037</v>
      </c>
      <c r="F8" s="14">
        <v>1079</v>
      </c>
      <c r="G8" s="14">
        <v>1119</v>
      </c>
      <c r="H8" s="14">
        <v>1166</v>
      </c>
      <c r="I8" s="14">
        <v>1217</v>
      </c>
      <c r="J8" s="14">
        <v>1271</v>
      </c>
    </row>
    <row r="9" spans="1:13" x14ac:dyDescent="0.25">
      <c r="A9" s="6" t="s">
        <v>541</v>
      </c>
      <c r="C9" s="10">
        <v>694</v>
      </c>
      <c r="D9" s="10">
        <v>715</v>
      </c>
      <c r="E9" s="10">
        <v>742</v>
      </c>
      <c r="F9" s="10">
        <v>771</v>
      </c>
      <c r="G9" s="10">
        <v>799</v>
      </c>
      <c r="H9" s="10">
        <v>833</v>
      </c>
      <c r="I9" s="10">
        <v>870</v>
      </c>
      <c r="J9" s="10">
        <v>909</v>
      </c>
    </row>
    <row r="10" spans="1:13" x14ac:dyDescent="0.25">
      <c r="A10" s="6" t="s">
        <v>542</v>
      </c>
      <c r="C10" s="10">
        <v>305</v>
      </c>
      <c r="D10" s="10">
        <v>312</v>
      </c>
      <c r="E10" s="10">
        <v>323</v>
      </c>
      <c r="F10" s="10">
        <v>333</v>
      </c>
      <c r="G10" s="10">
        <v>346</v>
      </c>
      <c r="H10" s="10">
        <v>359</v>
      </c>
      <c r="I10" s="10">
        <v>371</v>
      </c>
      <c r="J10" s="10">
        <v>384</v>
      </c>
    </row>
    <row r="11" spans="1:13" x14ac:dyDescent="0.25">
      <c r="A11" s="6"/>
      <c r="C11" s="10">
        <f>SUM(C8:C9)</f>
        <v>1666</v>
      </c>
      <c r="D11" s="10">
        <f>SUM(D8:D9)</f>
        <v>1715</v>
      </c>
      <c r="E11" s="10">
        <f>SUM(E8:E9)</f>
        <v>1779</v>
      </c>
      <c r="F11" s="10">
        <f>SUM(F8:F9)</f>
        <v>1850</v>
      </c>
      <c r="G11" s="10">
        <f>SUM(G8:G9)</f>
        <v>1918</v>
      </c>
      <c r="H11" s="10">
        <f>SUM(H8:H9)</f>
        <v>1999</v>
      </c>
      <c r="I11" s="10">
        <f>SUM(I8:I9)</f>
        <v>2087</v>
      </c>
      <c r="J11" s="10">
        <f>SUM(J8:J9)</f>
        <v>2180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6"/>
      <c r="C12" s="10">
        <f>C11-C10</f>
        <v>1361</v>
      </c>
      <c r="D12" s="10">
        <f>D11-D10</f>
        <v>1403</v>
      </c>
      <c r="E12" s="10">
        <f>E11-E10</f>
        <v>1456</v>
      </c>
      <c r="F12" s="10">
        <f>F11-F10</f>
        <v>1517</v>
      </c>
      <c r="G12" s="10">
        <f>G11-G10</f>
        <v>1572</v>
      </c>
      <c r="H12" s="10">
        <f>H11-H10</f>
        <v>1640</v>
      </c>
      <c r="I12" s="10">
        <f>I11-I10</f>
        <v>1716</v>
      </c>
      <c r="J12" s="10">
        <f>J11-J10</f>
        <v>1796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6" t="s">
        <v>543</v>
      </c>
      <c r="C13" s="10">
        <v>88</v>
      </c>
      <c r="D13" s="10">
        <v>92</v>
      </c>
      <c r="E13" s="10">
        <v>98</v>
      </c>
      <c r="F13" s="10">
        <v>103</v>
      </c>
      <c r="G13" s="10">
        <v>106</v>
      </c>
      <c r="H13" s="10">
        <v>110</v>
      </c>
      <c r="I13" s="10">
        <v>116</v>
      </c>
      <c r="J13" s="10">
        <v>123</v>
      </c>
    </row>
    <row r="14" spans="1:13" x14ac:dyDescent="0.25">
      <c r="A14" s="6" t="s">
        <v>544</v>
      </c>
      <c r="C14" s="10">
        <v>25</v>
      </c>
      <c r="D14" s="10">
        <v>26</v>
      </c>
      <c r="E14" s="10">
        <v>27</v>
      </c>
      <c r="F14" s="10">
        <v>28</v>
      </c>
      <c r="G14" s="10">
        <v>30</v>
      </c>
      <c r="H14" s="10">
        <v>32</v>
      </c>
      <c r="I14" s="10">
        <v>34</v>
      </c>
      <c r="J14" s="10">
        <v>36</v>
      </c>
    </row>
    <row r="15" spans="1:13" x14ac:dyDescent="0.25">
      <c r="A15" s="6"/>
      <c r="C15" s="10">
        <f>C10*C13</f>
        <v>26840</v>
      </c>
      <c r="D15" s="10">
        <f>D10*D13</f>
        <v>28704</v>
      </c>
      <c r="E15" s="10">
        <f>E10*E13</f>
        <v>31654</v>
      </c>
      <c r="F15" s="10">
        <f>F10*F13</f>
        <v>34299</v>
      </c>
      <c r="G15" s="10">
        <f>G10*G13</f>
        <v>36676</v>
      </c>
      <c r="H15" s="10">
        <f>H10*H13</f>
        <v>39490</v>
      </c>
      <c r="I15" s="10">
        <f>I10*I13</f>
        <v>43036</v>
      </c>
      <c r="J15" s="10">
        <f>J10*J13</f>
        <v>47232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6"/>
      <c r="C16" s="10">
        <f>C15-C14</f>
        <v>26815</v>
      </c>
      <c r="D16" s="10">
        <f>D15-D14</f>
        <v>28678</v>
      </c>
      <c r="E16" s="10">
        <f>E15-E14</f>
        <v>31627</v>
      </c>
      <c r="F16" s="10">
        <f>F15-F14</f>
        <v>34271</v>
      </c>
      <c r="G16" s="10">
        <f>G15-G14</f>
        <v>36646</v>
      </c>
      <c r="H16" s="10">
        <f>H15-H14</f>
        <v>39458</v>
      </c>
      <c r="I16" s="10">
        <f>I15-I14</f>
        <v>43002</v>
      </c>
      <c r="J16" s="10">
        <f>J15-J14</f>
        <v>47196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6" t="s">
        <v>545</v>
      </c>
      <c r="C17" s="10">
        <v>22</v>
      </c>
      <c r="D17" s="10">
        <v>24</v>
      </c>
      <c r="E17" s="10">
        <v>26</v>
      </c>
      <c r="F17" s="10">
        <v>28</v>
      </c>
      <c r="G17" s="10">
        <v>29</v>
      </c>
      <c r="H17" s="10">
        <v>32</v>
      </c>
      <c r="I17" s="10">
        <v>36</v>
      </c>
      <c r="J17" s="10">
        <v>39</v>
      </c>
    </row>
    <row r="18" spans="1:13" x14ac:dyDescent="0.25">
      <c r="A18" s="6" t="s">
        <v>546</v>
      </c>
      <c r="C18" s="10">
        <v>114</v>
      </c>
      <c r="D18" s="10">
        <v>116</v>
      </c>
      <c r="E18" s="10">
        <v>119</v>
      </c>
      <c r="F18" s="10">
        <v>122</v>
      </c>
      <c r="G18" s="10">
        <v>123</v>
      </c>
      <c r="H18" s="10">
        <v>128</v>
      </c>
      <c r="I18" s="10">
        <v>132</v>
      </c>
      <c r="J18" s="10">
        <v>137</v>
      </c>
    </row>
    <row r="19" spans="1:13" x14ac:dyDescent="0.25">
      <c r="A19" s="6" t="s">
        <v>547</v>
      </c>
      <c r="C19" s="10">
        <v>9</v>
      </c>
      <c r="D19" s="10">
        <v>9</v>
      </c>
      <c r="E19" s="10">
        <v>9</v>
      </c>
      <c r="F19" s="10">
        <v>9</v>
      </c>
      <c r="G19" s="10">
        <v>10</v>
      </c>
      <c r="H19" s="10">
        <v>11</v>
      </c>
      <c r="I19" s="10">
        <v>11</v>
      </c>
      <c r="J19" s="10">
        <v>12</v>
      </c>
    </row>
    <row r="20" spans="1:13" x14ac:dyDescent="0.25">
      <c r="A20" s="6" t="s">
        <v>548</v>
      </c>
    </row>
    <row r="21" spans="1:13" x14ac:dyDescent="0.25">
      <c r="A21" s="6"/>
      <c r="C21" s="58">
        <f>SUM(C18,C19)</f>
        <v>123</v>
      </c>
      <c r="D21" s="58">
        <f>SUM(D18,D19)</f>
        <v>125</v>
      </c>
      <c r="E21" s="58">
        <f>SUM(E18,E19)</f>
        <v>128</v>
      </c>
      <c r="F21" s="58">
        <f>SUM(F18,F19)</f>
        <v>131</v>
      </c>
      <c r="G21" s="58">
        <f>SUM(G18,G19)</f>
        <v>133</v>
      </c>
      <c r="H21" s="58">
        <f>SUM(H18,H19)</f>
        <v>139</v>
      </c>
      <c r="I21" s="58">
        <f>SUM(I18,I19)</f>
        <v>143</v>
      </c>
      <c r="J21" s="58">
        <f>SUM(J18,J19)</f>
        <v>149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6"/>
      <c r="C22" s="58">
        <f>C21-C20</f>
        <v>123</v>
      </c>
      <c r="D22" s="58">
        <f>D21-D20</f>
        <v>125</v>
      </c>
      <c r="E22" s="58">
        <f>E21-E20</f>
        <v>128</v>
      </c>
      <c r="F22" s="58">
        <f>F21-F20</f>
        <v>131</v>
      </c>
      <c r="G22" s="58">
        <f>G21-G20</f>
        <v>133</v>
      </c>
      <c r="H22" s="58">
        <f>H21-H20</f>
        <v>139</v>
      </c>
      <c r="I22" s="58">
        <f>I21-I20</f>
        <v>143</v>
      </c>
      <c r="J22" s="58">
        <f>J21-J20</f>
        <v>149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C23" s="19">
        <v>-97</v>
      </c>
      <c r="D23" s="19">
        <v>-106</v>
      </c>
      <c r="E23" s="19">
        <v>-117</v>
      </c>
      <c r="F23" s="19">
        <v>-125</v>
      </c>
      <c r="G23" s="19">
        <v>-134</v>
      </c>
      <c r="H23" s="19">
        <v>-139</v>
      </c>
      <c r="I23" s="19">
        <v>-146</v>
      </c>
      <c r="J23" s="19">
        <v>-152</v>
      </c>
    </row>
    <row r="24" spans="1:13" x14ac:dyDescent="0.25">
      <c r="C24" s="19">
        <f>C10*B23</f>
        <v>0</v>
      </c>
      <c r="D24" s="19">
        <f>D10*B23</f>
        <v>0</v>
      </c>
      <c r="E24" s="19">
        <f>E10*B23</f>
        <v>0</v>
      </c>
      <c r="F24" s="19">
        <f>F10*B23</f>
        <v>0</v>
      </c>
      <c r="G24" s="19">
        <f>G10*B23</f>
        <v>0</v>
      </c>
      <c r="H24" s="19">
        <f>H10*B23</f>
        <v>0</v>
      </c>
      <c r="I24" s="19">
        <f>I10*B23</f>
        <v>0</v>
      </c>
      <c r="J24" s="19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C25" s="19">
        <f>C24-C23</f>
        <v>97</v>
      </c>
      <c r="D25" s="19">
        <f>D24-D23</f>
        <v>106</v>
      </c>
      <c r="E25" s="19">
        <f>E24-E23</f>
        <v>117</v>
      </c>
      <c r="F25" s="19">
        <f>F24-F23</f>
        <v>125</v>
      </c>
      <c r="G25" s="19">
        <f>G24-G23</f>
        <v>134</v>
      </c>
      <c r="H25" s="19">
        <f>H24-H23</f>
        <v>139</v>
      </c>
      <c r="I25" s="19">
        <f>I24-I23</f>
        <v>146</v>
      </c>
      <c r="J25" s="19">
        <f>J24-J23</f>
        <v>152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7" t="s">
        <v>549</v>
      </c>
      <c r="B26" s="20">
        <v>5.1999999999999998E-2</v>
      </c>
      <c r="C26" s="19">
        <v>-5</v>
      </c>
      <c r="D26" s="19">
        <v>-6</v>
      </c>
      <c r="E26" s="19">
        <v>-6</v>
      </c>
      <c r="F26" s="19">
        <v>-7</v>
      </c>
      <c r="G26" s="19">
        <v>-7</v>
      </c>
      <c r="H26" s="19">
        <v>-7</v>
      </c>
      <c r="I26" s="19">
        <v>-8</v>
      </c>
      <c r="J26" s="19">
        <v>-8</v>
      </c>
    </row>
    <row r="27" spans="1:13" x14ac:dyDescent="0.25">
      <c r="A27" s="7"/>
      <c r="B27" s="20"/>
      <c r="C27" s="19">
        <f>SUM(C20,C23)</f>
        <v>-97</v>
      </c>
      <c r="D27" s="19">
        <f>SUM(D20,D23)</f>
        <v>-106</v>
      </c>
      <c r="E27" s="19">
        <f>SUM(E20,E23)</f>
        <v>-117</v>
      </c>
      <c r="F27" s="19">
        <f>SUM(F20,F23)</f>
        <v>-125</v>
      </c>
      <c r="G27" s="19">
        <f>SUM(G20,G23)</f>
        <v>-134</v>
      </c>
      <c r="H27" s="19">
        <f>SUM(H20,H23)</f>
        <v>-139</v>
      </c>
      <c r="I27" s="19">
        <f>SUM(I20,I23)</f>
        <v>-146</v>
      </c>
      <c r="J27" s="19">
        <f>SUM(J20,J23)</f>
        <v>-152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7"/>
      <c r="B28" s="20"/>
      <c r="C28" s="19">
        <f>C27-C26</f>
        <v>-92</v>
      </c>
      <c r="D28" s="19">
        <f>D27-D26</f>
        <v>-100</v>
      </c>
      <c r="E28" s="19">
        <f>E27-E26</f>
        <v>-111</v>
      </c>
      <c r="F28" s="19">
        <f>F27-F26</f>
        <v>-118</v>
      </c>
      <c r="G28" s="19">
        <f>G27-G26</f>
        <v>-127</v>
      </c>
      <c r="H28" s="19">
        <f>H27-H26</f>
        <v>-132</v>
      </c>
      <c r="I28" s="19">
        <f>I27-I26</f>
        <v>-138</v>
      </c>
      <c r="J28" s="19">
        <f>J27-J26</f>
        <v>-144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550</v>
      </c>
      <c r="C29" s="20">
        <v>-7.0000000000000001E-3</v>
      </c>
      <c r="D29" s="20">
        <v>-8.0000000000000002E-3</v>
      </c>
      <c r="E29" s="20">
        <v>-8.0000000000000002E-3</v>
      </c>
      <c r="F29" s="20">
        <v>-8.0000000000000002E-3</v>
      </c>
      <c r="G29" s="20">
        <v>-8.9999999999999993E-3</v>
      </c>
      <c r="H29" s="20">
        <v>-8.9999999999999993E-3</v>
      </c>
      <c r="I29" s="20">
        <v>-8.9999999999999993E-3</v>
      </c>
      <c r="J29" s="20">
        <v>-8.9999999999999993E-3</v>
      </c>
    </row>
    <row r="30" spans="1:13" x14ac:dyDescent="0.25">
      <c r="A30" s="7"/>
      <c r="C30" s="20">
        <f>C26*B29</f>
        <v>0</v>
      </c>
      <c r="D30" s="20">
        <f>D26*B29</f>
        <v>0</v>
      </c>
      <c r="E30" s="20">
        <f>E26*B29</f>
        <v>0</v>
      </c>
      <c r="F30" s="20">
        <f>F26*B29</f>
        <v>0</v>
      </c>
      <c r="G30" s="20">
        <f>G26*B29</f>
        <v>0</v>
      </c>
      <c r="H30" s="20">
        <f>H26*B29</f>
        <v>0</v>
      </c>
      <c r="I30" s="20">
        <f>I26*B29</f>
        <v>0</v>
      </c>
      <c r="J30" s="2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 s="20">
        <f>C30-C29</f>
        <v>7.0000000000000001E-3</v>
      </c>
      <c r="D31" s="20">
        <f>D30-D29</f>
        <v>8.0000000000000002E-3</v>
      </c>
      <c r="E31" s="20">
        <f>E30-E29</f>
        <v>8.0000000000000002E-3</v>
      </c>
      <c r="F31" s="20">
        <f>F30-F29</f>
        <v>8.0000000000000002E-3</v>
      </c>
      <c r="G31" s="20">
        <f>G30-G29</f>
        <v>8.9999999999999993E-3</v>
      </c>
      <c r="H31" s="20">
        <f>H30-H29</f>
        <v>8.9999999999999993E-3</v>
      </c>
      <c r="I31" s="20">
        <f>I30-I29</f>
        <v>8.9999999999999993E-3</v>
      </c>
      <c r="J31" s="20">
        <f>J30-J29</f>
        <v>8.9999999999999993E-3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6" t="s">
        <v>551</v>
      </c>
      <c r="C32" s="28">
        <v>-8.0000000000000002E-3</v>
      </c>
    </row>
    <row r="33" spans="1:13" x14ac:dyDescent="0.25">
      <c r="A33" s="6"/>
      <c r="C33" s="28">
        <f>SUM(C26,C29)</f>
        <v>-5.0069999999999997</v>
      </c>
      <c r="D33" s="60">
        <f>SUM(D26,D29)</f>
        <v>-6.008</v>
      </c>
      <c r="E33" s="60">
        <f>SUM(E26,E29)</f>
        <v>-6.008</v>
      </c>
      <c r="F33" s="60">
        <f>SUM(F26,F29)</f>
        <v>-7.008</v>
      </c>
      <c r="G33" s="60">
        <f>SUM(G26,G29)</f>
        <v>-7.0090000000000003</v>
      </c>
      <c r="H33" s="60">
        <f>SUM(H26,H29)</f>
        <v>-7.0090000000000003</v>
      </c>
      <c r="I33" s="60">
        <f>SUM(I26,I29)</f>
        <v>-8.0090000000000003</v>
      </c>
      <c r="J33" s="60">
        <f>SUM(J26,J29)</f>
        <v>-8.0090000000000003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6"/>
      <c r="C34" s="28">
        <f>C33-C32</f>
        <v>-4.9989999999999997</v>
      </c>
      <c r="D34" s="60">
        <f>D33-D32</f>
        <v>-6.008</v>
      </c>
      <c r="E34" s="60">
        <f>E33-E32</f>
        <v>-6.008</v>
      </c>
      <c r="F34" s="60">
        <f>F33-F32</f>
        <v>-7.008</v>
      </c>
      <c r="G34" s="60">
        <f>G33-G32</f>
        <v>-7.0090000000000003</v>
      </c>
      <c r="H34" s="60">
        <f>H33-H32</f>
        <v>-7.0090000000000003</v>
      </c>
      <c r="I34" s="60">
        <f>I33-I32</f>
        <v>-8.0090000000000003</v>
      </c>
      <c r="J34" s="60">
        <f>J33-J32</f>
        <v>-8.0090000000000003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6" t="s">
        <v>552</v>
      </c>
      <c r="C35" s="10">
        <v>24</v>
      </c>
      <c r="D35" s="10">
        <v>24</v>
      </c>
      <c r="E35" s="10">
        <v>24</v>
      </c>
      <c r="F35" s="10">
        <v>24</v>
      </c>
      <c r="G35" s="10">
        <v>24</v>
      </c>
      <c r="H35" s="10">
        <v>24</v>
      </c>
      <c r="I35" s="10">
        <v>24</v>
      </c>
      <c r="J35" s="10">
        <v>24</v>
      </c>
    </row>
    <row r="36" spans="1:13" x14ac:dyDescent="0.25">
      <c r="A36" s="7" t="s">
        <v>549</v>
      </c>
      <c r="B36" s="20">
        <v>6.0999999999999999E-2</v>
      </c>
      <c r="C36" s="10">
        <v>1</v>
      </c>
      <c r="D36" s="10">
        <v>1</v>
      </c>
      <c r="E36" s="10">
        <v>1</v>
      </c>
      <c r="F36" s="10">
        <v>1</v>
      </c>
      <c r="G36" s="10">
        <v>1</v>
      </c>
      <c r="H36" s="10">
        <v>1</v>
      </c>
      <c r="I36" s="10">
        <v>1</v>
      </c>
      <c r="J36" s="10">
        <v>1</v>
      </c>
    </row>
    <row r="37" spans="1:13" x14ac:dyDescent="0.25">
      <c r="A37" s="7"/>
      <c r="B37" s="20"/>
      <c r="C37" s="10">
        <f>SUM(C32,C35)</f>
        <v>23.992000000000001</v>
      </c>
      <c r="D37" s="10">
        <f>SUM(D32,D35)</f>
        <v>24</v>
      </c>
      <c r="E37" s="10">
        <f>SUM(E32,E35)</f>
        <v>24</v>
      </c>
      <c r="F37" s="10">
        <f>SUM(F32,F35)</f>
        <v>24</v>
      </c>
      <c r="G37" s="10">
        <f>SUM(G32,G35)</f>
        <v>24</v>
      </c>
      <c r="H37" s="10">
        <f>SUM(H32,H35)</f>
        <v>24</v>
      </c>
      <c r="I37" s="10">
        <f>SUM(I32,I35)</f>
        <v>24</v>
      </c>
      <c r="J37" s="10">
        <f>SUM(J32,J35)</f>
        <v>24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7"/>
      <c r="B38" s="20"/>
      <c r="C38" s="10">
        <f>C37-C36</f>
        <v>22.992000000000001</v>
      </c>
      <c r="D38" s="10">
        <f>D37-D36</f>
        <v>23</v>
      </c>
      <c r="E38" s="10">
        <f>E37-E36</f>
        <v>23</v>
      </c>
      <c r="F38" s="10">
        <f>F37-F36</f>
        <v>23</v>
      </c>
      <c r="G38" s="10">
        <f>G37-G36</f>
        <v>23</v>
      </c>
      <c r="H38" s="10">
        <f>H37-H36</f>
        <v>23</v>
      </c>
      <c r="I38" s="10">
        <f>I37-I36</f>
        <v>23</v>
      </c>
      <c r="J38" s="10">
        <f>J37-J36</f>
        <v>23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550</v>
      </c>
      <c r="C39" s="20">
        <v>2E-3</v>
      </c>
      <c r="D39" s="20">
        <v>1E-3</v>
      </c>
      <c r="E39" s="20">
        <v>1E-3</v>
      </c>
      <c r="F39" s="20">
        <v>1E-3</v>
      </c>
      <c r="G39" s="20">
        <v>1E-3</v>
      </c>
      <c r="H39" s="20">
        <v>1E-3</v>
      </c>
      <c r="I39" s="20">
        <v>1E-3</v>
      </c>
      <c r="J39" s="20">
        <v>1E-3</v>
      </c>
    </row>
    <row r="40" spans="1:13" x14ac:dyDescent="0.25">
      <c r="A40" s="6" t="s">
        <v>551</v>
      </c>
      <c r="C40" s="28">
        <v>1E-3</v>
      </c>
    </row>
    <row r="41" spans="1:13" x14ac:dyDescent="0.25">
      <c r="A41" s="6"/>
      <c r="C41" s="28">
        <f>C36*C39</f>
        <v>2E-3</v>
      </c>
      <c r="D41">
        <f>D36*D39</f>
        <v>1E-3</v>
      </c>
      <c r="E41">
        <f>E36*E39</f>
        <v>1E-3</v>
      </c>
      <c r="F41">
        <f>F36*F39</f>
        <v>1E-3</v>
      </c>
      <c r="G41">
        <f>G36*G39</f>
        <v>1E-3</v>
      </c>
      <c r="H41">
        <f>H36*H39</f>
        <v>1E-3</v>
      </c>
      <c r="I41">
        <f>I36*I39</f>
        <v>1E-3</v>
      </c>
      <c r="J41">
        <f>J36*J39</f>
        <v>1E-3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6"/>
      <c r="C42" s="28">
        <f>C41-C40</f>
        <v>1E-3</v>
      </c>
      <c r="D42">
        <f>D41-D40</f>
        <v>1E-3</v>
      </c>
      <c r="E42">
        <f>E41-E40</f>
        <v>1E-3</v>
      </c>
      <c r="F42">
        <f>F41-F40</f>
        <v>1E-3</v>
      </c>
      <c r="G42">
        <f>G41-G40</f>
        <v>1E-3</v>
      </c>
      <c r="H42">
        <f>H41-H40</f>
        <v>1E-3</v>
      </c>
      <c r="I42">
        <f>I41-I40</f>
        <v>1E-3</v>
      </c>
      <c r="J42">
        <f>J41-J40</f>
        <v>1E-3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6" t="s">
        <v>553</v>
      </c>
      <c r="C43" s="10">
        <v>40</v>
      </c>
      <c r="D43" s="10">
        <v>40</v>
      </c>
      <c r="E43" s="10">
        <v>40</v>
      </c>
      <c r="F43" s="10">
        <v>40</v>
      </c>
      <c r="G43" s="10">
        <v>40</v>
      </c>
      <c r="H43" s="10">
        <v>40</v>
      </c>
      <c r="I43" s="10">
        <v>40</v>
      </c>
      <c r="J43" s="10">
        <v>40</v>
      </c>
    </row>
    <row r="44" spans="1:13" x14ac:dyDescent="0.25">
      <c r="A44" s="7" t="s">
        <v>549</v>
      </c>
      <c r="B44" s="20">
        <v>0.11</v>
      </c>
      <c r="C44" s="10">
        <v>4</v>
      </c>
      <c r="D44" s="10">
        <v>4</v>
      </c>
      <c r="E44" s="10">
        <v>4</v>
      </c>
      <c r="F44" s="10">
        <v>4</v>
      </c>
      <c r="G44" s="10">
        <v>4</v>
      </c>
      <c r="H44" s="10">
        <v>4</v>
      </c>
      <c r="I44" s="10">
        <v>4</v>
      </c>
      <c r="J44" s="10">
        <v>4</v>
      </c>
    </row>
    <row r="45" spans="1:13" x14ac:dyDescent="0.25">
      <c r="A45" s="7" t="s">
        <v>550</v>
      </c>
      <c r="C45" s="20">
        <v>5.0000000000000001E-3</v>
      </c>
      <c r="D45" s="20">
        <v>4.0000000000000001E-3</v>
      </c>
      <c r="E45" s="20">
        <v>4.0000000000000001E-3</v>
      </c>
      <c r="F45" s="20">
        <v>4.0000000000000001E-3</v>
      </c>
      <c r="G45" s="20">
        <v>4.0000000000000001E-3</v>
      </c>
      <c r="H45" s="20">
        <v>4.0000000000000001E-3</v>
      </c>
      <c r="I45" s="20">
        <v>4.0000000000000001E-3</v>
      </c>
      <c r="J45" s="20">
        <v>3.0000000000000001E-3</v>
      </c>
    </row>
    <row r="46" spans="1:13" x14ac:dyDescent="0.25">
      <c r="A46" s="6" t="s">
        <v>551</v>
      </c>
      <c r="C46" s="28">
        <v>4.0000000000000001E-3</v>
      </c>
    </row>
    <row r="47" spans="1:13" x14ac:dyDescent="0.25">
      <c r="A47" s="6" t="s">
        <v>554</v>
      </c>
      <c r="C47" s="10">
        <v>80</v>
      </c>
    </row>
    <row r="48" spans="1:13" x14ac:dyDescent="0.25">
      <c r="A48" s="7" t="s">
        <v>549</v>
      </c>
      <c r="B48" s="28">
        <v>0.11</v>
      </c>
      <c r="D48" s="10">
        <v>9</v>
      </c>
      <c r="E48" s="10">
        <v>9</v>
      </c>
      <c r="F48" s="10">
        <v>9</v>
      </c>
      <c r="G48" s="10">
        <v>9</v>
      </c>
      <c r="H48" s="10">
        <v>9</v>
      </c>
      <c r="I48" s="10">
        <v>9</v>
      </c>
      <c r="J48" s="10">
        <v>9</v>
      </c>
    </row>
    <row r="49" spans="1:10" x14ac:dyDescent="0.25">
      <c r="A49" s="7" t="s">
        <v>550</v>
      </c>
      <c r="D49" s="20">
        <v>2.8000000000000001E-2</v>
      </c>
      <c r="E49" s="20">
        <v>2.7E-2</v>
      </c>
      <c r="F49" s="20">
        <v>2.5999999999999999E-2</v>
      </c>
      <c r="G49" s="20">
        <v>2.5000000000000001E-2</v>
      </c>
      <c r="H49" s="20">
        <v>2.5000000000000001E-2</v>
      </c>
      <c r="I49" s="20">
        <v>2.4E-2</v>
      </c>
      <c r="J49" s="20">
        <v>2.3E-2</v>
      </c>
    </row>
    <row r="50" spans="1:10" x14ac:dyDescent="0.25">
      <c r="A50" s="6" t="s">
        <v>555</v>
      </c>
      <c r="C50" s="28">
        <v>2.5000000000000001E-2</v>
      </c>
    </row>
    <row r="51" spans="1:10" x14ac:dyDescent="0.25">
      <c r="A51" s="6" t="s">
        <v>556</v>
      </c>
      <c r="C51" s="10">
        <v>20</v>
      </c>
    </row>
    <row r="52" spans="1:10" x14ac:dyDescent="0.25">
      <c r="A52" s="7" t="s">
        <v>549</v>
      </c>
      <c r="B52" s="28">
        <v>0.11</v>
      </c>
      <c r="D52" s="10">
        <v>2</v>
      </c>
      <c r="E52" s="10">
        <v>2</v>
      </c>
      <c r="F52" s="10">
        <v>2</v>
      </c>
      <c r="G52" s="10">
        <v>2</v>
      </c>
      <c r="H52" s="10">
        <v>2</v>
      </c>
      <c r="I52" s="10">
        <v>2</v>
      </c>
      <c r="J52" s="10">
        <v>2</v>
      </c>
    </row>
    <row r="53" spans="1:10" x14ac:dyDescent="0.25">
      <c r="A53" s="7"/>
      <c r="B53" s="28"/>
      <c r="D53" s="10"/>
      <c r="E53" s="10"/>
      <c r="F53" s="10"/>
      <c r="G53" s="10"/>
      <c r="H53" s="10"/>
      <c r="I53" s="10"/>
      <c r="J53" s="10"/>
    </row>
    <row r="54" spans="1:10" x14ac:dyDescent="0.25">
      <c r="A54" s="7"/>
      <c r="B54" s="28"/>
      <c r="D54" s="10"/>
      <c r="E54" s="10"/>
      <c r="F54" s="10"/>
      <c r="G54" s="10"/>
      <c r="H54" s="10"/>
      <c r="I54" s="10"/>
      <c r="J54" s="10"/>
    </row>
    <row r="55" spans="1:10" x14ac:dyDescent="0.25">
      <c r="A55" s="7" t="s">
        <v>550</v>
      </c>
      <c r="D55" s="20">
        <v>2.4E-2</v>
      </c>
      <c r="E55" s="20">
        <v>2.1999999999999999E-2</v>
      </c>
      <c r="F55" s="20">
        <v>2.1000000000000001E-2</v>
      </c>
      <c r="G55" s="20">
        <v>2.1000000000000001E-2</v>
      </c>
      <c r="H55" s="20">
        <v>0.02</v>
      </c>
      <c r="I55" s="20">
        <v>1.9E-2</v>
      </c>
      <c r="J55" s="20">
        <v>1.7999999999999999E-2</v>
      </c>
    </row>
    <row r="56" spans="1:10" x14ac:dyDescent="0.25">
      <c r="A56" s="7"/>
      <c r="D56" s="20"/>
      <c r="E56" s="20"/>
      <c r="F56" s="20"/>
      <c r="G56" s="20"/>
      <c r="H56" s="20"/>
      <c r="I56" s="20"/>
      <c r="J56" s="20"/>
    </row>
    <row r="57" spans="1:10" x14ac:dyDescent="0.25">
      <c r="A57" s="7"/>
      <c r="D57" s="20"/>
      <c r="E57" s="20"/>
      <c r="F57" s="20"/>
      <c r="G57" s="20"/>
      <c r="H57" s="20"/>
      <c r="I57" s="20"/>
      <c r="J57" s="20"/>
    </row>
    <row r="58" spans="1:10" x14ac:dyDescent="0.25">
      <c r="A58" s="6" t="s">
        <v>555</v>
      </c>
      <c r="C58" s="28">
        <v>2.1000000000000001E-2</v>
      </c>
    </row>
    <row r="59" spans="1:10" x14ac:dyDescent="0.25">
      <c r="A59" s="6"/>
      <c r="C59" s="28"/>
    </row>
    <row r="60" spans="1:10" x14ac:dyDescent="0.25">
      <c r="A60" s="6"/>
      <c r="C60" s="28"/>
    </row>
    <row r="61" spans="1:10" x14ac:dyDescent="0.25">
      <c r="A61" s="6" t="s">
        <v>557</v>
      </c>
      <c r="C61" s="10">
        <v>6</v>
      </c>
    </row>
    <row r="62" spans="1:10" x14ac:dyDescent="0.25">
      <c r="A62" s="6"/>
      <c r="C62" s="10"/>
    </row>
    <row r="63" spans="1:10" x14ac:dyDescent="0.25">
      <c r="A63" s="6"/>
      <c r="C63" s="10"/>
    </row>
    <row r="64" spans="1:10" x14ac:dyDescent="0.25">
      <c r="A64" s="7" t="s">
        <v>549</v>
      </c>
      <c r="B64" s="28">
        <v>0.11</v>
      </c>
      <c r="D64" s="10">
        <v>1</v>
      </c>
      <c r="E64" s="10">
        <v>1</v>
      </c>
      <c r="F64" s="10">
        <v>1</v>
      </c>
      <c r="G64" s="10">
        <v>1</v>
      </c>
      <c r="H64" s="10">
        <v>1</v>
      </c>
      <c r="I64" s="10">
        <v>1</v>
      </c>
      <c r="J64" s="10">
        <v>1</v>
      </c>
    </row>
    <row r="65" spans="1:10" x14ac:dyDescent="0.25">
      <c r="A65" s="7"/>
      <c r="B65" s="28"/>
      <c r="D65" s="10"/>
      <c r="E65" s="10"/>
      <c r="F65" s="10"/>
      <c r="G65" s="10"/>
      <c r="H65" s="10"/>
      <c r="I65" s="10"/>
      <c r="J65" s="10"/>
    </row>
    <row r="66" spans="1:10" x14ac:dyDescent="0.25">
      <c r="A66" s="7"/>
      <c r="B66" s="28"/>
      <c r="D66" s="10"/>
      <c r="E66" s="10"/>
      <c r="F66" s="10"/>
      <c r="G66" s="10"/>
      <c r="H66" s="10"/>
      <c r="I66" s="10"/>
      <c r="J66" s="10"/>
    </row>
    <row r="67" spans="1:10" x14ac:dyDescent="0.25">
      <c r="A67" s="7" t="s">
        <v>550</v>
      </c>
      <c r="D67" s="20">
        <v>2.8000000000000001E-2</v>
      </c>
      <c r="E67" s="20">
        <v>2.5999999999999999E-2</v>
      </c>
      <c r="F67" s="20">
        <v>2.4E-2</v>
      </c>
      <c r="G67" s="20">
        <v>2.3E-2</v>
      </c>
      <c r="H67" s="20">
        <v>2.1000000000000001E-2</v>
      </c>
      <c r="I67" s="20">
        <v>1.9E-2</v>
      </c>
      <c r="J67" s="20">
        <v>1.7000000000000001E-2</v>
      </c>
    </row>
    <row r="68" spans="1:10" x14ac:dyDescent="0.25">
      <c r="A68" s="6" t="s">
        <v>555</v>
      </c>
      <c r="C68" s="28">
        <v>2.1999999999999999E-2</v>
      </c>
    </row>
    <row r="69" spans="1:10" x14ac:dyDescent="0.25">
      <c r="A69" s="6" t="s">
        <v>558</v>
      </c>
      <c r="C69" s="10">
        <v>7</v>
      </c>
    </row>
    <row r="70" spans="1:10" x14ac:dyDescent="0.25">
      <c r="A70" s="7" t="s">
        <v>549</v>
      </c>
      <c r="B70" s="28">
        <v>0.11</v>
      </c>
      <c r="D70" s="10">
        <v>1</v>
      </c>
      <c r="E70" s="10">
        <v>1</v>
      </c>
      <c r="F70" s="10">
        <v>1</v>
      </c>
      <c r="G70" s="10">
        <v>1</v>
      </c>
      <c r="H70" s="10">
        <v>1</v>
      </c>
      <c r="I70" s="10">
        <v>1</v>
      </c>
      <c r="J70" s="10">
        <v>1</v>
      </c>
    </row>
    <row r="71" spans="1:10" x14ac:dyDescent="0.25">
      <c r="A71" s="7" t="s">
        <v>550</v>
      </c>
      <c r="D71" s="20">
        <v>3.1E-2</v>
      </c>
      <c r="E71" s="20">
        <v>2.9000000000000001E-2</v>
      </c>
      <c r="F71" s="20">
        <v>2.8000000000000001E-2</v>
      </c>
      <c r="G71" s="20">
        <v>2.5999999999999999E-2</v>
      </c>
      <c r="H71" s="20">
        <v>2.5000000000000001E-2</v>
      </c>
      <c r="I71" s="20">
        <v>2.3E-2</v>
      </c>
      <c r="J71" s="20">
        <v>2.1999999999999999E-2</v>
      </c>
    </row>
    <row r="72" spans="1:10" x14ac:dyDescent="0.25">
      <c r="A72" s="6" t="s">
        <v>555</v>
      </c>
      <c r="C72" s="28">
        <v>2.5999999999999999E-2</v>
      </c>
    </row>
    <row r="73" spans="1:10" x14ac:dyDescent="0.25">
      <c r="A73" s="6" t="s">
        <v>559</v>
      </c>
      <c r="C73" s="10">
        <v>30</v>
      </c>
    </row>
    <row r="74" spans="1:10" x14ac:dyDescent="0.25">
      <c r="A74" s="7" t="s">
        <v>549</v>
      </c>
      <c r="B74" s="28">
        <v>0.11</v>
      </c>
      <c r="C74" s="10">
        <v>3</v>
      </c>
      <c r="D74" s="10">
        <v>3</v>
      </c>
      <c r="E74" s="10">
        <v>3</v>
      </c>
      <c r="F74" s="10">
        <v>3</v>
      </c>
      <c r="G74" s="10">
        <v>3</v>
      </c>
      <c r="H74" s="10">
        <v>3</v>
      </c>
      <c r="I74" s="10">
        <v>3</v>
      </c>
      <c r="J74" s="10">
        <v>3</v>
      </c>
    </row>
    <row r="75" spans="1:10" x14ac:dyDescent="0.25">
      <c r="A75" s="7" t="s">
        <v>550</v>
      </c>
      <c r="C75" s="20">
        <v>2.9000000000000001E-2</v>
      </c>
      <c r="D75" s="20">
        <v>2.9000000000000001E-2</v>
      </c>
      <c r="E75" s="20">
        <v>2.8000000000000001E-2</v>
      </c>
      <c r="F75" s="20">
        <v>2.7E-2</v>
      </c>
      <c r="G75" s="20">
        <v>2.7E-2</v>
      </c>
      <c r="H75" s="20">
        <v>2.5999999999999999E-2</v>
      </c>
      <c r="I75" s="20">
        <v>2.5000000000000001E-2</v>
      </c>
      <c r="J75" s="20">
        <v>2.4E-2</v>
      </c>
    </row>
    <row r="76" spans="1:10" x14ac:dyDescent="0.25">
      <c r="A76" s="6" t="s">
        <v>555</v>
      </c>
      <c r="C76" s="28">
        <v>2.5999999999999999E-2</v>
      </c>
    </row>
    <row r="77" spans="1:10" x14ac:dyDescent="0.25">
      <c r="A77" s="6" t="s">
        <v>560</v>
      </c>
      <c r="C77" s="10">
        <v>2</v>
      </c>
    </row>
    <row r="78" spans="1:10" x14ac:dyDescent="0.25">
      <c r="A78" s="7" t="s">
        <v>549</v>
      </c>
      <c r="B78" s="28">
        <v>0.11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10">
        <v>0</v>
      </c>
      <c r="J78" s="10">
        <v>0</v>
      </c>
    </row>
    <row r="79" spans="1:10" x14ac:dyDescent="0.25">
      <c r="A79" s="7" t="s">
        <v>550</v>
      </c>
      <c r="D79" s="20">
        <v>2.7E-2</v>
      </c>
      <c r="E79" s="20">
        <v>2.5999999999999999E-2</v>
      </c>
      <c r="F79" s="20">
        <v>2.5999999999999999E-2</v>
      </c>
      <c r="G79" s="20">
        <v>2.4E-2</v>
      </c>
      <c r="H79" s="20">
        <v>2.1999999999999999E-2</v>
      </c>
      <c r="I79" s="20">
        <v>2.1000000000000001E-2</v>
      </c>
      <c r="J79" s="20">
        <v>0.02</v>
      </c>
    </row>
    <row r="80" spans="1:10" x14ac:dyDescent="0.25">
      <c r="A80" s="6" t="s">
        <v>555</v>
      </c>
      <c r="C80" s="28">
        <v>2.4E-2</v>
      </c>
    </row>
    <row r="81" spans="1:10" x14ac:dyDescent="0.25">
      <c r="A81" s="6" t="s">
        <v>47</v>
      </c>
      <c r="C81" s="10">
        <v>50</v>
      </c>
    </row>
    <row r="82" spans="1:10" x14ac:dyDescent="0.25">
      <c r="A82" s="7" t="s">
        <v>549</v>
      </c>
      <c r="B82" s="28">
        <v>0.11</v>
      </c>
      <c r="D82" s="10">
        <v>6</v>
      </c>
      <c r="E82" s="10">
        <v>6</v>
      </c>
      <c r="F82" s="10">
        <v>6</v>
      </c>
      <c r="G82" s="10">
        <v>6</v>
      </c>
      <c r="H82" s="10">
        <v>6</v>
      </c>
      <c r="I82" s="10">
        <v>6</v>
      </c>
      <c r="J82" s="10">
        <v>6</v>
      </c>
    </row>
    <row r="83" spans="1:10" x14ac:dyDescent="0.25">
      <c r="A83" s="7" t="s">
        <v>550</v>
      </c>
      <c r="D83" s="20">
        <v>1.0999999999999999E-2</v>
      </c>
      <c r="E83" s="20">
        <v>0.01</v>
      </c>
      <c r="F83" s="20">
        <v>0.01</v>
      </c>
      <c r="G83" s="20">
        <v>0.01</v>
      </c>
      <c r="H83" s="20">
        <v>8.9999999999999993E-3</v>
      </c>
      <c r="I83" s="20">
        <v>8.9999999999999993E-3</v>
      </c>
      <c r="J83" s="20">
        <v>8.9999999999999993E-3</v>
      </c>
    </row>
    <row r="84" spans="1:10" x14ac:dyDescent="0.25">
      <c r="A84" s="6" t="s">
        <v>555</v>
      </c>
      <c r="C84" s="28">
        <v>0.01</v>
      </c>
    </row>
    <row r="85" spans="1:10" x14ac:dyDescent="0.25">
      <c r="A85" s="6" t="s">
        <v>561</v>
      </c>
      <c r="C85" s="13">
        <v>100</v>
      </c>
    </row>
    <row r="86" spans="1:10" x14ac:dyDescent="0.25">
      <c r="A86" s="6" t="s">
        <v>562</v>
      </c>
    </row>
    <row r="87" spans="1:10" x14ac:dyDescent="0.25">
      <c r="A87" s="7" t="s">
        <v>549</v>
      </c>
      <c r="B87" s="37">
        <v>0.11</v>
      </c>
      <c r="D87" s="23">
        <v>10.97</v>
      </c>
      <c r="E87" s="10">
        <v>11</v>
      </c>
      <c r="F87" s="10">
        <v>11</v>
      </c>
      <c r="G87" s="10">
        <v>11</v>
      </c>
      <c r="H87" s="10">
        <v>11</v>
      </c>
      <c r="I87" s="10">
        <v>11</v>
      </c>
      <c r="J87" s="10">
        <v>11</v>
      </c>
    </row>
    <row r="88" spans="1:10" x14ac:dyDescent="0.25">
      <c r="A88" s="7" t="s">
        <v>550</v>
      </c>
      <c r="D88" s="28">
        <v>1.4999999999999999E-2</v>
      </c>
      <c r="E88" s="28">
        <v>1.4E-2</v>
      </c>
      <c r="F88" s="28">
        <v>1.4E-2</v>
      </c>
      <c r="G88" s="28">
        <v>1.2999999999999999E-2</v>
      </c>
      <c r="H88" s="28">
        <v>1.2999999999999999E-2</v>
      </c>
      <c r="I88" s="28">
        <v>1.2E-2</v>
      </c>
      <c r="J88" s="28">
        <v>1.2E-2</v>
      </c>
    </row>
    <row r="89" spans="1:10" x14ac:dyDescent="0.25">
      <c r="A89" s="6" t="s">
        <v>555</v>
      </c>
      <c r="C89" s="28">
        <v>1.2999999999999999E-2</v>
      </c>
    </row>
    <row r="90" spans="1:10" x14ac:dyDescent="0.25">
      <c r="A90" s="6" t="s">
        <v>563</v>
      </c>
      <c r="C90" s="28">
        <v>4.4999999999999998E-2</v>
      </c>
    </row>
    <row r="91" spans="1:10" x14ac:dyDescent="0.25">
      <c r="A91" s="6" t="s">
        <v>564</v>
      </c>
      <c r="C91" s="28">
        <v>0.04</v>
      </c>
    </row>
    <row r="92" spans="1:10" x14ac:dyDescent="0.25">
      <c r="A92" s="6" t="s">
        <v>565</v>
      </c>
      <c r="C92" s="28">
        <v>3.2000000000000001E-2</v>
      </c>
    </row>
    <row r="93" spans="1:10" x14ac:dyDescent="0.25">
      <c r="A93" s="6" t="s">
        <v>566</v>
      </c>
      <c r="C93" s="28">
        <v>3.5999999999999997E-2</v>
      </c>
    </row>
    <row r="94" spans="1:10" x14ac:dyDescent="0.25">
      <c r="A94" s="6" t="s">
        <v>567</v>
      </c>
      <c r="C94" s="28">
        <v>4.5999999999999999E-2</v>
      </c>
    </row>
    <row r="95" spans="1:10" x14ac:dyDescent="0.25">
      <c r="A95" s="6" t="s">
        <v>568</v>
      </c>
      <c r="C95" s="28">
        <v>3.4000000000000002E-2</v>
      </c>
    </row>
    <row r="96" spans="1:10" x14ac:dyDescent="0.25">
      <c r="A96" s="16" t="s">
        <v>61</v>
      </c>
    </row>
    <row r="97" spans="1:11" x14ac:dyDescent="0.25">
      <c r="A97" s="4" t="s">
        <v>62</v>
      </c>
      <c r="K97" s="2" t="s">
        <v>63</v>
      </c>
    </row>
    <row r="98" spans="1:11" x14ac:dyDescent="0.25">
      <c r="G98" s="5" t="s">
        <v>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2:M60"/>
  <sheetViews>
    <sheetView workbookViewId="0"/>
  </sheetViews>
  <sheetFormatPr defaultRowHeight="15" x14ac:dyDescent="0.25"/>
  <cols>
    <col min="1" max="1" width="75" bestFit="1" customWidth="1"/>
  </cols>
  <sheetData>
    <row r="2" spans="1:13" x14ac:dyDescent="0.25">
      <c r="A2" s="6" t="s">
        <v>1</v>
      </c>
    </row>
    <row r="3" spans="1:13" x14ac:dyDescent="0.25">
      <c r="K3" s="7" t="s">
        <v>569</v>
      </c>
    </row>
    <row r="4" spans="1:13" x14ac:dyDescent="0.25">
      <c r="A4" s="6" t="s">
        <v>9</v>
      </c>
    </row>
    <row r="5" spans="1:13" x14ac:dyDescent="0.25">
      <c r="A5" s="6" t="s">
        <v>570</v>
      </c>
    </row>
    <row r="6" spans="1:13" x14ac:dyDescent="0.25">
      <c r="A6" s="6" t="s">
        <v>11</v>
      </c>
    </row>
    <row r="7" spans="1:13" x14ac:dyDescent="0.25">
      <c r="G7" s="9" t="s">
        <v>96</v>
      </c>
    </row>
    <row r="8" spans="1:13" x14ac:dyDescent="0.25">
      <c r="A8" s="8" t="s">
        <v>12</v>
      </c>
      <c r="C8" s="9" t="s">
        <v>97</v>
      </c>
      <c r="D8" s="9" t="s">
        <v>98</v>
      </c>
      <c r="E8" s="9" t="s">
        <v>99</v>
      </c>
      <c r="F8" s="9" t="s">
        <v>100</v>
      </c>
      <c r="G8" s="9" t="s">
        <v>101</v>
      </c>
      <c r="H8" s="9" t="s">
        <v>102</v>
      </c>
      <c r="I8" s="9" t="s">
        <v>103</v>
      </c>
      <c r="J8" s="9" t="s">
        <v>104</v>
      </c>
    </row>
    <row r="9" spans="1:13" x14ac:dyDescent="0.25">
      <c r="A9" s="6" t="s">
        <v>540</v>
      </c>
      <c r="C9" s="10">
        <v>972</v>
      </c>
      <c r="D9" s="14">
        <v>1000</v>
      </c>
      <c r="E9" s="14">
        <v>1037</v>
      </c>
      <c r="F9" s="14">
        <v>1079</v>
      </c>
      <c r="G9" s="14">
        <v>1119</v>
      </c>
      <c r="H9" s="14">
        <v>1166</v>
      </c>
      <c r="I9" s="14">
        <v>1217</v>
      </c>
      <c r="J9" s="14">
        <v>1271</v>
      </c>
    </row>
    <row r="10" spans="1:13" x14ac:dyDescent="0.25">
      <c r="A10" s="6" t="s">
        <v>571</v>
      </c>
      <c r="C10" s="10">
        <v>241</v>
      </c>
      <c r="D10" s="10">
        <v>250</v>
      </c>
      <c r="E10" s="10">
        <v>260</v>
      </c>
      <c r="F10" s="10">
        <v>270</v>
      </c>
      <c r="G10" s="10">
        <v>280</v>
      </c>
      <c r="H10" s="10">
        <v>291</v>
      </c>
      <c r="I10" s="10">
        <v>303</v>
      </c>
      <c r="J10" s="10">
        <v>316</v>
      </c>
    </row>
    <row r="11" spans="1:13" x14ac:dyDescent="0.25">
      <c r="A11" s="6"/>
      <c r="C11" s="10">
        <f>SUM(C8:C9)</f>
        <v>972</v>
      </c>
      <c r="D11" s="10">
        <f>SUM(D8:D9)</f>
        <v>1000</v>
      </c>
      <c r="E11" s="10">
        <f>SUM(E8:E9)</f>
        <v>1037</v>
      </c>
      <c r="F11" s="10">
        <f>SUM(F8:F9)</f>
        <v>1079</v>
      </c>
      <c r="G11" s="10">
        <f>SUM(G8:G9)</f>
        <v>1119</v>
      </c>
      <c r="H11" s="10">
        <f>SUM(H8:H9)</f>
        <v>1166</v>
      </c>
      <c r="I11" s="10">
        <f>SUM(I8:I9)</f>
        <v>1217</v>
      </c>
      <c r="J11" s="10">
        <f>SUM(J8:J9)</f>
        <v>1271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6"/>
      <c r="C12" s="10">
        <f>C11-C10</f>
        <v>731</v>
      </c>
      <c r="D12" s="10">
        <f>D11-D10</f>
        <v>750</v>
      </c>
      <c r="E12" s="10">
        <f>E11-E10</f>
        <v>777</v>
      </c>
      <c r="F12" s="10">
        <f>F11-F10</f>
        <v>809</v>
      </c>
      <c r="G12" s="10">
        <f>G11-G10</f>
        <v>839</v>
      </c>
      <c r="H12" s="10">
        <f>H11-H10</f>
        <v>875</v>
      </c>
      <c r="I12" s="10">
        <f>I11-I10</f>
        <v>914</v>
      </c>
      <c r="J12" s="10">
        <f>J11-J10</f>
        <v>955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6" t="s">
        <v>572</v>
      </c>
      <c r="C13" s="10">
        <v>127</v>
      </c>
      <c r="D13" s="10">
        <v>130</v>
      </c>
      <c r="E13" s="10">
        <v>133</v>
      </c>
      <c r="F13" s="10">
        <v>137</v>
      </c>
      <c r="G13" s="10">
        <v>140</v>
      </c>
      <c r="H13" s="10">
        <v>144</v>
      </c>
      <c r="I13" s="10">
        <v>148</v>
      </c>
      <c r="J13" s="10">
        <v>152</v>
      </c>
    </row>
    <row r="14" spans="1:13" x14ac:dyDescent="0.25">
      <c r="A14" s="6" t="s">
        <v>548</v>
      </c>
    </row>
    <row r="15" spans="1:13" x14ac:dyDescent="0.25">
      <c r="A15" s="6"/>
      <c r="C15">
        <f>C10*C13</f>
        <v>30607</v>
      </c>
      <c r="D15">
        <f>D10*D13</f>
        <v>32500</v>
      </c>
      <c r="E15">
        <f>E10*E13</f>
        <v>34580</v>
      </c>
      <c r="F15">
        <f>F10*F13</f>
        <v>36990</v>
      </c>
      <c r="G15">
        <f>G10*G13</f>
        <v>39200</v>
      </c>
      <c r="H15">
        <f>H10*H13</f>
        <v>41904</v>
      </c>
      <c r="I15">
        <f>I10*I13</f>
        <v>44844</v>
      </c>
      <c r="J15">
        <f>J10*J13</f>
        <v>48032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6"/>
      <c r="C16">
        <f>C15-C14</f>
        <v>30607</v>
      </c>
      <c r="D16">
        <f>D15-D14</f>
        <v>32500</v>
      </c>
      <c r="E16">
        <f>E15-E14</f>
        <v>34580</v>
      </c>
      <c r="F16">
        <f>F15-F14</f>
        <v>36990</v>
      </c>
      <c r="G16">
        <f>G15-G14</f>
        <v>39200</v>
      </c>
      <c r="H16">
        <f>H15-H14</f>
        <v>41904</v>
      </c>
      <c r="I16">
        <f>I15-I14</f>
        <v>44844</v>
      </c>
      <c r="J16">
        <f>J15-J14</f>
        <v>48032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C17" s="19">
        <v>-65</v>
      </c>
      <c r="D17" s="19">
        <v>-70</v>
      </c>
      <c r="E17" s="19">
        <v>-75</v>
      </c>
      <c r="F17" s="19">
        <v>-81</v>
      </c>
      <c r="G17" s="19">
        <v>-86</v>
      </c>
      <c r="H17" s="19">
        <v>-89</v>
      </c>
      <c r="I17" s="19">
        <v>-93</v>
      </c>
      <c r="J17" s="19">
        <v>-97</v>
      </c>
    </row>
    <row r="18" spans="1:13" x14ac:dyDescent="0.25">
      <c r="A18" s="7" t="s">
        <v>549</v>
      </c>
      <c r="B18" s="20">
        <v>5.1999999999999998E-2</v>
      </c>
      <c r="C18" s="19">
        <v>-3</v>
      </c>
      <c r="D18" s="19">
        <v>-4</v>
      </c>
      <c r="E18" s="19">
        <v>-4</v>
      </c>
      <c r="F18" s="19">
        <v>-4</v>
      </c>
      <c r="G18" s="19">
        <v>-4</v>
      </c>
      <c r="H18" s="19">
        <v>-5</v>
      </c>
      <c r="I18" s="19">
        <v>-5</v>
      </c>
      <c r="J18" s="19">
        <v>-5</v>
      </c>
    </row>
    <row r="19" spans="1:13" x14ac:dyDescent="0.25">
      <c r="A19" s="7" t="s">
        <v>550</v>
      </c>
      <c r="D19" s="20">
        <v>-1.4999999999999999E-2</v>
      </c>
      <c r="E19" s="20">
        <v>-1.4999999999999999E-2</v>
      </c>
      <c r="F19" s="20">
        <v>-1.6E-2</v>
      </c>
      <c r="G19" s="20">
        <v>-1.6E-2</v>
      </c>
      <c r="H19" s="20">
        <v>-1.6E-2</v>
      </c>
      <c r="I19" s="20">
        <v>-1.6E-2</v>
      </c>
      <c r="J19" s="20">
        <v>-1.6E-2</v>
      </c>
    </row>
    <row r="20" spans="1:13" x14ac:dyDescent="0.25">
      <c r="A20" s="6" t="s">
        <v>551</v>
      </c>
      <c r="C20" s="28">
        <v>-1.6E-2</v>
      </c>
    </row>
    <row r="21" spans="1:13" x14ac:dyDescent="0.25">
      <c r="A21" s="6"/>
      <c r="C21" s="28">
        <f>SUM(C18,C19)</f>
        <v>-3</v>
      </c>
      <c r="D21" s="60">
        <f>SUM(D18,D19)</f>
        <v>-4.0149999999999997</v>
      </c>
      <c r="E21" s="60">
        <f>SUM(E18,E19)</f>
        <v>-4.0149999999999997</v>
      </c>
      <c r="F21" s="60">
        <f>SUM(F18,F19)</f>
        <v>-4.016</v>
      </c>
      <c r="G21" s="60">
        <f>SUM(G18,G19)</f>
        <v>-4.016</v>
      </c>
      <c r="H21" s="60">
        <f>SUM(H18,H19)</f>
        <v>-5.016</v>
      </c>
      <c r="I21" s="60">
        <f>SUM(I18,I19)</f>
        <v>-5.016</v>
      </c>
      <c r="J21" s="60">
        <f>SUM(J18,J19)</f>
        <v>-5.016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6"/>
      <c r="C22" s="28">
        <f>C21-C20</f>
        <v>-2.984</v>
      </c>
      <c r="D22" s="60">
        <f>D21-D20</f>
        <v>-4.0149999999999997</v>
      </c>
      <c r="E22" s="60">
        <f>E21-E20</f>
        <v>-4.0149999999999997</v>
      </c>
      <c r="F22" s="60">
        <f>F21-F20</f>
        <v>-4.016</v>
      </c>
      <c r="G22" s="60">
        <f>G21-G20</f>
        <v>-4.016</v>
      </c>
      <c r="H22" s="60">
        <f>H21-H20</f>
        <v>-5.016</v>
      </c>
      <c r="I22" s="60">
        <f>I21-I20</f>
        <v>-5.016</v>
      </c>
      <c r="J22" s="60">
        <f>J21-J20</f>
        <v>-5.016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6" t="s">
        <v>552</v>
      </c>
      <c r="C23" s="10">
        <v>24</v>
      </c>
      <c r="D23" s="10">
        <v>24</v>
      </c>
      <c r="E23" s="10">
        <v>24</v>
      </c>
      <c r="F23" s="10">
        <v>24</v>
      </c>
      <c r="G23" s="10">
        <v>24</v>
      </c>
      <c r="H23" s="10">
        <v>24</v>
      </c>
      <c r="I23" s="10">
        <v>24</v>
      </c>
      <c r="J23" s="10">
        <v>24</v>
      </c>
    </row>
    <row r="24" spans="1:13" x14ac:dyDescent="0.25">
      <c r="A24" s="6"/>
      <c r="C24" s="10">
        <f>C10*B23</f>
        <v>0</v>
      </c>
      <c r="D24" s="10">
        <f>D10*B23</f>
        <v>0</v>
      </c>
      <c r="E24" s="10">
        <f>E10*B23</f>
        <v>0</v>
      </c>
      <c r="F24" s="10">
        <f>F10*B23</f>
        <v>0</v>
      </c>
      <c r="G24" s="10">
        <f>G10*B23</f>
        <v>0</v>
      </c>
      <c r="H24" s="10">
        <f>H10*B23</f>
        <v>0</v>
      </c>
      <c r="I24" s="10">
        <f>I10*B23</f>
        <v>0</v>
      </c>
      <c r="J24" s="10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6"/>
      <c r="C25" s="10">
        <f>C24-C23</f>
        <v>-24</v>
      </c>
      <c r="D25" s="10">
        <f>D24-D23</f>
        <v>-24</v>
      </c>
      <c r="E25" s="10">
        <f>E24-E23</f>
        <v>-24</v>
      </c>
      <c r="F25" s="10">
        <f>F24-F23</f>
        <v>-24</v>
      </c>
      <c r="G25" s="10">
        <f>G24-G23</f>
        <v>-24</v>
      </c>
      <c r="H25" s="10">
        <f>H24-H23</f>
        <v>-24</v>
      </c>
      <c r="I25" s="10">
        <f>I24-I23</f>
        <v>-24</v>
      </c>
      <c r="J25" s="10">
        <f>J24-J23</f>
        <v>-24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7" t="s">
        <v>549</v>
      </c>
      <c r="B26" s="20">
        <v>6.0999999999999999E-2</v>
      </c>
      <c r="C26" s="10">
        <v>1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</row>
    <row r="27" spans="1:13" x14ac:dyDescent="0.25">
      <c r="A27" s="7"/>
      <c r="B27" s="20"/>
      <c r="C27" s="10">
        <f>SUM(C20,C23)</f>
        <v>23.984000000000002</v>
      </c>
      <c r="D27" s="10">
        <f>SUM(D20,D23)</f>
        <v>24</v>
      </c>
      <c r="E27" s="10">
        <f>SUM(E20,E23)</f>
        <v>24</v>
      </c>
      <c r="F27" s="10">
        <f>SUM(F20,F23)</f>
        <v>24</v>
      </c>
      <c r="G27" s="10">
        <f>SUM(G20,G23)</f>
        <v>24</v>
      </c>
      <c r="H27" s="10">
        <f>SUM(H20,H23)</f>
        <v>24</v>
      </c>
      <c r="I27" s="10">
        <f>SUM(I20,I23)</f>
        <v>24</v>
      </c>
      <c r="J27" s="10">
        <f>SUM(J20,J23)</f>
        <v>24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7"/>
      <c r="B28" s="20"/>
      <c r="C28" s="10">
        <f>C27-C26</f>
        <v>22.984000000000002</v>
      </c>
      <c r="D28" s="10">
        <f>D27-D26</f>
        <v>23</v>
      </c>
      <c r="E28" s="10">
        <f>E27-E26</f>
        <v>23</v>
      </c>
      <c r="F28" s="10">
        <f>F27-F26</f>
        <v>23</v>
      </c>
      <c r="G28" s="10">
        <f>G27-G26</f>
        <v>23</v>
      </c>
      <c r="H28" s="10">
        <f>H27-H26</f>
        <v>23</v>
      </c>
      <c r="I28" s="10">
        <f>I27-I26</f>
        <v>23</v>
      </c>
      <c r="J28" s="10">
        <f>J27-J26</f>
        <v>23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550</v>
      </c>
      <c r="D29" s="20">
        <v>1E-3</v>
      </c>
      <c r="E29" s="20">
        <v>1E-3</v>
      </c>
      <c r="F29" s="20">
        <v>1E-3</v>
      </c>
      <c r="G29" s="20">
        <v>1E-3</v>
      </c>
      <c r="H29" s="20">
        <v>1E-3</v>
      </c>
      <c r="I29" s="20">
        <v>1E-3</v>
      </c>
      <c r="J29" s="20">
        <v>1E-3</v>
      </c>
    </row>
    <row r="30" spans="1:13" x14ac:dyDescent="0.25">
      <c r="A30" s="7"/>
      <c r="C30">
        <f>C26*B29</f>
        <v>0</v>
      </c>
      <c r="D30" s="20">
        <f>D26*B29</f>
        <v>0</v>
      </c>
      <c r="E30" s="20">
        <f>E26*B29</f>
        <v>0</v>
      </c>
      <c r="F30" s="20">
        <f>F26*B29</f>
        <v>0</v>
      </c>
      <c r="G30" s="20">
        <f>G26*B29</f>
        <v>0</v>
      </c>
      <c r="H30" s="20">
        <f>H26*B29</f>
        <v>0</v>
      </c>
      <c r="I30" s="20">
        <f>I26*B29</f>
        <v>0</v>
      </c>
      <c r="J30" s="2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>
        <f>C30-C29</f>
        <v>0</v>
      </c>
      <c r="D31" s="20">
        <f>D30-D29</f>
        <v>-1E-3</v>
      </c>
      <c r="E31" s="20">
        <f>E30-E29</f>
        <v>-1E-3</v>
      </c>
      <c r="F31" s="20">
        <f>F30-F29</f>
        <v>-1E-3</v>
      </c>
      <c r="G31" s="20">
        <f>G30-G29</f>
        <v>-1E-3</v>
      </c>
      <c r="H31" s="20">
        <f>H30-H29</f>
        <v>-1E-3</v>
      </c>
      <c r="I31" s="20">
        <f>I30-I29</f>
        <v>-1E-3</v>
      </c>
      <c r="J31" s="20">
        <f>J30-J29</f>
        <v>-1E-3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6" t="s">
        <v>551</v>
      </c>
      <c r="C32" s="28">
        <v>1E-3</v>
      </c>
    </row>
    <row r="33" spans="1:13" x14ac:dyDescent="0.25">
      <c r="A33" s="6"/>
      <c r="C33" s="28">
        <f>SUM(C26,C29)</f>
        <v>1</v>
      </c>
      <c r="D33" s="58">
        <f>SUM(D26,D29)</f>
        <v>1.0009999999999999</v>
      </c>
      <c r="E33" s="58">
        <f>SUM(E26,E29)</f>
        <v>1.0009999999999999</v>
      </c>
      <c r="F33" s="58">
        <f>SUM(F26,F29)</f>
        <v>1.0009999999999999</v>
      </c>
      <c r="G33" s="58">
        <f>SUM(G26,G29)</f>
        <v>1.0009999999999999</v>
      </c>
      <c r="H33" s="58">
        <f>SUM(H26,H29)</f>
        <v>1.0009999999999999</v>
      </c>
      <c r="I33" s="58">
        <f>SUM(I26,I29)</f>
        <v>1.0009999999999999</v>
      </c>
      <c r="J33" s="58">
        <f>SUM(J26,J29)</f>
        <v>1.0009999999999999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6"/>
      <c r="C34" s="28">
        <f>C33-C32</f>
        <v>0.999</v>
      </c>
      <c r="D34" s="58">
        <f>D33-D32</f>
        <v>1.0009999999999999</v>
      </c>
      <c r="E34" s="58">
        <f>E33-E32</f>
        <v>1.0009999999999999</v>
      </c>
      <c r="F34" s="58">
        <f>F33-F32</f>
        <v>1.0009999999999999</v>
      </c>
      <c r="G34" s="58">
        <f>G33-G32</f>
        <v>1.0009999999999999</v>
      </c>
      <c r="H34" s="58">
        <f>H33-H32</f>
        <v>1.0009999999999999</v>
      </c>
      <c r="I34" s="58">
        <f>I33-I32</f>
        <v>1.0009999999999999</v>
      </c>
      <c r="J34" s="58">
        <f>J33-J32</f>
        <v>1.0009999999999999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6" t="s">
        <v>553</v>
      </c>
      <c r="C35" s="23">
        <v>36.6</v>
      </c>
      <c r="D35" s="23">
        <v>36.6</v>
      </c>
      <c r="E35" s="23">
        <v>36.6</v>
      </c>
      <c r="F35" s="23">
        <v>36.6</v>
      </c>
      <c r="G35" s="23">
        <v>36.6</v>
      </c>
      <c r="H35" s="23">
        <v>36.6</v>
      </c>
      <c r="I35" s="23">
        <v>36.6</v>
      </c>
      <c r="J35" s="23">
        <v>36.6</v>
      </c>
    </row>
    <row r="36" spans="1:13" x14ac:dyDescent="0.25">
      <c r="A36" s="7" t="s">
        <v>549</v>
      </c>
      <c r="B36" s="20">
        <v>0.11</v>
      </c>
      <c r="C36" s="10">
        <v>1</v>
      </c>
      <c r="D36" s="10">
        <v>4</v>
      </c>
      <c r="E36" s="10">
        <v>4</v>
      </c>
      <c r="F36" s="10">
        <v>4</v>
      </c>
      <c r="G36" s="10">
        <v>4</v>
      </c>
      <c r="H36" s="10">
        <v>4</v>
      </c>
      <c r="I36" s="10">
        <v>4</v>
      </c>
      <c r="J36" s="10">
        <v>4</v>
      </c>
    </row>
    <row r="37" spans="1:13" x14ac:dyDescent="0.25">
      <c r="A37" s="7"/>
      <c r="B37" s="20"/>
      <c r="C37" s="10">
        <f>SUM(C32,C35)</f>
        <v>36.600999999999999</v>
      </c>
      <c r="D37" s="10">
        <f>SUM(D32,D35)</f>
        <v>36.6</v>
      </c>
      <c r="E37" s="10">
        <f>SUM(E32,E35)</f>
        <v>36.6</v>
      </c>
      <c r="F37" s="10">
        <f>SUM(F32,F35)</f>
        <v>36.6</v>
      </c>
      <c r="G37" s="10">
        <f>SUM(G32,G35)</f>
        <v>36.6</v>
      </c>
      <c r="H37" s="10">
        <f>SUM(H32,H35)</f>
        <v>36.6</v>
      </c>
      <c r="I37" s="10">
        <f>SUM(I32,I35)</f>
        <v>36.6</v>
      </c>
      <c r="J37" s="10">
        <f>SUM(J32,J35)</f>
        <v>36.6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7"/>
      <c r="B38" s="20"/>
      <c r="C38" s="10">
        <f>C37-C36</f>
        <v>35.600999999999999</v>
      </c>
      <c r="D38" s="10">
        <f>D37-D36</f>
        <v>32.6</v>
      </c>
      <c r="E38" s="10">
        <f>E37-E36</f>
        <v>32.6</v>
      </c>
      <c r="F38" s="10">
        <f>F37-F36</f>
        <v>32.6</v>
      </c>
      <c r="G38" s="10">
        <f>G37-G36</f>
        <v>32.6</v>
      </c>
      <c r="H38" s="10">
        <f>H37-H36</f>
        <v>32.6</v>
      </c>
      <c r="I38" s="10">
        <f>I37-I36</f>
        <v>32.6</v>
      </c>
      <c r="J38" s="10">
        <f>J37-J36</f>
        <v>32.6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550</v>
      </c>
      <c r="D39" s="20">
        <v>4.0000000000000001E-3</v>
      </c>
      <c r="E39" s="20">
        <v>4.0000000000000001E-3</v>
      </c>
      <c r="F39" s="20">
        <v>4.0000000000000001E-3</v>
      </c>
      <c r="G39" s="20">
        <v>4.0000000000000001E-3</v>
      </c>
      <c r="H39" s="20">
        <v>3.0000000000000001E-3</v>
      </c>
      <c r="I39" s="20">
        <v>3.0000000000000001E-3</v>
      </c>
      <c r="J39" s="20">
        <v>3.0000000000000001E-3</v>
      </c>
    </row>
    <row r="40" spans="1:13" x14ac:dyDescent="0.25">
      <c r="A40" s="6" t="s">
        <v>551</v>
      </c>
      <c r="C40" s="28">
        <v>4.0000000000000001E-3</v>
      </c>
    </row>
    <row r="41" spans="1:13" x14ac:dyDescent="0.25">
      <c r="A41" s="6"/>
      <c r="C41" s="28">
        <f>C36*C39</f>
        <v>0</v>
      </c>
      <c r="D41">
        <f>D36*D39</f>
        <v>1.6E-2</v>
      </c>
      <c r="E41">
        <f>E36*E39</f>
        <v>1.6E-2</v>
      </c>
      <c r="F41">
        <f>F36*F39</f>
        <v>1.6E-2</v>
      </c>
      <c r="G41">
        <f>G36*G39</f>
        <v>1.6E-2</v>
      </c>
      <c r="H41">
        <f>H36*H39</f>
        <v>1.2E-2</v>
      </c>
      <c r="I41">
        <f>I36*I39</f>
        <v>1.2E-2</v>
      </c>
      <c r="J41">
        <f>J36*J39</f>
        <v>1.2E-2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6"/>
      <c r="C42" s="28">
        <f>C41-C40</f>
        <v>-4.0000000000000001E-3</v>
      </c>
      <c r="D42">
        <f>D41-D40</f>
        <v>1.6E-2</v>
      </c>
      <c r="E42">
        <f>E41-E40</f>
        <v>1.6E-2</v>
      </c>
      <c r="F42">
        <f>F41-F40</f>
        <v>1.6E-2</v>
      </c>
      <c r="G42">
        <f>G41-G40</f>
        <v>1.6E-2</v>
      </c>
      <c r="H42">
        <f>H41-H40</f>
        <v>1.2E-2</v>
      </c>
      <c r="I42">
        <f>I41-I40</f>
        <v>1.2E-2</v>
      </c>
      <c r="J42">
        <f>J41-J40</f>
        <v>1.2E-2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6" t="s">
        <v>573</v>
      </c>
      <c r="C43" s="10">
        <v>20</v>
      </c>
    </row>
    <row r="44" spans="1:13" x14ac:dyDescent="0.25">
      <c r="A44" s="7" t="s">
        <v>549</v>
      </c>
      <c r="B44" s="28">
        <v>0.11</v>
      </c>
      <c r="C44" s="10">
        <v>1</v>
      </c>
      <c r="D44" s="10">
        <v>2</v>
      </c>
      <c r="E44" s="10">
        <v>2</v>
      </c>
      <c r="F44" s="10">
        <v>2</v>
      </c>
      <c r="G44" s="10">
        <v>2</v>
      </c>
      <c r="H44" s="10">
        <v>2</v>
      </c>
      <c r="I44" s="10">
        <v>2</v>
      </c>
      <c r="J44" s="10">
        <v>2</v>
      </c>
    </row>
    <row r="45" spans="1:13" x14ac:dyDescent="0.25">
      <c r="A45" s="7" t="s">
        <v>550</v>
      </c>
      <c r="C45" s="20">
        <v>4.0000000000000001E-3</v>
      </c>
      <c r="D45" s="20">
        <v>1.7000000000000001E-2</v>
      </c>
      <c r="E45" s="20">
        <v>1.6E-2</v>
      </c>
      <c r="F45" s="20">
        <v>1.6E-2</v>
      </c>
      <c r="G45" s="20">
        <v>1.6E-2</v>
      </c>
      <c r="H45" s="20">
        <v>1.4999999999999999E-2</v>
      </c>
      <c r="I45" s="20">
        <v>1.4999999999999999E-2</v>
      </c>
      <c r="J45" s="20">
        <v>1.4E-2</v>
      </c>
    </row>
    <row r="46" spans="1:13" x14ac:dyDescent="0.25">
      <c r="A46" s="6" t="s">
        <v>555</v>
      </c>
      <c r="C46" s="28">
        <v>1.6E-2</v>
      </c>
    </row>
    <row r="47" spans="1:13" x14ac:dyDescent="0.25">
      <c r="A47" s="6" t="s">
        <v>574</v>
      </c>
      <c r="C47" s="13">
        <v>100</v>
      </c>
    </row>
    <row r="48" spans="1:13" x14ac:dyDescent="0.25">
      <c r="A48" s="7" t="s">
        <v>549</v>
      </c>
      <c r="B48" s="15">
        <v>0.11</v>
      </c>
      <c r="C48" s="10">
        <v>11</v>
      </c>
      <c r="D48" s="10">
        <v>11</v>
      </c>
      <c r="E48" s="10">
        <v>11</v>
      </c>
      <c r="F48" s="10">
        <v>11</v>
      </c>
      <c r="G48" s="10">
        <v>11</v>
      </c>
      <c r="H48" s="10">
        <v>11</v>
      </c>
      <c r="I48" s="10">
        <v>11</v>
      </c>
      <c r="J48" s="10">
        <v>11</v>
      </c>
    </row>
    <row r="49" spans="1:11" x14ac:dyDescent="0.25">
      <c r="A49" s="7" t="s">
        <v>550</v>
      </c>
      <c r="D49" s="15">
        <v>0.01</v>
      </c>
      <c r="E49" s="15">
        <v>0.01</v>
      </c>
      <c r="F49" s="15">
        <v>0.01</v>
      </c>
      <c r="G49" s="15">
        <v>0.01</v>
      </c>
      <c r="H49" s="15">
        <v>0.01</v>
      </c>
      <c r="I49" s="15">
        <v>0.01</v>
      </c>
      <c r="J49" s="15">
        <v>0.01</v>
      </c>
    </row>
    <row r="50" spans="1:11" x14ac:dyDescent="0.25">
      <c r="A50" s="6" t="s">
        <v>555</v>
      </c>
      <c r="C50" s="28">
        <v>1.2999999999999999E-2</v>
      </c>
    </row>
    <row r="51" spans="1:11" x14ac:dyDescent="0.25">
      <c r="A51" s="6" t="s">
        <v>575</v>
      </c>
      <c r="C51" s="28">
        <v>1.7999999999999999E-2</v>
      </c>
    </row>
    <row r="52" spans="1:11" x14ac:dyDescent="0.25">
      <c r="A52" s="16" t="s">
        <v>61</v>
      </c>
    </row>
    <row r="53" spans="1:11" x14ac:dyDescent="0.25">
      <c r="A53" s="16"/>
    </row>
    <row r="54" spans="1:11" x14ac:dyDescent="0.25">
      <c r="A54" s="16"/>
    </row>
    <row r="55" spans="1:11" x14ac:dyDescent="0.25">
      <c r="A55" s="4" t="s">
        <v>62</v>
      </c>
      <c r="K55" s="36" t="s">
        <v>63</v>
      </c>
    </row>
    <row r="56" spans="1:11" x14ac:dyDescent="0.25">
      <c r="A56" s="4"/>
      <c r="K56" s="36"/>
    </row>
    <row r="57" spans="1:11" x14ac:dyDescent="0.25">
      <c r="A57" s="4"/>
      <c r="K57" s="36"/>
    </row>
    <row r="58" spans="1:11" x14ac:dyDescent="0.25">
      <c r="F58" s="5" t="s">
        <v>6</v>
      </c>
    </row>
    <row r="59" spans="1:11" x14ac:dyDescent="0.25">
      <c r="F59" s="5"/>
    </row>
    <row r="60" spans="1:11" x14ac:dyDescent="0.25">
      <c r="F60" s="5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2:M44"/>
  <sheetViews>
    <sheetView workbookViewId="0"/>
  </sheetViews>
  <sheetFormatPr defaultRowHeight="15" x14ac:dyDescent="0.25"/>
  <cols>
    <col min="1" max="1" width="75" bestFit="1" customWidth="1"/>
  </cols>
  <sheetData>
    <row r="2" spans="1:13" x14ac:dyDescent="0.25">
      <c r="A2" s="6" t="s">
        <v>1</v>
      </c>
    </row>
    <row r="3" spans="1:13" x14ac:dyDescent="0.25">
      <c r="K3" s="7" t="s">
        <v>576</v>
      </c>
    </row>
    <row r="4" spans="1:13" x14ac:dyDescent="0.25">
      <c r="A4" s="6" t="s">
        <v>9</v>
      </c>
    </row>
    <row r="5" spans="1:13" x14ac:dyDescent="0.25">
      <c r="A5" s="6" t="s">
        <v>577</v>
      </c>
    </row>
    <row r="6" spans="1:13" x14ac:dyDescent="0.25">
      <c r="A6" s="6" t="s">
        <v>11</v>
      </c>
    </row>
    <row r="7" spans="1:13" x14ac:dyDescent="0.25">
      <c r="F7" s="9" t="s">
        <v>96</v>
      </c>
    </row>
    <row r="8" spans="1:13" x14ac:dyDescent="0.25">
      <c r="A8" s="8" t="s">
        <v>12</v>
      </c>
      <c r="C8" s="9" t="s">
        <v>97</v>
      </c>
      <c r="D8" s="9" t="s">
        <v>98</v>
      </c>
      <c r="E8" s="9" t="s">
        <v>99</v>
      </c>
      <c r="F8" s="9" t="s">
        <v>100</v>
      </c>
      <c r="G8" s="9" t="s">
        <v>101</v>
      </c>
      <c r="H8" s="9" t="s">
        <v>102</v>
      </c>
      <c r="I8" s="9" t="s">
        <v>103</v>
      </c>
      <c r="J8" s="9" t="s">
        <v>104</v>
      </c>
    </row>
    <row r="9" spans="1:13" x14ac:dyDescent="0.25">
      <c r="A9" s="6" t="s">
        <v>578</v>
      </c>
      <c r="C9" s="10">
        <v>972</v>
      </c>
      <c r="D9" s="14">
        <v>1000</v>
      </c>
      <c r="E9" s="14">
        <v>1037</v>
      </c>
      <c r="F9" s="14">
        <v>1079</v>
      </c>
      <c r="G9" s="14">
        <v>1119</v>
      </c>
      <c r="H9" s="14">
        <v>1166</v>
      </c>
      <c r="I9" s="14">
        <v>1217</v>
      </c>
      <c r="J9" s="14">
        <v>1271</v>
      </c>
    </row>
    <row r="10" spans="1:13" x14ac:dyDescent="0.25">
      <c r="A10" s="6" t="s">
        <v>579</v>
      </c>
    </row>
    <row r="11" spans="1:13" x14ac:dyDescent="0.25">
      <c r="A11" s="6"/>
      <c r="C11" s="56">
        <f>SUM(C8:C9)</f>
        <v>972</v>
      </c>
      <c r="D11" s="56">
        <f>SUM(D8:D9)</f>
        <v>1000</v>
      </c>
      <c r="E11" s="56">
        <f>SUM(E8:E9)</f>
        <v>1037</v>
      </c>
      <c r="F11" s="56">
        <f>SUM(F8:F9)</f>
        <v>1079</v>
      </c>
      <c r="G11" s="56">
        <f>SUM(G8:G9)</f>
        <v>1119</v>
      </c>
      <c r="H11" s="56">
        <f>SUM(H8:H9)</f>
        <v>1166</v>
      </c>
      <c r="I11" s="56">
        <f>SUM(I8:I9)</f>
        <v>1217</v>
      </c>
      <c r="J11" s="56">
        <f>SUM(J8:J9)</f>
        <v>1271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6"/>
      <c r="C12" s="56">
        <f>C11-C10</f>
        <v>972</v>
      </c>
      <c r="D12" s="56">
        <f>D11-D10</f>
        <v>1000</v>
      </c>
      <c r="E12" s="56">
        <f>E11-E10</f>
        <v>1037</v>
      </c>
      <c r="F12" s="56">
        <f>F11-F10</f>
        <v>1079</v>
      </c>
      <c r="G12" s="56">
        <f>G11-G10</f>
        <v>1119</v>
      </c>
      <c r="H12" s="56">
        <f>H11-H10</f>
        <v>1166</v>
      </c>
      <c r="I12" s="56">
        <f>I11-I10</f>
        <v>1217</v>
      </c>
      <c r="J12" s="56">
        <f>J11-J10</f>
        <v>1271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6" t="s">
        <v>548</v>
      </c>
      <c r="C13" s="19">
        <v>-158</v>
      </c>
      <c r="D13" s="19">
        <v>-172</v>
      </c>
      <c r="E13" s="19">
        <v>-188</v>
      </c>
      <c r="F13" s="19">
        <v>-201</v>
      </c>
      <c r="G13" s="19">
        <v>-215</v>
      </c>
      <c r="H13" s="19">
        <v>-224</v>
      </c>
      <c r="I13" s="19">
        <v>-233</v>
      </c>
      <c r="J13" s="19">
        <v>-244</v>
      </c>
    </row>
    <row r="14" spans="1:13" x14ac:dyDescent="0.25">
      <c r="A14" s="7" t="s">
        <v>549</v>
      </c>
      <c r="B14" s="20">
        <v>5.1999999999999998E-2</v>
      </c>
      <c r="C14" s="19">
        <v>-8</v>
      </c>
      <c r="D14" s="19">
        <v>-9</v>
      </c>
      <c r="E14" s="19">
        <v>-10</v>
      </c>
      <c r="F14" s="19">
        <v>-10</v>
      </c>
      <c r="G14" s="19">
        <v>-11</v>
      </c>
      <c r="H14" s="19">
        <v>-12</v>
      </c>
      <c r="I14" s="19">
        <v>-12</v>
      </c>
      <c r="J14" s="19">
        <v>-13</v>
      </c>
    </row>
    <row r="15" spans="1:13" x14ac:dyDescent="0.25">
      <c r="A15" s="7"/>
      <c r="B15" s="20"/>
      <c r="C15" s="19">
        <f>C10*C13</f>
        <v>0</v>
      </c>
      <c r="D15" s="19">
        <f>D10*D13</f>
        <v>0</v>
      </c>
      <c r="E15" s="19">
        <f>E10*E13</f>
        <v>0</v>
      </c>
      <c r="F15" s="19">
        <f>F10*F13</f>
        <v>0</v>
      </c>
      <c r="G15" s="19">
        <f>G10*G13</f>
        <v>0</v>
      </c>
      <c r="H15" s="19">
        <f>H10*H13</f>
        <v>0</v>
      </c>
      <c r="I15" s="19">
        <f>I10*I13</f>
        <v>0</v>
      </c>
      <c r="J15" s="19">
        <f>J10*J13</f>
        <v>0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B16" s="20"/>
      <c r="C16" s="19">
        <f>C15-C14</f>
        <v>8</v>
      </c>
      <c r="D16" s="19">
        <f>D15-D14</f>
        <v>9</v>
      </c>
      <c r="E16" s="19">
        <f>E15-E14</f>
        <v>10</v>
      </c>
      <c r="F16" s="19">
        <f>F15-F14</f>
        <v>10</v>
      </c>
      <c r="G16" s="19">
        <f>G15-G14</f>
        <v>11</v>
      </c>
      <c r="H16" s="19">
        <f>H15-H14</f>
        <v>12</v>
      </c>
      <c r="I16" s="19">
        <f>I15-I14</f>
        <v>12</v>
      </c>
      <c r="J16" s="19">
        <f>J15-J14</f>
        <v>13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550</v>
      </c>
      <c r="C17" s="20">
        <v>-8.0000000000000002E-3</v>
      </c>
      <c r="D17" s="20">
        <v>-8.9999999999999993E-3</v>
      </c>
      <c r="E17" s="20">
        <v>-8.9999999999999993E-3</v>
      </c>
      <c r="F17" s="21">
        <v>-0.01</v>
      </c>
      <c r="G17" s="21">
        <v>-0.01</v>
      </c>
      <c r="H17" s="21">
        <v>-0.01</v>
      </c>
      <c r="I17" s="21">
        <v>-0.01</v>
      </c>
      <c r="J17" s="21">
        <v>-0.01</v>
      </c>
    </row>
    <row r="18" spans="1:13" x14ac:dyDescent="0.25">
      <c r="A18" s="6" t="s">
        <v>551</v>
      </c>
      <c r="C18" s="38">
        <v>-0.01</v>
      </c>
    </row>
    <row r="19" spans="1:13" x14ac:dyDescent="0.25">
      <c r="A19" s="6" t="s">
        <v>552</v>
      </c>
      <c r="C19" s="10">
        <v>24</v>
      </c>
      <c r="D19" s="10">
        <v>24</v>
      </c>
      <c r="E19" s="10">
        <v>24</v>
      </c>
      <c r="F19" s="10">
        <v>24</v>
      </c>
      <c r="G19" s="10">
        <v>24</v>
      </c>
      <c r="H19" s="10">
        <v>24</v>
      </c>
      <c r="I19" s="10">
        <v>24</v>
      </c>
      <c r="J19" s="10">
        <v>24</v>
      </c>
    </row>
    <row r="20" spans="1:13" x14ac:dyDescent="0.25">
      <c r="A20" s="7" t="s">
        <v>549</v>
      </c>
      <c r="B20" s="20">
        <v>6.0999999999999999E-2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</row>
    <row r="21" spans="1:13" x14ac:dyDescent="0.25">
      <c r="A21" s="7"/>
      <c r="B21" s="20"/>
      <c r="C21" s="10">
        <f>SUM(C18,C19)</f>
        <v>23.99</v>
      </c>
      <c r="D21" s="10">
        <f>SUM(D18,D19)</f>
        <v>24</v>
      </c>
      <c r="E21" s="10">
        <f>SUM(E18,E19)</f>
        <v>24</v>
      </c>
      <c r="F21" s="10">
        <f>SUM(F18,F19)</f>
        <v>24</v>
      </c>
      <c r="G21" s="10">
        <f>SUM(G18,G19)</f>
        <v>24</v>
      </c>
      <c r="H21" s="10">
        <f>SUM(H18,H19)</f>
        <v>24</v>
      </c>
      <c r="I21" s="10">
        <f>SUM(I18,I19)</f>
        <v>24</v>
      </c>
      <c r="J21" s="10">
        <f>SUM(J18,J19)</f>
        <v>24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7"/>
      <c r="B22" s="20"/>
      <c r="C22" s="10">
        <f>C21-C20</f>
        <v>22.99</v>
      </c>
      <c r="D22" s="10">
        <f>D21-D20</f>
        <v>23</v>
      </c>
      <c r="E22" s="10">
        <f>E21-E20</f>
        <v>23</v>
      </c>
      <c r="F22" s="10">
        <f>F21-F20</f>
        <v>23</v>
      </c>
      <c r="G22" s="10">
        <f>G21-G20</f>
        <v>23</v>
      </c>
      <c r="H22" s="10">
        <f>H21-H20</f>
        <v>23</v>
      </c>
      <c r="I22" s="10">
        <f>I21-I20</f>
        <v>23</v>
      </c>
      <c r="J22" s="10">
        <f>J21-J20</f>
        <v>23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550</v>
      </c>
      <c r="C23" s="20">
        <v>2E-3</v>
      </c>
      <c r="D23" s="20">
        <v>1E-3</v>
      </c>
      <c r="E23" s="20">
        <v>1E-3</v>
      </c>
      <c r="F23" s="20">
        <v>1E-3</v>
      </c>
      <c r="G23" s="20">
        <v>1E-3</v>
      </c>
      <c r="H23" s="20">
        <v>1E-3</v>
      </c>
      <c r="I23" s="20">
        <v>1E-3</v>
      </c>
      <c r="J23" s="20">
        <v>1E-3</v>
      </c>
    </row>
    <row r="24" spans="1:13" x14ac:dyDescent="0.25">
      <c r="A24" s="7"/>
      <c r="C24" s="20">
        <f>C10*B23</f>
        <v>0</v>
      </c>
      <c r="D24" s="20">
        <f>D10*B23</f>
        <v>0</v>
      </c>
      <c r="E24" s="20">
        <f>E10*B23</f>
        <v>0</v>
      </c>
      <c r="F24" s="20">
        <f>F10*B23</f>
        <v>0</v>
      </c>
      <c r="G24" s="20">
        <f>G10*B23</f>
        <v>0</v>
      </c>
      <c r="H24" s="20">
        <f>H10*B23</f>
        <v>0</v>
      </c>
      <c r="I24" s="20">
        <f>I10*B23</f>
        <v>0</v>
      </c>
      <c r="J24" s="20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 s="20">
        <f>C24-C23</f>
        <v>-2E-3</v>
      </c>
      <c r="D25" s="20">
        <f>D24-D23</f>
        <v>-1E-3</v>
      </c>
      <c r="E25" s="20">
        <f>E24-E23</f>
        <v>-1E-3</v>
      </c>
      <c r="F25" s="20">
        <f>F24-F23</f>
        <v>-1E-3</v>
      </c>
      <c r="G25" s="20">
        <f>G24-G23</f>
        <v>-1E-3</v>
      </c>
      <c r="H25" s="20">
        <f>H24-H23</f>
        <v>-1E-3</v>
      </c>
      <c r="I25" s="20">
        <f>I24-I23</f>
        <v>-1E-3</v>
      </c>
      <c r="J25" s="20">
        <f>J24-J23</f>
        <v>-1E-3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6" t="s">
        <v>551</v>
      </c>
      <c r="C26" s="28">
        <v>1E-3</v>
      </c>
    </row>
    <row r="27" spans="1:13" x14ac:dyDescent="0.25">
      <c r="A27" s="6"/>
      <c r="C27" s="28">
        <f>SUM(C20,C23)</f>
        <v>1.002</v>
      </c>
      <c r="D27" s="58">
        <f>SUM(D20,D23)</f>
        <v>1.0009999999999999</v>
      </c>
      <c r="E27" s="58">
        <f>SUM(E20,E23)</f>
        <v>1.0009999999999999</v>
      </c>
      <c r="F27" s="58">
        <f>SUM(F20,F23)</f>
        <v>1.0009999999999999</v>
      </c>
      <c r="G27" s="58">
        <f>SUM(G20,G23)</f>
        <v>1.0009999999999999</v>
      </c>
      <c r="H27" s="58">
        <f>SUM(H20,H23)</f>
        <v>1.0009999999999999</v>
      </c>
      <c r="I27" s="58">
        <f>SUM(I20,I23)</f>
        <v>1.0009999999999999</v>
      </c>
      <c r="J27" s="58">
        <f>SUM(J20,J23)</f>
        <v>1.0009999999999999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6"/>
      <c r="C28" s="28">
        <f>C27-C26</f>
        <v>1.0010000000000001</v>
      </c>
      <c r="D28" s="58">
        <f>D27-D26</f>
        <v>1.0009999999999999</v>
      </c>
      <c r="E28" s="58">
        <f>E27-E26</f>
        <v>1.0009999999999999</v>
      </c>
      <c r="F28" s="58">
        <f>F27-F26</f>
        <v>1.0009999999999999</v>
      </c>
      <c r="G28" s="58">
        <f>G27-G26</f>
        <v>1.0009999999999999</v>
      </c>
      <c r="H28" s="58">
        <f>H27-H26</f>
        <v>1.0009999999999999</v>
      </c>
      <c r="I28" s="58">
        <f>I27-I26</f>
        <v>1.0009999999999999</v>
      </c>
      <c r="J28" s="58">
        <f>J27-J26</f>
        <v>1.0009999999999999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6" t="s">
        <v>553</v>
      </c>
      <c r="C29" s="10">
        <v>37</v>
      </c>
      <c r="D29" s="10">
        <v>37</v>
      </c>
      <c r="E29" s="10">
        <v>37</v>
      </c>
      <c r="F29" s="10">
        <v>37</v>
      </c>
      <c r="G29" s="10">
        <v>37</v>
      </c>
      <c r="H29" s="10">
        <v>37</v>
      </c>
      <c r="I29" s="10">
        <v>37</v>
      </c>
      <c r="J29" s="10">
        <v>37</v>
      </c>
    </row>
    <row r="30" spans="1:13" x14ac:dyDescent="0.25">
      <c r="A30" s="6"/>
      <c r="C30" s="10">
        <f>C26*B29</f>
        <v>0</v>
      </c>
      <c r="D30" s="10">
        <f>D26*B29</f>
        <v>0</v>
      </c>
      <c r="E30" s="10">
        <f>E26*B29</f>
        <v>0</v>
      </c>
      <c r="F30" s="10">
        <f>F26*B29</f>
        <v>0</v>
      </c>
      <c r="G30" s="10">
        <f>G26*B29</f>
        <v>0</v>
      </c>
      <c r="H30" s="10">
        <f>H26*B29</f>
        <v>0</v>
      </c>
      <c r="I30" s="10">
        <f>I26*B29</f>
        <v>0</v>
      </c>
      <c r="J30" s="1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6"/>
      <c r="C31" s="10">
        <f>C30-C29</f>
        <v>-37</v>
      </c>
      <c r="D31" s="10">
        <f>D30-D29</f>
        <v>-37</v>
      </c>
      <c r="E31" s="10">
        <f>E30-E29</f>
        <v>-37</v>
      </c>
      <c r="F31" s="10">
        <f>F30-F29</f>
        <v>-37</v>
      </c>
      <c r="G31" s="10">
        <f>G30-G29</f>
        <v>-37</v>
      </c>
      <c r="H31" s="10">
        <f>H30-H29</f>
        <v>-37</v>
      </c>
      <c r="I31" s="10">
        <f>I30-I29</f>
        <v>-37</v>
      </c>
      <c r="J31" s="10">
        <f>J30-J29</f>
        <v>-37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7" t="s">
        <v>549</v>
      </c>
      <c r="B32" s="20">
        <v>0.11</v>
      </c>
      <c r="C32" s="10">
        <v>4</v>
      </c>
      <c r="D32" s="10">
        <v>4</v>
      </c>
      <c r="E32" s="10">
        <v>4</v>
      </c>
      <c r="F32" s="10">
        <v>4</v>
      </c>
      <c r="G32" s="10">
        <v>4</v>
      </c>
      <c r="H32" s="10">
        <v>4</v>
      </c>
      <c r="I32" s="10">
        <v>4</v>
      </c>
      <c r="J32" s="10">
        <v>4</v>
      </c>
    </row>
    <row r="33" spans="1:13" x14ac:dyDescent="0.25">
      <c r="A33" s="7"/>
      <c r="B33" s="20"/>
      <c r="C33" s="10">
        <f>SUM(C26,C29)</f>
        <v>37.000999999999998</v>
      </c>
      <c r="D33" s="10">
        <f>SUM(D26,D29)</f>
        <v>37</v>
      </c>
      <c r="E33" s="10">
        <f>SUM(E26,E29)</f>
        <v>37</v>
      </c>
      <c r="F33" s="10">
        <f>SUM(F26,F29)</f>
        <v>37</v>
      </c>
      <c r="G33" s="10">
        <f>SUM(G26,G29)</f>
        <v>37</v>
      </c>
      <c r="H33" s="10">
        <f>SUM(H26,H29)</f>
        <v>37</v>
      </c>
      <c r="I33" s="10">
        <f>SUM(I26,I29)</f>
        <v>37</v>
      </c>
      <c r="J33" s="10">
        <f>SUM(J26,J29)</f>
        <v>37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7"/>
      <c r="B34" s="20"/>
      <c r="C34" s="10">
        <f>C33-C32</f>
        <v>33.000999999999998</v>
      </c>
      <c r="D34" s="10">
        <f>D33-D32</f>
        <v>33</v>
      </c>
      <c r="E34" s="10">
        <f>E33-E32</f>
        <v>33</v>
      </c>
      <c r="F34" s="10">
        <f>F33-F32</f>
        <v>33</v>
      </c>
      <c r="G34" s="10">
        <f>G33-G32</f>
        <v>33</v>
      </c>
      <c r="H34" s="10">
        <f>H33-H32</f>
        <v>33</v>
      </c>
      <c r="I34" s="10">
        <f>I33-I32</f>
        <v>33</v>
      </c>
      <c r="J34" s="10">
        <f>J33-J32</f>
        <v>33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550</v>
      </c>
      <c r="C35" s="20">
        <v>4.0000000000000001E-3</v>
      </c>
      <c r="D35" s="20">
        <v>4.0000000000000001E-3</v>
      </c>
      <c r="E35" s="20">
        <v>4.0000000000000001E-3</v>
      </c>
      <c r="F35" s="20">
        <v>4.0000000000000001E-3</v>
      </c>
      <c r="G35" s="20">
        <v>4.0000000000000001E-3</v>
      </c>
      <c r="H35" s="20">
        <v>3.0000000000000001E-3</v>
      </c>
      <c r="I35" s="20">
        <v>3.0000000000000001E-3</v>
      </c>
      <c r="J35" s="20">
        <v>3.0000000000000001E-3</v>
      </c>
    </row>
    <row r="36" spans="1:13" x14ac:dyDescent="0.25">
      <c r="A36" s="6" t="s">
        <v>551</v>
      </c>
      <c r="C36" s="28">
        <v>4.0000000000000001E-3</v>
      </c>
    </row>
    <row r="37" spans="1:13" x14ac:dyDescent="0.25">
      <c r="A37" s="6"/>
      <c r="C37" s="28">
        <f>SUM(C32,C35)</f>
        <v>4.0039999999999996</v>
      </c>
      <c r="D37" s="58">
        <f>SUM(D32,D35)</f>
        <v>4.0039999999999996</v>
      </c>
      <c r="E37" s="58">
        <f>SUM(E32,E35)</f>
        <v>4.0039999999999996</v>
      </c>
      <c r="F37" s="58">
        <f>SUM(F32,F35)</f>
        <v>4.0039999999999996</v>
      </c>
      <c r="G37" s="58">
        <f>SUM(G32,G35)</f>
        <v>4.0039999999999996</v>
      </c>
      <c r="H37" s="58">
        <f>SUM(H32,H35)</f>
        <v>4.0030000000000001</v>
      </c>
      <c r="I37" s="58">
        <f>SUM(I32,I35)</f>
        <v>4.0030000000000001</v>
      </c>
      <c r="J37" s="58">
        <f>SUM(J32,J35)</f>
        <v>4.0030000000000001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6"/>
      <c r="C38" s="28">
        <f>C37-C36</f>
        <v>3.9999999999999996</v>
      </c>
      <c r="D38" s="58">
        <f>D37-D36</f>
        <v>4.0039999999999996</v>
      </c>
      <c r="E38" s="58">
        <f>E37-E36</f>
        <v>4.0039999999999996</v>
      </c>
      <c r="F38" s="58">
        <f>F37-F36</f>
        <v>4.0039999999999996</v>
      </c>
      <c r="G38" s="58">
        <f>G37-G36</f>
        <v>4.0039999999999996</v>
      </c>
      <c r="H38" s="58">
        <f>H37-H36</f>
        <v>4.0030000000000001</v>
      </c>
      <c r="I38" s="58">
        <f>I37-I36</f>
        <v>4.0030000000000001</v>
      </c>
      <c r="J38" s="58">
        <f>J37-J36</f>
        <v>4.0030000000000001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6" t="s">
        <v>580</v>
      </c>
      <c r="C39" s="28">
        <v>-5.0000000000000001E-3</v>
      </c>
    </row>
    <row r="40" spans="1:13" x14ac:dyDescent="0.25">
      <c r="A40" s="16" t="s">
        <v>61</v>
      </c>
    </row>
    <row r="41" spans="1:13" x14ac:dyDescent="0.25">
      <c r="A41" s="16"/>
      <c r="C41">
        <f>C36*C39</f>
        <v>-2.0000000000000002E-5</v>
      </c>
      <c r="D41">
        <f>D36*D39</f>
        <v>0</v>
      </c>
      <c r="E41">
        <f>E36*E39</f>
        <v>0</v>
      </c>
      <c r="F41">
        <f>F36*F39</f>
        <v>0</v>
      </c>
      <c r="G41">
        <f>G36*G39</f>
        <v>0</v>
      </c>
      <c r="H41">
        <f>H36*H39</f>
        <v>0</v>
      </c>
      <c r="I41">
        <f>I36*I39</f>
        <v>0</v>
      </c>
      <c r="J41">
        <f>J36*J39</f>
        <v>0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16"/>
      <c r="C42">
        <f>C41-C40</f>
        <v>-2.0000000000000002E-5</v>
      </c>
      <c r="D42">
        <f>D41-D40</f>
        <v>0</v>
      </c>
      <c r="E42">
        <f>E41-E40</f>
        <v>0</v>
      </c>
      <c r="F42">
        <f>F41-F40</f>
        <v>0</v>
      </c>
      <c r="G42">
        <f>G41-G40</f>
        <v>0</v>
      </c>
      <c r="H42">
        <f>H41-H40</f>
        <v>0</v>
      </c>
      <c r="I42">
        <f>I41-I40</f>
        <v>0</v>
      </c>
      <c r="J42">
        <f>J41-J40</f>
        <v>0</v>
      </c>
      <c r="K42">
        <f>K41-K40</f>
        <v>0</v>
      </c>
      <c r="L42">
        <f>L41-L40</f>
        <v>0</v>
      </c>
      <c r="M42">
        <f>M41-M40</f>
        <v>0</v>
      </c>
    </row>
    <row r="43" spans="1:13" ht="16.5" x14ac:dyDescent="0.25">
      <c r="A43" s="4" t="s">
        <v>62</v>
      </c>
      <c r="C43" s="39" t="s">
        <v>63</v>
      </c>
    </row>
    <row r="44" spans="1:13" x14ac:dyDescent="0.25">
      <c r="B44" s="5" t="s">
        <v>6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2:N69"/>
  <sheetViews>
    <sheetView workbookViewId="0"/>
  </sheetViews>
  <sheetFormatPr defaultRowHeight="15" x14ac:dyDescent="0.25"/>
  <cols>
    <col min="1" max="1" width="62.7109375" bestFit="1" customWidth="1"/>
    <col min="7" max="8" width="9.85546875" bestFit="1" customWidth="1"/>
  </cols>
  <sheetData>
    <row r="2" spans="1:14" x14ac:dyDescent="0.25">
      <c r="A2" s="6" t="s">
        <v>1</v>
      </c>
      <c r="N2" s="7" t="s">
        <v>581</v>
      </c>
    </row>
    <row r="3" spans="1:14" x14ac:dyDescent="0.25">
      <c r="A3" s="6" t="s">
        <v>9</v>
      </c>
    </row>
    <row r="4" spans="1:14" x14ac:dyDescent="0.25">
      <c r="A4" s="6" t="s">
        <v>553</v>
      </c>
    </row>
    <row r="5" spans="1:14" x14ac:dyDescent="0.25">
      <c r="A5" s="6" t="s">
        <v>11</v>
      </c>
    </row>
    <row r="6" spans="1:14" x14ac:dyDescent="0.25">
      <c r="A6" s="8" t="s">
        <v>582</v>
      </c>
    </row>
    <row r="7" spans="1:14" x14ac:dyDescent="0.25">
      <c r="B7" s="9" t="s">
        <v>497</v>
      </c>
    </row>
    <row r="8" spans="1:14" x14ac:dyDescent="0.25">
      <c r="B8" s="9" t="s">
        <v>583</v>
      </c>
      <c r="D8" s="9" t="s">
        <v>584</v>
      </c>
      <c r="E8" s="9" t="s">
        <v>585</v>
      </c>
      <c r="F8" s="9" t="s">
        <v>586</v>
      </c>
      <c r="H8" s="9" t="s">
        <v>587</v>
      </c>
      <c r="L8" s="9" t="s">
        <v>588</v>
      </c>
    </row>
    <row r="9" spans="1:14" x14ac:dyDescent="0.25">
      <c r="A9" s="9" t="s">
        <v>589</v>
      </c>
      <c r="B9" s="9" t="s">
        <v>590</v>
      </c>
      <c r="C9" s="9" t="s">
        <v>591</v>
      </c>
      <c r="D9" s="9" t="s">
        <v>592</v>
      </c>
      <c r="E9" s="9" t="s">
        <v>592</v>
      </c>
      <c r="G9" s="9" t="s">
        <v>593</v>
      </c>
      <c r="I9" s="9" t="s">
        <v>593</v>
      </c>
      <c r="J9" s="9" t="s">
        <v>594</v>
      </c>
      <c r="M9" s="9" t="s">
        <v>595</v>
      </c>
      <c r="N9" s="9" t="s">
        <v>596</v>
      </c>
    </row>
    <row r="10" spans="1:14" x14ac:dyDescent="0.25">
      <c r="B10" s="34" t="s">
        <v>597</v>
      </c>
      <c r="C10" s="34" t="s">
        <v>598</v>
      </c>
      <c r="D10" s="34" t="s">
        <v>599</v>
      </c>
      <c r="F10" s="34" t="s">
        <v>600</v>
      </c>
      <c r="H10" s="34" t="s">
        <v>63</v>
      </c>
      <c r="J10" s="34" t="s">
        <v>601</v>
      </c>
      <c r="L10" s="34" t="s">
        <v>602</v>
      </c>
    </row>
    <row r="11" spans="1:14" x14ac:dyDescent="0.25">
      <c r="B11" s="34"/>
      <c r="C11" s="34" t="s">
        <v>825</v>
      </c>
      <c r="D11" s="34" t="s">
        <v>831</v>
      </c>
      <c r="E11" s="56">
        <f>SUM(E8:E9)</f>
        <v>0</v>
      </c>
      <c r="F11" s="34" t="s">
        <v>847</v>
      </c>
      <c r="G11">
        <f>SUM(G8:G9)</f>
        <v>0</v>
      </c>
      <c r="H11" s="34" t="s">
        <v>871</v>
      </c>
      <c r="I11">
        <f>SUM(I8:I9)</f>
        <v>0</v>
      </c>
      <c r="J11" s="34" t="s">
        <v>895</v>
      </c>
      <c r="K11">
        <f>SUM(K8:K9)</f>
        <v>0</v>
      </c>
      <c r="L11" s="34" t="s">
        <v>919</v>
      </c>
      <c r="M11">
        <f>SUM(M8:M9)</f>
        <v>0</v>
      </c>
    </row>
    <row r="12" spans="1:14" x14ac:dyDescent="0.25">
      <c r="B12" s="34"/>
      <c r="C12" s="34" t="s">
        <v>826</v>
      </c>
      <c r="D12" s="34" t="s">
        <v>832</v>
      </c>
      <c r="E12" s="56">
        <f>E11-E10</f>
        <v>0</v>
      </c>
      <c r="F12" s="34" t="s">
        <v>848</v>
      </c>
      <c r="G12">
        <f>G11-G10</f>
        <v>0</v>
      </c>
      <c r="H12" s="34" t="s">
        <v>872</v>
      </c>
      <c r="I12">
        <f>I11-I10</f>
        <v>0</v>
      </c>
      <c r="J12" s="34" t="s">
        <v>896</v>
      </c>
      <c r="K12">
        <f>K11-K10</f>
        <v>0</v>
      </c>
      <c r="L12" s="34" t="s">
        <v>920</v>
      </c>
      <c r="M12">
        <f>M11-M10</f>
        <v>0</v>
      </c>
    </row>
    <row r="13" spans="1:14" x14ac:dyDescent="0.25">
      <c r="A13" s="7" t="s">
        <v>603</v>
      </c>
      <c r="B13" s="14">
        <v>71628</v>
      </c>
      <c r="C13" s="20">
        <v>0.26800000000000002</v>
      </c>
      <c r="D13" s="14">
        <v>90824</v>
      </c>
      <c r="E13" s="14">
        <v>1747</v>
      </c>
      <c r="G13" s="14">
        <v>1072</v>
      </c>
      <c r="I13" s="7" t="s">
        <v>90</v>
      </c>
      <c r="K13" s="27">
        <v>4</v>
      </c>
      <c r="M13" s="20">
        <v>1</v>
      </c>
      <c r="N13" s="14">
        <v>6986</v>
      </c>
    </row>
    <row r="14" spans="1:14" x14ac:dyDescent="0.25">
      <c r="A14" s="7" t="s">
        <v>604</v>
      </c>
      <c r="B14" s="14">
        <v>103195</v>
      </c>
      <c r="C14" s="20">
        <v>0.23200000000000001</v>
      </c>
      <c r="D14" s="14">
        <v>127144</v>
      </c>
      <c r="E14" s="14">
        <v>2445</v>
      </c>
      <c r="G14" s="14">
        <v>1873</v>
      </c>
      <c r="I14" s="7" t="s">
        <v>90</v>
      </c>
      <c r="K14" s="27">
        <v>3</v>
      </c>
      <c r="M14" s="20">
        <v>1</v>
      </c>
      <c r="N14" s="14">
        <v>7335</v>
      </c>
    </row>
    <row r="15" spans="1:14" x14ac:dyDescent="0.25">
      <c r="A15" s="7"/>
      <c r="B15" s="14"/>
      <c r="C15" s="20" t="e">
        <f>C10*C13</f>
        <v>#VALUE!</v>
      </c>
      <c r="D15" s="14" t="e">
        <f>D10*D13</f>
        <v>#VALUE!</v>
      </c>
      <c r="E15" s="14">
        <f>E10*E13</f>
        <v>0</v>
      </c>
      <c r="F15" t="e">
        <f>F10*F13</f>
        <v>#VALUE!</v>
      </c>
      <c r="G15" s="14">
        <f>G10*G13</f>
        <v>0</v>
      </c>
      <c r="H15" t="e">
        <f>H10*H13</f>
        <v>#VALUE!</v>
      </c>
      <c r="I15" s="7" t="s">
        <v>957</v>
      </c>
      <c r="J15" t="e">
        <f>J10*J13</f>
        <v>#VALUE!</v>
      </c>
      <c r="K15" s="27">
        <f>K10*K13</f>
        <v>0</v>
      </c>
      <c r="L15" t="e">
        <f>L10*L13</f>
        <v>#VALUE!</v>
      </c>
      <c r="M15" s="20">
        <f>M10*M13</f>
        <v>0</v>
      </c>
      <c r="N15" s="14"/>
    </row>
    <row r="16" spans="1:14" x14ac:dyDescent="0.25">
      <c r="A16" s="7"/>
      <c r="B16" s="14"/>
      <c r="C16" s="20" t="e">
        <f>C15-C14</f>
        <v>#VALUE!</v>
      </c>
      <c r="D16" s="14" t="e">
        <f>D15-D14</f>
        <v>#VALUE!</v>
      </c>
      <c r="E16" s="14">
        <f>E15-E14</f>
        <v>-2445</v>
      </c>
      <c r="F16" t="e">
        <f>F15-F14</f>
        <v>#VALUE!</v>
      </c>
      <c r="G16" s="14">
        <f>G15-G14</f>
        <v>-1873</v>
      </c>
      <c r="H16" t="e">
        <f>H15-H14</f>
        <v>#VALUE!</v>
      </c>
      <c r="I16" s="7" t="s">
        <v>958</v>
      </c>
      <c r="J16" t="e">
        <f>J15-J14</f>
        <v>#VALUE!</v>
      </c>
      <c r="K16" s="27">
        <f>K15-K14</f>
        <v>-3</v>
      </c>
      <c r="L16" t="e">
        <f>L15-L14</f>
        <v>#VALUE!</v>
      </c>
      <c r="M16" s="20">
        <f>M15-M14</f>
        <v>-1</v>
      </c>
      <c r="N16" s="14"/>
    </row>
    <row r="17" spans="1:14" x14ac:dyDescent="0.25">
      <c r="A17" s="7" t="s">
        <v>605</v>
      </c>
      <c r="B17" s="14">
        <v>108300</v>
      </c>
      <c r="C17" s="20">
        <v>0.248</v>
      </c>
      <c r="D17" s="14">
        <v>135111</v>
      </c>
      <c r="E17" s="14">
        <v>2598</v>
      </c>
      <c r="G17" s="10">
        <v>604</v>
      </c>
      <c r="I17" s="7" t="s">
        <v>90</v>
      </c>
      <c r="K17" s="27">
        <v>3</v>
      </c>
      <c r="M17" s="20">
        <v>1</v>
      </c>
      <c r="N17" s="14">
        <v>7795</v>
      </c>
    </row>
    <row r="18" spans="1:14" x14ac:dyDescent="0.25">
      <c r="A18" s="7" t="s">
        <v>606</v>
      </c>
      <c r="B18" s="14">
        <v>123978</v>
      </c>
      <c r="C18" s="20">
        <v>0.25700000000000001</v>
      </c>
      <c r="D18" s="14">
        <v>155841</v>
      </c>
      <c r="E18" s="14">
        <v>2997</v>
      </c>
      <c r="G18" s="10">
        <v>699</v>
      </c>
      <c r="I18" s="7" t="s">
        <v>90</v>
      </c>
      <c r="K18" s="27">
        <v>4</v>
      </c>
      <c r="M18" s="20">
        <v>1</v>
      </c>
      <c r="N18" s="14">
        <v>11988</v>
      </c>
    </row>
    <row r="19" spans="1:14" x14ac:dyDescent="0.25">
      <c r="A19" s="7" t="s">
        <v>607</v>
      </c>
      <c r="B19" s="14">
        <v>23711</v>
      </c>
      <c r="C19" s="20">
        <v>0.192</v>
      </c>
      <c r="D19" s="14">
        <v>28263</v>
      </c>
      <c r="E19" s="10">
        <v>544</v>
      </c>
      <c r="G19" s="10">
        <v>699</v>
      </c>
      <c r="I19" s="7" t="s">
        <v>90</v>
      </c>
      <c r="K19" s="27">
        <v>8</v>
      </c>
      <c r="M19" s="20">
        <v>1</v>
      </c>
      <c r="N19" s="14">
        <v>4348</v>
      </c>
    </row>
    <row r="20" spans="1:14" x14ac:dyDescent="0.25">
      <c r="A20" s="7" t="s">
        <v>608</v>
      </c>
      <c r="B20" s="14">
        <v>192232</v>
      </c>
      <c r="C20" s="20">
        <v>0.22700000000000001</v>
      </c>
      <c r="D20" s="14">
        <v>235921</v>
      </c>
      <c r="E20" s="14">
        <v>4537</v>
      </c>
      <c r="G20" s="14">
        <v>9612</v>
      </c>
      <c r="I20" s="7" t="s">
        <v>90</v>
      </c>
      <c r="K20" s="27">
        <v>3</v>
      </c>
      <c r="M20" s="20">
        <v>1</v>
      </c>
      <c r="N20" s="14">
        <v>13611</v>
      </c>
    </row>
    <row r="21" spans="1:14" x14ac:dyDescent="0.25">
      <c r="A21" s="7"/>
      <c r="B21" s="14"/>
      <c r="C21" s="20">
        <f>SUM(C18,C19)</f>
        <v>0.44900000000000001</v>
      </c>
      <c r="D21" s="14">
        <f>SUM(D18,D19)</f>
        <v>184104</v>
      </c>
      <c r="E21" s="14">
        <f>SUM(E18,E19)</f>
        <v>3541</v>
      </c>
      <c r="F21">
        <f>SUM(F18,F19)</f>
        <v>0</v>
      </c>
      <c r="G21" s="14">
        <f>SUM(G18,G19)</f>
        <v>1398</v>
      </c>
      <c r="H21">
        <f>SUM(H18,H19)</f>
        <v>0</v>
      </c>
      <c r="I21" s="7" t="s">
        <v>885</v>
      </c>
      <c r="J21">
        <f>SUM(J18,J19)</f>
        <v>0</v>
      </c>
      <c r="K21" s="27">
        <f>SUM(K18,K19)</f>
        <v>12</v>
      </c>
      <c r="L21">
        <f>SUM(L18,L19)</f>
        <v>0</v>
      </c>
      <c r="M21" s="20">
        <f>SUM(M18,M19)</f>
        <v>2</v>
      </c>
      <c r="N21" s="14"/>
    </row>
    <row r="22" spans="1:14" x14ac:dyDescent="0.25">
      <c r="A22" s="7"/>
      <c r="B22" s="14"/>
      <c r="C22" s="20">
        <f>C21-C20</f>
        <v>0.222</v>
      </c>
      <c r="D22" s="14">
        <f>D21-D20</f>
        <v>-51817</v>
      </c>
      <c r="E22" s="14">
        <f>E21-E20</f>
        <v>-996</v>
      </c>
      <c r="F22">
        <f>F21-F20</f>
        <v>0</v>
      </c>
      <c r="G22" s="14">
        <f>G21-G20</f>
        <v>-8214</v>
      </c>
      <c r="H22">
        <f>H21-H20</f>
        <v>0</v>
      </c>
      <c r="I22" s="7" t="s">
        <v>886</v>
      </c>
      <c r="J22">
        <f>J21-J20</f>
        <v>0</v>
      </c>
      <c r="K22" s="27">
        <f>K21-K20</f>
        <v>9</v>
      </c>
      <c r="L22">
        <f>L21-L20</f>
        <v>0</v>
      </c>
      <c r="M22" s="20">
        <f>M21-M20</f>
        <v>1</v>
      </c>
      <c r="N22" s="14"/>
    </row>
    <row r="23" spans="1:14" x14ac:dyDescent="0.25">
      <c r="A23" s="7" t="s">
        <v>609</v>
      </c>
      <c r="B23" s="14">
        <v>105045</v>
      </c>
      <c r="C23" s="20">
        <v>0.24299999999999999</v>
      </c>
      <c r="D23" s="14">
        <v>130600</v>
      </c>
      <c r="E23" s="14">
        <v>2512</v>
      </c>
      <c r="G23" s="10">
        <v>273</v>
      </c>
      <c r="I23" s="7" t="s">
        <v>90</v>
      </c>
      <c r="K23" s="27">
        <v>3</v>
      </c>
      <c r="M23" s="20">
        <v>1</v>
      </c>
      <c r="N23" s="14">
        <v>7535</v>
      </c>
    </row>
    <row r="24" spans="1:14" x14ac:dyDescent="0.25">
      <c r="A24" s="7"/>
      <c r="B24" s="14"/>
      <c r="C24" s="20" t="e">
        <f>C10*B23</f>
        <v>#VALUE!</v>
      </c>
      <c r="D24" s="14" t="e">
        <f>D10*B23</f>
        <v>#VALUE!</v>
      </c>
      <c r="E24" s="14">
        <f>E10*B23</f>
        <v>0</v>
      </c>
      <c r="F24" t="e">
        <f>F10*B23</f>
        <v>#VALUE!</v>
      </c>
      <c r="G24" s="10">
        <f>G10*B23</f>
        <v>0</v>
      </c>
      <c r="H24" t="e">
        <f>H10*B23</f>
        <v>#VALUE!</v>
      </c>
      <c r="I24" s="7" t="s">
        <v>887</v>
      </c>
      <c r="J24" t="e">
        <f>J10*B23</f>
        <v>#VALUE!</v>
      </c>
      <c r="K24" s="27">
        <f>K10*B23</f>
        <v>0</v>
      </c>
      <c r="L24" t="e">
        <f>L10*B23</f>
        <v>#VALUE!</v>
      </c>
      <c r="M24" s="20">
        <f>M10*B23</f>
        <v>0</v>
      </c>
      <c r="N24" s="14"/>
    </row>
    <row r="25" spans="1:14" x14ac:dyDescent="0.25">
      <c r="A25" s="7"/>
      <c r="B25" s="14"/>
      <c r="C25" s="20" t="e">
        <f>C24-C23</f>
        <v>#VALUE!</v>
      </c>
      <c r="D25" s="14" t="e">
        <f>D24-D23</f>
        <v>#VALUE!</v>
      </c>
      <c r="E25" s="14">
        <f>E24-E23</f>
        <v>-2512</v>
      </c>
      <c r="F25" t="e">
        <f>F24-F23</f>
        <v>#VALUE!</v>
      </c>
      <c r="G25" s="10">
        <f>G24-G23</f>
        <v>-273</v>
      </c>
      <c r="H25" t="e">
        <f>H24-H23</f>
        <v>#VALUE!</v>
      </c>
      <c r="I25" s="7" t="s">
        <v>888</v>
      </c>
      <c r="J25" t="e">
        <f>J24-J23</f>
        <v>#VALUE!</v>
      </c>
      <c r="K25" s="27">
        <f>K24-K23</f>
        <v>-3</v>
      </c>
      <c r="L25" t="e">
        <f>L24-L23</f>
        <v>#VALUE!</v>
      </c>
      <c r="M25" s="20">
        <f>M24-M23</f>
        <v>-1</v>
      </c>
      <c r="N25" s="14"/>
    </row>
    <row r="26" spans="1:14" x14ac:dyDescent="0.25">
      <c r="A26" s="7" t="s">
        <v>610</v>
      </c>
      <c r="B26" s="14">
        <v>84562</v>
      </c>
      <c r="C26" s="20">
        <v>0.23200000000000001</v>
      </c>
      <c r="D26" s="14">
        <v>104148</v>
      </c>
      <c r="E26" s="14">
        <v>2003</v>
      </c>
      <c r="G26" s="14">
        <v>2042</v>
      </c>
      <c r="I26" s="7" t="s">
        <v>90</v>
      </c>
      <c r="K26" s="27">
        <v>4</v>
      </c>
      <c r="M26" s="20">
        <v>1</v>
      </c>
      <c r="N26" s="14">
        <v>8011</v>
      </c>
    </row>
    <row r="27" spans="1:14" x14ac:dyDescent="0.25">
      <c r="A27" s="7"/>
      <c r="B27" s="14"/>
      <c r="C27" s="20">
        <f>SUM(C20,C23)</f>
        <v>0.47</v>
      </c>
      <c r="D27" s="14">
        <f>SUM(D20,D23)</f>
        <v>366521</v>
      </c>
      <c r="E27" s="14">
        <f>SUM(E20,E23)</f>
        <v>7049</v>
      </c>
      <c r="F27">
        <f>SUM(F20,F23)</f>
        <v>0</v>
      </c>
      <c r="G27" s="14">
        <f>SUM(G20,G23)</f>
        <v>9885</v>
      </c>
      <c r="H27">
        <f>SUM(H20,H23)</f>
        <v>0</v>
      </c>
      <c r="I27" s="7" t="s">
        <v>889</v>
      </c>
      <c r="J27">
        <f>SUM(J20,J23)</f>
        <v>0</v>
      </c>
      <c r="K27" s="27">
        <f>SUM(K20,K23)</f>
        <v>6</v>
      </c>
      <c r="L27">
        <f>SUM(L20,L23)</f>
        <v>0</v>
      </c>
      <c r="M27" s="20">
        <f>SUM(M20,M23)</f>
        <v>2</v>
      </c>
      <c r="N27" s="14"/>
    </row>
    <row r="28" spans="1:14" x14ac:dyDescent="0.25">
      <c r="A28" s="7"/>
      <c r="B28" s="14"/>
      <c r="C28" s="20">
        <f>C27-C26</f>
        <v>0.23799999999999996</v>
      </c>
      <c r="D28" s="14">
        <f>D27-D26</f>
        <v>262373</v>
      </c>
      <c r="E28" s="14">
        <f>E27-E26</f>
        <v>5046</v>
      </c>
      <c r="F28">
        <f>F27-F26</f>
        <v>0</v>
      </c>
      <c r="G28" s="14">
        <f>G27-G26</f>
        <v>7843</v>
      </c>
      <c r="H28">
        <f>H27-H26</f>
        <v>0</v>
      </c>
      <c r="I28" s="7" t="s">
        <v>890</v>
      </c>
      <c r="J28">
        <f>J27-J26</f>
        <v>0</v>
      </c>
      <c r="K28" s="27">
        <f>K27-K26</f>
        <v>2</v>
      </c>
      <c r="L28">
        <f>L27-L26</f>
        <v>0</v>
      </c>
      <c r="M28" s="20">
        <f>M27-M26</f>
        <v>1</v>
      </c>
      <c r="N28" s="14"/>
    </row>
    <row r="29" spans="1:14" x14ac:dyDescent="0.25">
      <c r="A29" s="7" t="s">
        <v>611</v>
      </c>
      <c r="B29" s="14">
        <v>172405</v>
      </c>
      <c r="C29" s="20">
        <v>0.245</v>
      </c>
      <c r="D29" s="14">
        <v>214664</v>
      </c>
      <c r="E29" s="14">
        <v>4128</v>
      </c>
      <c r="G29" s="10">
        <v>80</v>
      </c>
      <c r="I29" s="7" t="s">
        <v>90</v>
      </c>
      <c r="K29" s="27">
        <v>4</v>
      </c>
      <c r="M29" s="20">
        <v>1</v>
      </c>
      <c r="N29" s="14">
        <v>16513</v>
      </c>
    </row>
    <row r="30" spans="1:14" x14ac:dyDescent="0.25">
      <c r="A30" s="7"/>
      <c r="B30" s="14"/>
      <c r="C30" s="20">
        <f>C26*B29</f>
        <v>39997.96</v>
      </c>
      <c r="D30" s="14">
        <f>D26*B29</f>
        <v>17955635940</v>
      </c>
      <c r="E30" s="14">
        <f>E26*B29</f>
        <v>345327215</v>
      </c>
      <c r="F30">
        <f>F26*B29</f>
        <v>0</v>
      </c>
      <c r="G30" s="10">
        <f>G26*B29</f>
        <v>352051010</v>
      </c>
      <c r="H30">
        <f>H26*B29</f>
        <v>0</v>
      </c>
      <c r="I30" s="7" t="s">
        <v>891</v>
      </c>
      <c r="J30">
        <f>J26*B29</f>
        <v>0</v>
      </c>
      <c r="K30" s="27">
        <f>K26*B29</f>
        <v>689620</v>
      </c>
      <c r="L30">
        <f>L26*B29</f>
        <v>0</v>
      </c>
      <c r="M30" s="20">
        <f>M26*B29</f>
        <v>172405</v>
      </c>
      <c r="N30" s="14"/>
    </row>
    <row r="31" spans="1:14" x14ac:dyDescent="0.25">
      <c r="A31" s="7"/>
      <c r="B31" s="14"/>
      <c r="C31" s="20">
        <f>C30-C29</f>
        <v>39997.714999999997</v>
      </c>
      <c r="D31" s="14">
        <f>D30-D29</f>
        <v>17955421276</v>
      </c>
      <c r="E31" s="14">
        <f>E30-E29</f>
        <v>345323087</v>
      </c>
      <c r="F31">
        <f>F30-F29</f>
        <v>0</v>
      </c>
      <c r="G31" s="10">
        <f>G30-G29</f>
        <v>352050930</v>
      </c>
      <c r="H31">
        <f>H30-H29</f>
        <v>0</v>
      </c>
      <c r="I31" s="7" t="s">
        <v>892</v>
      </c>
      <c r="J31">
        <f>J30-J29</f>
        <v>0</v>
      </c>
      <c r="K31" s="27">
        <f>K30-K29</f>
        <v>689616</v>
      </c>
      <c r="L31">
        <f>L30-L29</f>
        <v>0</v>
      </c>
      <c r="M31" s="20">
        <f>M30-M29</f>
        <v>172404</v>
      </c>
      <c r="N31" s="14"/>
    </row>
    <row r="32" spans="1:14" x14ac:dyDescent="0.25">
      <c r="A32" s="7" t="s">
        <v>612</v>
      </c>
      <c r="B32" s="14">
        <v>89798</v>
      </c>
      <c r="C32" s="20">
        <v>0.248</v>
      </c>
      <c r="D32" s="14">
        <v>112080</v>
      </c>
      <c r="E32" s="14">
        <v>2155</v>
      </c>
      <c r="G32" s="14">
        <v>2182</v>
      </c>
      <c r="K32" s="27">
        <v>4</v>
      </c>
      <c r="M32" s="20">
        <v>1</v>
      </c>
      <c r="N32" s="14">
        <v>8622</v>
      </c>
    </row>
    <row r="33" spans="1:14" x14ac:dyDescent="0.25">
      <c r="A33" s="7"/>
      <c r="B33" s="14"/>
      <c r="C33" s="20">
        <f>SUM(C26,C29)</f>
        <v>0.47699999999999998</v>
      </c>
      <c r="D33" s="14">
        <f>SUM(D26,D29)</f>
        <v>318812</v>
      </c>
      <c r="E33" s="14">
        <f>SUM(E26,E29)</f>
        <v>6131</v>
      </c>
      <c r="F33">
        <f>SUM(F26,F29)</f>
        <v>0</v>
      </c>
      <c r="G33" s="14">
        <f>SUM(G26,G29)</f>
        <v>2122</v>
      </c>
      <c r="H33">
        <f>SUM(H26,H29)</f>
        <v>0</v>
      </c>
      <c r="I33" s="56">
        <f>SUM(I26,I29)</f>
        <v>0</v>
      </c>
      <c r="J33">
        <f>SUM(J26,J29)</f>
        <v>0</v>
      </c>
      <c r="K33" s="27">
        <f>SUM(K26,K29)</f>
        <v>8</v>
      </c>
      <c r="L33">
        <f>SUM(L26,L29)</f>
        <v>0</v>
      </c>
      <c r="M33" s="20">
        <f>SUM(M26,M29)</f>
        <v>2</v>
      </c>
      <c r="N33" s="14"/>
    </row>
    <row r="34" spans="1:14" x14ac:dyDescent="0.25">
      <c r="A34" s="7"/>
      <c r="B34" s="14"/>
      <c r="C34" s="20">
        <f>C33-C32</f>
        <v>0.22899999999999998</v>
      </c>
      <c r="D34" s="14">
        <f>D33-D32</f>
        <v>206732</v>
      </c>
      <c r="E34" s="14">
        <f>E33-E32</f>
        <v>3976</v>
      </c>
      <c r="F34">
        <f>F33-F32</f>
        <v>0</v>
      </c>
      <c r="G34" s="14">
        <f>G33-G32</f>
        <v>-60</v>
      </c>
      <c r="H34">
        <f>H33-H32</f>
        <v>0</v>
      </c>
      <c r="I34" s="56">
        <f>I33-I32</f>
        <v>0</v>
      </c>
      <c r="J34">
        <f>J33-J32</f>
        <v>0</v>
      </c>
      <c r="K34" s="27">
        <f>K33-K32</f>
        <v>4</v>
      </c>
      <c r="L34">
        <f>L33-L32</f>
        <v>0</v>
      </c>
      <c r="M34" s="20">
        <f>M33-M32</f>
        <v>1</v>
      </c>
      <c r="N34" s="14"/>
    </row>
    <row r="35" spans="1:14" x14ac:dyDescent="0.25">
      <c r="A35" s="9" t="s">
        <v>589</v>
      </c>
      <c r="B35" s="9" t="s">
        <v>613</v>
      </c>
      <c r="D35" s="9" t="s">
        <v>614</v>
      </c>
      <c r="E35" s="9" t="s">
        <v>615</v>
      </c>
      <c r="G35" s="9" t="s">
        <v>616</v>
      </c>
      <c r="H35" s="9" t="s">
        <v>617</v>
      </c>
    </row>
    <row r="36" spans="1:14" x14ac:dyDescent="0.25">
      <c r="B36" s="34" t="s">
        <v>618</v>
      </c>
      <c r="D36" s="34" t="s">
        <v>619</v>
      </c>
      <c r="E36" s="34" t="s">
        <v>620</v>
      </c>
      <c r="G36" s="34" t="s">
        <v>621</v>
      </c>
      <c r="H36" s="34" t="s">
        <v>622</v>
      </c>
    </row>
    <row r="37" spans="1:14" x14ac:dyDescent="0.25">
      <c r="B37" s="34"/>
      <c r="C37" s="57">
        <f>SUM(C32,C35)</f>
        <v>0.248</v>
      </c>
      <c r="D37" s="34" t="s">
        <v>943</v>
      </c>
      <c r="E37" s="34" t="s">
        <v>947</v>
      </c>
      <c r="F37">
        <f>SUM(F32,F35)</f>
        <v>0</v>
      </c>
      <c r="G37" s="34" t="s">
        <v>953</v>
      </c>
      <c r="H37" s="34" t="s">
        <v>955</v>
      </c>
      <c r="I37">
        <f>SUM(I32,I35)</f>
        <v>0</v>
      </c>
      <c r="J37">
        <f>SUM(J32,J35)</f>
        <v>0</v>
      </c>
      <c r="K37" s="61">
        <f>SUM(K32,K35)</f>
        <v>4</v>
      </c>
      <c r="L37">
        <f>SUM(L32,L35)</f>
        <v>0</v>
      </c>
      <c r="M37" s="57">
        <f>SUM(M32,M35)</f>
        <v>1</v>
      </c>
    </row>
    <row r="38" spans="1:14" x14ac:dyDescent="0.25">
      <c r="B38" s="34"/>
      <c r="C38" s="57">
        <f>C37-C36</f>
        <v>0.248</v>
      </c>
      <c r="D38" s="34" t="s">
        <v>944</v>
      </c>
      <c r="E38" s="34" t="s">
        <v>948</v>
      </c>
      <c r="F38">
        <f>F37-F36</f>
        <v>0</v>
      </c>
      <c r="G38" s="34" t="s">
        <v>954</v>
      </c>
      <c r="H38" s="34" t="s">
        <v>956</v>
      </c>
      <c r="I38">
        <f>I37-I36</f>
        <v>0</v>
      </c>
      <c r="J38">
        <f>J37-J36</f>
        <v>0</v>
      </c>
      <c r="K38" s="61">
        <f>K37-K36</f>
        <v>4</v>
      </c>
      <c r="L38">
        <f>L37-L36</f>
        <v>0</v>
      </c>
      <c r="M38" s="57">
        <f>M37-M36</f>
        <v>1</v>
      </c>
    </row>
    <row r="39" spans="1:14" x14ac:dyDescent="0.25">
      <c r="A39" s="7" t="s">
        <v>603</v>
      </c>
      <c r="C39" s="10">
        <v>879</v>
      </c>
      <c r="D39" s="14">
        <v>942139</v>
      </c>
      <c r="F39" s="7" t="s">
        <v>90</v>
      </c>
      <c r="G39" s="14">
        <v>6141092</v>
      </c>
      <c r="H39" s="14">
        <v>7083230</v>
      </c>
    </row>
    <row r="40" spans="1:14" x14ac:dyDescent="0.25">
      <c r="A40" s="7" t="s">
        <v>604</v>
      </c>
      <c r="C40" s="10">
        <v>146</v>
      </c>
      <c r="D40" s="14">
        <v>273511</v>
      </c>
      <c r="F40" s="7" t="s">
        <v>90</v>
      </c>
      <c r="G40" s="14">
        <v>1070942</v>
      </c>
      <c r="H40" s="14">
        <v>1344453</v>
      </c>
    </row>
    <row r="41" spans="1:14" x14ac:dyDescent="0.25">
      <c r="A41" s="7"/>
      <c r="C41" s="10">
        <f>C36*C39</f>
        <v>0</v>
      </c>
      <c r="D41" s="14" t="e">
        <f>D36*D39</f>
        <v>#VALUE!</v>
      </c>
      <c r="E41" t="e">
        <f>E36*E39</f>
        <v>#VALUE!</v>
      </c>
      <c r="F41" s="7" t="s">
        <v>951</v>
      </c>
      <c r="G41" s="14" t="e">
        <f>G36*G39</f>
        <v>#VALUE!</v>
      </c>
      <c r="H41" s="14" t="e">
        <f>H36*H39</f>
        <v>#VALUE!</v>
      </c>
      <c r="I41">
        <f>I36*I39</f>
        <v>0</v>
      </c>
      <c r="J41">
        <f>J36*J39</f>
        <v>0</v>
      </c>
      <c r="K41">
        <f>K36*K39</f>
        <v>0</v>
      </c>
      <c r="L41">
        <f>L36*L39</f>
        <v>0</v>
      </c>
      <c r="M41">
        <f>M36*M39</f>
        <v>0</v>
      </c>
    </row>
    <row r="42" spans="1:14" x14ac:dyDescent="0.25">
      <c r="A42" s="7"/>
      <c r="C42" s="10">
        <f>C41-C40</f>
        <v>-146</v>
      </c>
      <c r="D42" s="14" t="e">
        <f>D41-D40</f>
        <v>#VALUE!</v>
      </c>
      <c r="E42" t="e">
        <f>E41-E40</f>
        <v>#VALUE!</v>
      </c>
      <c r="F42" s="7" t="s">
        <v>952</v>
      </c>
      <c r="G42" s="14" t="e">
        <f>G41-G40</f>
        <v>#VALUE!</v>
      </c>
      <c r="H42" s="14" t="e">
        <f>H41-H40</f>
        <v>#VALUE!</v>
      </c>
      <c r="I42">
        <f>I41-I40</f>
        <v>0</v>
      </c>
      <c r="J42">
        <f>J41-J40</f>
        <v>0</v>
      </c>
      <c r="K42">
        <f>K41-K40</f>
        <v>0</v>
      </c>
      <c r="L42">
        <f>L41-L40</f>
        <v>0</v>
      </c>
      <c r="M42">
        <f>M41-M40</f>
        <v>0</v>
      </c>
    </row>
    <row r="43" spans="1:14" x14ac:dyDescent="0.25">
      <c r="A43" s="7" t="s">
        <v>605</v>
      </c>
      <c r="C43" s="10">
        <v>56</v>
      </c>
      <c r="D43" s="14">
        <v>33825</v>
      </c>
      <c r="F43" s="7" t="s">
        <v>90</v>
      </c>
      <c r="G43" s="14">
        <v>436511</v>
      </c>
      <c r="H43" s="14">
        <v>470336</v>
      </c>
    </row>
    <row r="44" spans="1:14" x14ac:dyDescent="0.25">
      <c r="A44" s="7" t="s">
        <v>606</v>
      </c>
      <c r="C44" s="10">
        <v>134</v>
      </c>
      <c r="D44" s="14">
        <v>93599</v>
      </c>
      <c r="F44" s="7" t="s">
        <v>90</v>
      </c>
      <c r="G44" s="14">
        <v>1606359</v>
      </c>
      <c r="H44" s="14">
        <v>1699958</v>
      </c>
    </row>
    <row r="45" spans="1:14" x14ac:dyDescent="0.25">
      <c r="A45" s="7" t="s">
        <v>607</v>
      </c>
      <c r="C45" s="10">
        <v>973</v>
      </c>
      <c r="D45" s="14">
        <v>679641</v>
      </c>
      <c r="F45" s="7" t="s">
        <v>90</v>
      </c>
      <c r="G45" s="14">
        <v>4230752</v>
      </c>
      <c r="H45" s="14">
        <v>4910393</v>
      </c>
    </row>
    <row r="46" spans="1:14" x14ac:dyDescent="0.25">
      <c r="A46" s="7" t="s">
        <v>608</v>
      </c>
      <c r="C46" s="10">
        <v>11</v>
      </c>
      <c r="D46" s="14">
        <v>105728</v>
      </c>
      <c r="F46" s="7" t="s">
        <v>90</v>
      </c>
      <c r="G46" s="14">
        <v>149719</v>
      </c>
      <c r="H46" s="14">
        <v>255446</v>
      </c>
    </row>
    <row r="47" spans="1:14" x14ac:dyDescent="0.25">
      <c r="A47" s="7" t="s">
        <v>609</v>
      </c>
      <c r="C47" s="10">
        <v>65</v>
      </c>
      <c r="D47" s="14">
        <v>17713</v>
      </c>
      <c r="F47" s="7" t="s">
        <v>90</v>
      </c>
      <c r="G47" s="14">
        <v>489750</v>
      </c>
      <c r="H47" s="14">
        <v>507463</v>
      </c>
    </row>
    <row r="48" spans="1:14" x14ac:dyDescent="0.25">
      <c r="A48" s="7" t="s">
        <v>610</v>
      </c>
      <c r="C48" s="14">
        <v>1252</v>
      </c>
      <c r="D48" s="14">
        <v>2555996</v>
      </c>
      <c r="F48" s="7" t="s">
        <v>90</v>
      </c>
      <c r="G48" s="14">
        <v>10030226</v>
      </c>
      <c r="H48" s="14">
        <v>12586221</v>
      </c>
    </row>
    <row r="49" spans="1:8" x14ac:dyDescent="0.25">
      <c r="A49" s="7" t="s">
        <v>611</v>
      </c>
      <c r="C49" s="10">
        <v>17</v>
      </c>
      <c r="D49" s="14">
        <v>1366</v>
      </c>
      <c r="F49" s="7" t="s">
        <v>90</v>
      </c>
      <c r="G49" s="14">
        <v>280714</v>
      </c>
      <c r="H49" s="14">
        <v>282081</v>
      </c>
    </row>
    <row r="50" spans="1:8" x14ac:dyDescent="0.25">
      <c r="A50" s="7" t="s">
        <v>612</v>
      </c>
      <c r="C50" s="10">
        <v>687</v>
      </c>
      <c r="D50" s="14">
        <v>1498849</v>
      </c>
      <c r="G50" s="14">
        <v>5923016</v>
      </c>
      <c r="H50" s="14">
        <v>7421865</v>
      </c>
    </row>
    <row r="51" spans="1:8" x14ac:dyDescent="0.25">
      <c r="A51" s="6" t="s">
        <v>303</v>
      </c>
      <c r="C51" s="14">
        <v>4220</v>
      </c>
    </row>
    <row r="52" spans="1:8" x14ac:dyDescent="0.25">
      <c r="A52" s="6" t="s">
        <v>623</v>
      </c>
      <c r="H52" s="14">
        <v>36561446</v>
      </c>
    </row>
    <row r="53" spans="1:8" x14ac:dyDescent="0.25">
      <c r="A53" s="6"/>
      <c r="H53" s="14"/>
    </row>
    <row r="54" spans="1:8" x14ac:dyDescent="0.25">
      <c r="A54" s="6"/>
      <c r="H54" s="14"/>
    </row>
    <row r="55" spans="1:8" x14ac:dyDescent="0.25">
      <c r="A55" s="6" t="s">
        <v>536</v>
      </c>
      <c r="H55" s="10">
        <v>37</v>
      </c>
    </row>
    <row r="56" spans="1:8" x14ac:dyDescent="0.25">
      <c r="A56" s="6"/>
      <c r="H56" s="10"/>
    </row>
    <row r="57" spans="1:8" x14ac:dyDescent="0.25">
      <c r="A57" s="6"/>
      <c r="H57" s="10"/>
    </row>
    <row r="58" spans="1:8" x14ac:dyDescent="0.25">
      <c r="A58" s="7" t="s">
        <v>624</v>
      </c>
      <c r="H58" s="12">
        <v>8664</v>
      </c>
    </row>
    <row r="59" spans="1:8" x14ac:dyDescent="0.25">
      <c r="A59" s="7"/>
      <c r="H59" s="12"/>
    </row>
    <row r="60" spans="1:8" x14ac:dyDescent="0.25">
      <c r="A60" s="7"/>
      <c r="H60" s="12"/>
    </row>
    <row r="61" spans="1:8" x14ac:dyDescent="0.25">
      <c r="A61" s="8" t="s">
        <v>127</v>
      </c>
    </row>
    <row r="62" spans="1:8" x14ac:dyDescent="0.25">
      <c r="A62" s="8"/>
    </row>
    <row r="63" spans="1:8" x14ac:dyDescent="0.25">
      <c r="A63" s="8"/>
    </row>
    <row r="64" spans="1:8" x14ac:dyDescent="0.25">
      <c r="A64" s="7" t="s">
        <v>227</v>
      </c>
    </row>
    <row r="65" spans="1:9" x14ac:dyDescent="0.25">
      <c r="A65" s="7"/>
    </row>
    <row r="66" spans="1:9" x14ac:dyDescent="0.25">
      <c r="A66" s="7"/>
    </row>
    <row r="67" spans="1:9" x14ac:dyDescent="0.25">
      <c r="A67" s="16" t="s">
        <v>61</v>
      </c>
    </row>
    <row r="68" spans="1:9" x14ac:dyDescent="0.25">
      <c r="A68" s="9" t="s">
        <v>62</v>
      </c>
      <c r="I68" s="17" t="s">
        <v>63</v>
      </c>
    </row>
    <row r="69" spans="1:9" x14ac:dyDescent="0.25">
      <c r="G69" s="5" t="s">
        <v>6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2:M95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L2" s="7" t="s">
        <v>625</v>
      </c>
    </row>
    <row r="3" spans="1:13" x14ac:dyDescent="0.25">
      <c r="A3" s="6" t="s">
        <v>9</v>
      </c>
    </row>
    <row r="4" spans="1:13" x14ac:dyDescent="0.25">
      <c r="A4" s="6" t="s">
        <v>626</v>
      </c>
    </row>
    <row r="5" spans="1:13" x14ac:dyDescent="0.25">
      <c r="A5" s="6" t="s">
        <v>11</v>
      </c>
    </row>
    <row r="6" spans="1:13" x14ac:dyDescent="0.25">
      <c r="D6" s="9" t="s">
        <v>95</v>
      </c>
      <c r="H6" s="9" t="s">
        <v>96</v>
      </c>
    </row>
    <row r="7" spans="1:13" x14ac:dyDescent="0.25">
      <c r="A7" s="8" t="s">
        <v>12</v>
      </c>
      <c r="B7" s="16" t="s">
        <v>127</v>
      </c>
      <c r="D7" s="9" t="s">
        <v>97</v>
      </c>
      <c r="E7" s="9" t="s">
        <v>98</v>
      </c>
      <c r="F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C9" s="10">
        <v>298</v>
      </c>
      <c r="D9" s="10">
        <v>74</v>
      </c>
      <c r="E9" s="10">
        <v>312</v>
      </c>
      <c r="F9" s="10">
        <v>323</v>
      </c>
      <c r="G9" s="10">
        <v>333</v>
      </c>
      <c r="H9" s="10">
        <v>346</v>
      </c>
      <c r="I9" s="10">
        <v>359</v>
      </c>
      <c r="J9" s="10">
        <v>371</v>
      </c>
      <c r="K9" s="10">
        <v>384</v>
      </c>
    </row>
    <row r="10" spans="1:13" x14ac:dyDescent="0.25">
      <c r="A10" s="7" t="s">
        <v>629</v>
      </c>
      <c r="D10" s="19">
        <v>-45</v>
      </c>
      <c r="E10" s="19">
        <v>-189</v>
      </c>
      <c r="F10" s="19">
        <v>-187</v>
      </c>
      <c r="G10" s="19">
        <v>-188</v>
      </c>
      <c r="H10" s="19">
        <v>-194</v>
      </c>
      <c r="I10" s="19">
        <v>-197</v>
      </c>
      <c r="J10" s="19">
        <v>-200</v>
      </c>
      <c r="K10" s="19">
        <v>-203</v>
      </c>
    </row>
    <row r="11" spans="1:13" x14ac:dyDescent="0.25">
      <c r="A11" s="7"/>
      <c r="C11">
        <f>SUM(C8:C9)</f>
        <v>298</v>
      </c>
      <c r="D11" s="19">
        <f>SUM(D8:D9)</f>
        <v>74</v>
      </c>
      <c r="E11" s="19">
        <f>SUM(E8:E9)</f>
        <v>312</v>
      </c>
      <c r="F11" s="19">
        <f>SUM(F8:F9)</f>
        <v>323</v>
      </c>
      <c r="G11" s="19">
        <f>SUM(G8:G9)</f>
        <v>333</v>
      </c>
      <c r="H11" s="19">
        <f>SUM(H8:H9)</f>
        <v>346</v>
      </c>
      <c r="I11" s="19">
        <f>SUM(I8:I9)</f>
        <v>359</v>
      </c>
      <c r="J11" s="19">
        <f>SUM(J8:J9)</f>
        <v>371</v>
      </c>
      <c r="K11" s="19">
        <f>SUM(K8:K9)</f>
        <v>384</v>
      </c>
      <c r="L11">
        <f>SUM(L8:L9)</f>
        <v>0</v>
      </c>
      <c r="M11">
        <f>SUM(M8:M9)</f>
        <v>0</v>
      </c>
    </row>
    <row r="12" spans="1:13" x14ac:dyDescent="0.25">
      <c r="A12" s="7"/>
      <c r="C12">
        <f>C11-C10</f>
        <v>298</v>
      </c>
      <c r="D12" s="19">
        <f>D11-D10</f>
        <v>119</v>
      </c>
      <c r="E12" s="19">
        <f>E11-E10</f>
        <v>501</v>
      </c>
      <c r="F12" s="19">
        <f>F11-F10</f>
        <v>510</v>
      </c>
      <c r="G12" s="19">
        <f>G11-G10</f>
        <v>521</v>
      </c>
      <c r="H12" s="19">
        <f>H11-H10</f>
        <v>540</v>
      </c>
      <c r="I12" s="19">
        <f>I11-I10</f>
        <v>556</v>
      </c>
      <c r="J12" s="19">
        <f>J11-J10</f>
        <v>571</v>
      </c>
      <c r="K12" s="19">
        <f>K11-K10</f>
        <v>587</v>
      </c>
      <c r="L12">
        <f>L11-L10</f>
        <v>0</v>
      </c>
      <c r="M12">
        <f>M11-M10</f>
        <v>0</v>
      </c>
    </row>
    <row r="13" spans="1:13" x14ac:dyDescent="0.25">
      <c r="A13" s="7" t="s">
        <v>630</v>
      </c>
      <c r="D13" s="10">
        <v>30</v>
      </c>
      <c r="E13" s="10">
        <v>123</v>
      </c>
      <c r="F13" s="10">
        <v>137</v>
      </c>
      <c r="G13" s="10">
        <v>146</v>
      </c>
      <c r="H13" s="10">
        <v>151</v>
      </c>
      <c r="I13" s="10">
        <v>161</v>
      </c>
      <c r="J13" s="10">
        <v>171</v>
      </c>
      <c r="K13" s="10">
        <v>181</v>
      </c>
    </row>
    <row r="14" spans="1:13" x14ac:dyDescent="0.25">
      <c r="A14" s="7" t="s">
        <v>631</v>
      </c>
      <c r="D14" s="19">
        <v>-3</v>
      </c>
      <c r="E14" s="19">
        <v>-10</v>
      </c>
      <c r="F14" s="19">
        <v>-11</v>
      </c>
      <c r="G14" s="19">
        <v>-17</v>
      </c>
      <c r="H14" s="19">
        <v>-19</v>
      </c>
      <c r="I14" s="19">
        <v>-19</v>
      </c>
      <c r="J14" s="19">
        <v>-19</v>
      </c>
      <c r="K14" s="19">
        <v>-19</v>
      </c>
    </row>
    <row r="15" spans="1:13" x14ac:dyDescent="0.25">
      <c r="A15" s="7"/>
      <c r="C15">
        <f>C10*C13</f>
        <v>0</v>
      </c>
      <c r="D15" s="19">
        <f>D10*D13</f>
        <v>-1350</v>
      </c>
      <c r="E15" s="19">
        <f>E10*E13</f>
        <v>-23247</v>
      </c>
      <c r="F15" s="19">
        <f>F10*F13</f>
        <v>-25619</v>
      </c>
      <c r="G15" s="19">
        <f>G10*G13</f>
        <v>-27448</v>
      </c>
      <c r="H15" s="19">
        <f>H10*H13</f>
        <v>-29294</v>
      </c>
      <c r="I15" s="19">
        <f>I10*I13</f>
        <v>-31717</v>
      </c>
      <c r="J15" s="19">
        <f>J10*J13</f>
        <v>-34200</v>
      </c>
      <c r="K15" s="19">
        <f>K10*K13</f>
        <v>-36743</v>
      </c>
      <c r="L15">
        <f>L10*L13</f>
        <v>0</v>
      </c>
      <c r="M15">
        <f>M10*M13</f>
        <v>0</v>
      </c>
    </row>
    <row r="16" spans="1:13" x14ac:dyDescent="0.25">
      <c r="A16" s="7"/>
      <c r="C16">
        <f>C15-C14</f>
        <v>0</v>
      </c>
      <c r="D16" s="19">
        <f>D15-D14</f>
        <v>-1347</v>
      </c>
      <c r="E16" s="19">
        <f>E15-E14</f>
        <v>-23237</v>
      </c>
      <c r="F16" s="19">
        <f>F15-F14</f>
        <v>-25608</v>
      </c>
      <c r="G16" s="19">
        <f>G15-G14</f>
        <v>-27431</v>
      </c>
      <c r="H16" s="19">
        <f>H15-H14</f>
        <v>-29275</v>
      </c>
      <c r="I16" s="19">
        <f>I15-I14</f>
        <v>-31698</v>
      </c>
      <c r="J16" s="19">
        <f>J15-J14</f>
        <v>-34181</v>
      </c>
      <c r="K16" s="19">
        <f>K15-K14</f>
        <v>-36724</v>
      </c>
      <c r="L16">
        <f>L15-L14</f>
        <v>0</v>
      </c>
      <c r="M16">
        <f>M15-M14</f>
        <v>0</v>
      </c>
    </row>
    <row r="17" spans="1:13" x14ac:dyDescent="0.25">
      <c r="A17" s="7" t="s">
        <v>209</v>
      </c>
      <c r="D17" s="10">
        <v>27</v>
      </c>
      <c r="E17" s="10">
        <v>113</v>
      </c>
      <c r="F17" s="10">
        <v>125</v>
      </c>
      <c r="G17" s="10">
        <v>129</v>
      </c>
      <c r="H17" s="10">
        <v>132</v>
      </c>
      <c r="I17" s="10">
        <v>142</v>
      </c>
      <c r="J17" s="10">
        <v>152</v>
      </c>
      <c r="K17" s="10">
        <v>162</v>
      </c>
    </row>
    <row r="18" spans="1:13" x14ac:dyDescent="0.25">
      <c r="A18" s="7" t="s">
        <v>632</v>
      </c>
      <c r="C18" s="20">
        <v>0.39500000000000002</v>
      </c>
      <c r="D18" s="19">
        <v>-11</v>
      </c>
      <c r="E18" s="19">
        <v>-45</v>
      </c>
      <c r="F18" s="19">
        <v>-50</v>
      </c>
      <c r="G18" s="19">
        <v>-51</v>
      </c>
      <c r="H18" s="19">
        <v>-52</v>
      </c>
      <c r="I18" s="19">
        <v>-56</v>
      </c>
      <c r="J18" s="19">
        <v>-60</v>
      </c>
      <c r="K18" s="19">
        <v>-64</v>
      </c>
    </row>
    <row r="19" spans="1:13" x14ac:dyDescent="0.25">
      <c r="A19" s="7" t="s">
        <v>633</v>
      </c>
      <c r="D19" s="10">
        <v>16</v>
      </c>
      <c r="E19" s="10">
        <v>68</v>
      </c>
      <c r="F19" s="10">
        <v>76</v>
      </c>
      <c r="G19" s="10">
        <v>78</v>
      </c>
      <c r="H19" s="10">
        <v>80</v>
      </c>
      <c r="I19" s="10">
        <v>86</v>
      </c>
      <c r="J19" s="10">
        <v>92</v>
      </c>
      <c r="K19" s="10">
        <v>98</v>
      </c>
    </row>
    <row r="20" spans="1:13" x14ac:dyDescent="0.25">
      <c r="A20" s="7" t="s">
        <v>111</v>
      </c>
      <c r="D20" s="10">
        <v>3</v>
      </c>
      <c r="E20" s="10">
        <v>10</v>
      </c>
      <c r="F20" s="10">
        <v>11</v>
      </c>
      <c r="G20" s="10">
        <v>17</v>
      </c>
      <c r="H20" s="10">
        <v>19</v>
      </c>
      <c r="I20" s="10">
        <v>19</v>
      </c>
      <c r="J20" s="10">
        <v>19</v>
      </c>
      <c r="K20" s="10">
        <v>19</v>
      </c>
    </row>
    <row r="21" spans="1:13" x14ac:dyDescent="0.25">
      <c r="A21" s="7"/>
      <c r="C21" s="57">
        <f>SUM(C18,C19)</f>
        <v>0.39500000000000002</v>
      </c>
      <c r="D21" s="10">
        <f>SUM(D18,D19)</f>
        <v>5</v>
      </c>
      <c r="E21" s="10">
        <f>SUM(E18,E19)</f>
        <v>23</v>
      </c>
      <c r="F21" s="10">
        <f>SUM(F18,F19)</f>
        <v>26</v>
      </c>
      <c r="G21" s="10">
        <f>SUM(G18,G19)</f>
        <v>27</v>
      </c>
      <c r="H21" s="10">
        <f>SUM(H18,H19)</f>
        <v>28</v>
      </c>
      <c r="I21" s="10">
        <f>SUM(I18,I19)</f>
        <v>30</v>
      </c>
      <c r="J21" s="10">
        <f>SUM(J18,J19)</f>
        <v>32</v>
      </c>
      <c r="K21" s="10">
        <f>SUM(K18,K19)</f>
        <v>34</v>
      </c>
      <c r="L21">
        <f>SUM(L18,L19)</f>
        <v>0</v>
      </c>
      <c r="M21">
        <f>SUM(M18,M19)</f>
        <v>0</v>
      </c>
    </row>
    <row r="22" spans="1:13" x14ac:dyDescent="0.25">
      <c r="A22" s="7"/>
      <c r="C22" s="57">
        <f>C21-C20</f>
        <v>0.39500000000000002</v>
      </c>
      <c r="D22" s="10">
        <f>D21-D20</f>
        <v>2</v>
      </c>
      <c r="E22" s="10">
        <f>E21-E20</f>
        <v>13</v>
      </c>
      <c r="F22" s="10">
        <f>F21-F20</f>
        <v>15</v>
      </c>
      <c r="G22" s="10">
        <f>G21-G20</f>
        <v>10</v>
      </c>
      <c r="H22" s="10">
        <f>H21-H20</f>
        <v>9</v>
      </c>
      <c r="I22" s="10">
        <f>I21-I20</f>
        <v>11</v>
      </c>
      <c r="J22" s="10">
        <f>J21-J20</f>
        <v>13</v>
      </c>
      <c r="K22" s="10">
        <f>K21-K20</f>
        <v>15</v>
      </c>
      <c r="L22">
        <f>L21-L20</f>
        <v>0</v>
      </c>
      <c r="M22">
        <f>M21-M20</f>
        <v>0</v>
      </c>
    </row>
    <row r="23" spans="1:13" x14ac:dyDescent="0.25">
      <c r="A23" s="7" t="s">
        <v>634</v>
      </c>
      <c r="D23" s="23">
        <v>0.9</v>
      </c>
      <c r="E23" s="10">
        <v>1</v>
      </c>
      <c r="F23" s="10">
        <v>2</v>
      </c>
      <c r="G23" s="10">
        <v>2</v>
      </c>
      <c r="H23" s="10">
        <v>2</v>
      </c>
      <c r="I23" s="10">
        <v>2</v>
      </c>
      <c r="J23" s="10">
        <v>2</v>
      </c>
      <c r="K23" s="10">
        <v>2</v>
      </c>
    </row>
    <row r="24" spans="1:13" x14ac:dyDescent="0.25">
      <c r="A24" s="7"/>
      <c r="C24">
        <f>C10*B23</f>
        <v>0</v>
      </c>
      <c r="D24" s="23">
        <f>D10*B23</f>
        <v>0</v>
      </c>
      <c r="E24" s="10">
        <f>E10*B23</f>
        <v>0</v>
      </c>
      <c r="F24" s="10">
        <f>F10*B23</f>
        <v>0</v>
      </c>
      <c r="G24" s="10">
        <f>G10*B23</f>
        <v>0</v>
      </c>
      <c r="H24" s="10">
        <f>H10*B23</f>
        <v>0</v>
      </c>
      <c r="I24" s="10">
        <f>I10*B23</f>
        <v>0</v>
      </c>
      <c r="J24" s="10">
        <f>J10*B23</f>
        <v>0</v>
      </c>
      <c r="K24" s="10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>
        <f>C24-C23</f>
        <v>0</v>
      </c>
      <c r="D25" s="23">
        <f>D24-D23</f>
        <v>-0.9</v>
      </c>
      <c r="E25" s="10">
        <f>E24-E23</f>
        <v>-1</v>
      </c>
      <c r="F25" s="10">
        <f>F24-F23</f>
        <v>-2</v>
      </c>
      <c r="G25" s="10">
        <f>G24-G23</f>
        <v>-2</v>
      </c>
      <c r="H25" s="10">
        <f>H24-H23</f>
        <v>-2</v>
      </c>
      <c r="I25" s="10">
        <f>I24-I23</f>
        <v>-2</v>
      </c>
      <c r="J25" s="10">
        <f>J24-J23</f>
        <v>-2</v>
      </c>
      <c r="K25" s="10">
        <f>K24-K23</f>
        <v>-2</v>
      </c>
      <c r="L25">
        <f>L24-L23</f>
        <v>0</v>
      </c>
      <c r="M25">
        <f>M24-M23</f>
        <v>0</v>
      </c>
    </row>
    <row r="26" spans="1:13" x14ac:dyDescent="0.25">
      <c r="A26" s="7" t="s">
        <v>113</v>
      </c>
      <c r="D26" s="19">
        <v>-5</v>
      </c>
      <c r="E26" s="19">
        <v>-19</v>
      </c>
      <c r="F26" s="19">
        <v>-19</v>
      </c>
      <c r="G26" s="19">
        <v>-19</v>
      </c>
      <c r="H26" s="19">
        <v>-19</v>
      </c>
      <c r="I26" s="19">
        <v>-19</v>
      </c>
      <c r="J26" s="19">
        <v>-19</v>
      </c>
      <c r="K26" s="19">
        <v>-19</v>
      </c>
    </row>
    <row r="27" spans="1:13" x14ac:dyDescent="0.25">
      <c r="A27" s="7"/>
      <c r="C27">
        <f>SUM(C20,C23)</f>
        <v>0</v>
      </c>
      <c r="D27" s="19">
        <f>SUM(D20,D23)</f>
        <v>3.9</v>
      </c>
      <c r="E27" s="19">
        <f>SUM(E20,E23)</f>
        <v>11</v>
      </c>
      <c r="F27" s="19">
        <f>SUM(F20,F23)</f>
        <v>13</v>
      </c>
      <c r="G27" s="19">
        <f>SUM(G20,G23)</f>
        <v>19</v>
      </c>
      <c r="H27" s="19">
        <f>SUM(H20,H23)</f>
        <v>21</v>
      </c>
      <c r="I27" s="19">
        <f>SUM(I20,I23)</f>
        <v>21</v>
      </c>
      <c r="J27" s="19">
        <f>SUM(J20,J23)</f>
        <v>21</v>
      </c>
      <c r="K27" s="19">
        <f>SUM(K20,K23)</f>
        <v>21</v>
      </c>
      <c r="L27">
        <f>SUM(L20,L23)</f>
        <v>0</v>
      </c>
      <c r="M27">
        <f>SUM(M20,M23)</f>
        <v>0</v>
      </c>
    </row>
    <row r="28" spans="1:13" x14ac:dyDescent="0.25">
      <c r="A28" s="7"/>
      <c r="C28">
        <f>C27-C26</f>
        <v>0</v>
      </c>
      <c r="D28" s="19">
        <f>D27-D26</f>
        <v>8.9</v>
      </c>
      <c r="E28" s="19">
        <f>E27-E26</f>
        <v>30</v>
      </c>
      <c r="F28" s="19">
        <f>F27-F26</f>
        <v>32</v>
      </c>
      <c r="G28" s="19">
        <f>G27-G26</f>
        <v>38</v>
      </c>
      <c r="H28" s="19">
        <f>H27-H26</f>
        <v>40</v>
      </c>
      <c r="I28" s="19">
        <f>I27-I26</f>
        <v>40</v>
      </c>
      <c r="J28" s="19">
        <f>J27-J26</f>
        <v>40</v>
      </c>
      <c r="K28" s="19">
        <f>K27-K26</f>
        <v>40</v>
      </c>
      <c r="L28">
        <f>L27-L26</f>
        <v>0</v>
      </c>
      <c r="M28">
        <f>M27-M26</f>
        <v>0</v>
      </c>
    </row>
    <row r="29" spans="1:13" x14ac:dyDescent="0.25">
      <c r="A29" s="7" t="s">
        <v>635</v>
      </c>
      <c r="D29" s="10">
        <v>15</v>
      </c>
      <c r="E29" s="10">
        <v>61</v>
      </c>
      <c r="F29" s="10">
        <v>69</v>
      </c>
      <c r="G29" s="10">
        <v>77</v>
      </c>
      <c r="H29" s="10">
        <v>82</v>
      </c>
      <c r="I29" s="10">
        <v>88</v>
      </c>
      <c r="J29" s="10">
        <v>94</v>
      </c>
      <c r="K29" s="10">
        <v>100</v>
      </c>
    </row>
    <row r="30" spans="1:13" x14ac:dyDescent="0.25">
      <c r="A30" s="7"/>
      <c r="C30">
        <f>C26*B29</f>
        <v>0</v>
      </c>
      <c r="D30" s="10">
        <f>D26*B29</f>
        <v>0</v>
      </c>
      <c r="E30" s="10">
        <f>E26*B29</f>
        <v>0</v>
      </c>
      <c r="F30" s="10">
        <f>F26*B29</f>
        <v>0</v>
      </c>
      <c r="G30" s="10">
        <f>G26*B29</f>
        <v>0</v>
      </c>
      <c r="H30" s="10">
        <f>H26*B29</f>
        <v>0</v>
      </c>
      <c r="I30" s="10">
        <f>I26*B29</f>
        <v>0</v>
      </c>
      <c r="J30" s="10">
        <f>J26*B29</f>
        <v>0</v>
      </c>
      <c r="K30" s="1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>
        <f>C30-C29</f>
        <v>0</v>
      </c>
      <c r="D31" s="10">
        <f>D30-D29</f>
        <v>-15</v>
      </c>
      <c r="E31" s="10">
        <f>E30-E29</f>
        <v>-61</v>
      </c>
      <c r="F31" s="10">
        <f>F30-F29</f>
        <v>-69</v>
      </c>
      <c r="G31" s="10">
        <f>G30-G29</f>
        <v>-77</v>
      </c>
      <c r="H31" s="10">
        <f>H30-H29</f>
        <v>-82</v>
      </c>
      <c r="I31" s="10">
        <f>I30-I29</f>
        <v>-88</v>
      </c>
      <c r="J31" s="10">
        <f>J30-J29</f>
        <v>-94</v>
      </c>
      <c r="K31" s="10">
        <f>K30-K29</f>
        <v>-100</v>
      </c>
      <c r="L31">
        <f>L30-L29</f>
        <v>0</v>
      </c>
      <c r="M31">
        <f>M30-M29</f>
        <v>0</v>
      </c>
    </row>
    <row r="32" spans="1:13" x14ac:dyDescent="0.25">
      <c r="A32" s="6" t="s">
        <v>636</v>
      </c>
    </row>
    <row r="33" spans="1:13" x14ac:dyDescent="0.25">
      <c r="A33" s="6"/>
      <c r="C33">
        <f>SUM(C26,C29)</f>
        <v>0</v>
      </c>
      <c r="D33" s="60">
        <f>SUM(D26,D29)</f>
        <v>10</v>
      </c>
      <c r="E33" s="60">
        <f>SUM(E26,E29)</f>
        <v>42</v>
      </c>
      <c r="F33" s="60">
        <f>SUM(F26,F29)</f>
        <v>50</v>
      </c>
      <c r="G33" s="60">
        <f>SUM(G26,G29)</f>
        <v>58</v>
      </c>
      <c r="H33" s="60">
        <f>SUM(H26,H29)</f>
        <v>63</v>
      </c>
      <c r="I33" s="60">
        <f>SUM(I26,I29)</f>
        <v>69</v>
      </c>
      <c r="J33" s="60">
        <f>SUM(J26,J29)</f>
        <v>75</v>
      </c>
      <c r="K33" s="60">
        <f>SUM(K26,K29)</f>
        <v>81</v>
      </c>
      <c r="L33">
        <f>SUM(L26,L29)</f>
        <v>0</v>
      </c>
      <c r="M33">
        <f>SUM(M26,M29)</f>
        <v>0</v>
      </c>
    </row>
    <row r="34" spans="1:13" x14ac:dyDescent="0.25">
      <c r="A34" s="6"/>
      <c r="C34">
        <f>C33-C32</f>
        <v>0</v>
      </c>
      <c r="D34" s="60">
        <f>D33-D32</f>
        <v>10</v>
      </c>
      <c r="E34" s="60">
        <f>E33-E32</f>
        <v>42</v>
      </c>
      <c r="F34" s="60">
        <f>F33-F32</f>
        <v>50</v>
      </c>
      <c r="G34" s="60">
        <f>G33-G32</f>
        <v>58</v>
      </c>
      <c r="H34" s="60">
        <f>H33-H32</f>
        <v>63</v>
      </c>
      <c r="I34" s="60">
        <f>I33-I32</f>
        <v>69</v>
      </c>
      <c r="J34" s="60">
        <f>J33-J32</f>
        <v>75</v>
      </c>
      <c r="K34" s="60">
        <f>K33-K32</f>
        <v>81</v>
      </c>
      <c r="L34">
        <f>L33-L32</f>
        <v>0</v>
      </c>
      <c r="M34">
        <f>M33-M32</f>
        <v>0</v>
      </c>
    </row>
    <row r="35" spans="1:13" x14ac:dyDescent="0.25">
      <c r="A35" s="7" t="s">
        <v>637</v>
      </c>
      <c r="E35" s="20">
        <v>2.4E-2</v>
      </c>
      <c r="F35" s="20">
        <v>3.5999999999999997E-2</v>
      </c>
      <c r="G35" s="20">
        <v>3.1E-2</v>
      </c>
      <c r="H35" s="20">
        <v>3.5999999999999997E-2</v>
      </c>
      <c r="I35" s="20">
        <v>3.7999999999999999E-2</v>
      </c>
      <c r="J35" s="20">
        <v>3.5999999999999997E-2</v>
      </c>
      <c r="K35" s="20">
        <v>3.4000000000000002E-2</v>
      </c>
    </row>
    <row r="36" spans="1:13" x14ac:dyDescent="0.25">
      <c r="A36" s="7" t="s">
        <v>638</v>
      </c>
      <c r="D36" s="20">
        <v>0.39800000000000002</v>
      </c>
      <c r="E36" s="20">
        <v>0.39500000000000002</v>
      </c>
      <c r="F36" s="20">
        <v>0.42299999999999999</v>
      </c>
      <c r="G36" s="20">
        <v>0.437</v>
      </c>
      <c r="H36" s="20">
        <v>0.438</v>
      </c>
      <c r="I36" s="20">
        <v>0.45</v>
      </c>
      <c r="J36" s="20">
        <v>0.46100000000000002</v>
      </c>
      <c r="K36" s="20">
        <v>0.47099999999999997</v>
      </c>
    </row>
    <row r="37" spans="1:13" x14ac:dyDescent="0.25">
      <c r="A37" s="7"/>
      <c r="C37">
        <f>SUM(C32,C35)</f>
        <v>0</v>
      </c>
      <c r="D37" s="20">
        <f>SUM(D32,D35)</f>
        <v>0</v>
      </c>
      <c r="E37" s="20">
        <f>SUM(E32,E35)</f>
        <v>2.4E-2</v>
      </c>
      <c r="F37" s="20">
        <f>SUM(F32,F35)</f>
        <v>3.5999999999999997E-2</v>
      </c>
      <c r="G37" s="20">
        <f>SUM(G32,G35)</f>
        <v>3.1E-2</v>
      </c>
      <c r="H37" s="20">
        <f>SUM(H32,H35)</f>
        <v>3.5999999999999997E-2</v>
      </c>
      <c r="I37" s="20">
        <f>SUM(I32,I35)</f>
        <v>3.7999999999999999E-2</v>
      </c>
      <c r="J37" s="20">
        <f>SUM(J32,J35)</f>
        <v>3.5999999999999997E-2</v>
      </c>
      <c r="K37" s="20">
        <f>SUM(K32,K35)</f>
        <v>3.4000000000000002E-2</v>
      </c>
      <c r="L37">
        <f>SUM(L32,L35)</f>
        <v>0</v>
      </c>
      <c r="M37">
        <f>SUM(M32,M35)</f>
        <v>0</v>
      </c>
    </row>
    <row r="38" spans="1:13" x14ac:dyDescent="0.25">
      <c r="A38" s="7"/>
      <c r="C38">
        <f>C37-C36</f>
        <v>0</v>
      </c>
      <c r="D38" s="20">
        <f>D37-D36</f>
        <v>-0.39800000000000002</v>
      </c>
      <c r="E38" s="20">
        <f>E37-E36</f>
        <v>-0.371</v>
      </c>
      <c r="F38" s="20">
        <f>F37-F36</f>
        <v>-0.38700000000000001</v>
      </c>
      <c r="G38" s="20">
        <f>G37-G36</f>
        <v>-0.40600000000000003</v>
      </c>
      <c r="H38" s="20">
        <f>H37-H36</f>
        <v>-0.40200000000000002</v>
      </c>
      <c r="I38" s="20">
        <f>I37-I36</f>
        <v>-0.41200000000000003</v>
      </c>
      <c r="J38" s="20">
        <f>J37-J36</f>
        <v>-0.42500000000000004</v>
      </c>
      <c r="K38" s="20">
        <f>K37-K36</f>
        <v>-0.43699999999999994</v>
      </c>
      <c r="L38">
        <f>L37-L36</f>
        <v>0</v>
      </c>
      <c r="M38">
        <f>M37-M36</f>
        <v>0</v>
      </c>
    </row>
    <row r="39" spans="1:13" x14ac:dyDescent="0.25">
      <c r="A39" s="7" t="s">
        <v>631</v>
      </c>
      <c r="D39" s="20">
        <v>3.5999999999999997E-2</v>
      </c>
      <c r="E39" s="20">
        <v>3.4000000000000002E-2</v>
      </c>
      <c r="F39" s="20">
        <v>3.5000000000000003E-2</v>
      </c>
      <c r="G39" s="20">
        <v>0.05</v>
      </c>
      <c r="H39" s="20">
        <v>5.5E-2</v>
      </c>
      <c r="I39" s="20">
        <v>5.2999999999999999E-2</v>
      </c>
      <c r="J39" s="20">
        <v>5.0999999999999997E-2</v>
      </c>
      <c r="K39" s="20">
        <v>4.9000000000000002E-2</v>
      </c>
    </row>
    <row r="40" spans="1:13" x14ac:dyDescent="0.25">
      <c r="A40" s="7" t="s">
        <v>639</v>
      </c>
      <c r="D40" s="20">
        <v>-0.14000000000000001</v>
      </c>
      <c r="E40" s="20">
        <v>-0.14799999999999999</v>
      </c>
      <c r="F40" s="20">
        <v>-0.158</v>
      </c>
      <c r="G40" s="20">
        <v>-0.16300000000000001</v>
      </c>
      <c r="H40" s="20">
        <v>-0.16700000000000001</v>
      </c>
      <c r="I40" s="20">
        <v>-0.16700000000000001</v>
      </c>
      <c r="J40" s="20">
        <v>-0.16700000000000001</v>
      </c>
      <c r="K40" s="20">
        <v>-0.16700000000000001</v>
      </c>
    </row>
    <row r="41" spans="1:13" x14ac:dyDescent="0.25">
      <c r="A41" s="7"/>
      <c r="C41">
        <f>C36*C39</f>
        <v>0</v>
      </c>
      <c r="D41" s="20">
        <f>D36*D39</f>
        <v>1.4328E-2</v>
      </c>
      <c r="E41" s="20">
        <f>E36*E39</f>
        <v>1.3430000000000001E-2</v>
      </c>
      <c r="F41" s="20">
        <f>F36*F39</f>
        <v>1.4805E-2</v>
      </c>
      <c r="G41" s="20">
        <f>G36*G39</f>
        <v>2.1850000000000001E-2</v>
      </c>
      <c r="H41" s="20">
        <f>H36*H39</f>
        <v>2.409E-2</v>
      </c>
      <c r="I41" s="20">
        <f>I36*I39</f>
        <v>2.385E-2</v>
      </c>
      <c r="J41" s="20">
        <f>J36*J39</f>
        <v>2.3511000000000001E-2</v>
      </c>
      <c r="K41" s="20">
        <f>K36*K39</f>
        <v>2.3078999999999999E-2</v>
      </c>
      <c r="L41">
        <f>L36*L39</f>
        <v>0</v>
      </c>
      <c r="M41">
        <f>M36*M39</f>
        <v>0</v>
      </c>
    </row>
    <row r="42" spans="1:13" x14ac:dyDescent="0.25">
      <c r="A42" s="7"/>
      <c r="C42">
        <f>C41-C40</f>
        <v>0</v>
      </c>
      <c r="D42" s="20">
        <f>D41-D40</f>
        <v>0.15432800000000002</v>
      </c>
      <c r="E42" s="20">
        <f>E41-E40</f>
        <v>0.16142999999999999</v>
      </c>
      <c r="F42" s="20">
        <f>F41-F40</f>
        <v>0.17280500000000001</v>
      </c>
      <c r="G42" s="20">
        <f>G41-G40</f>
        <v>0.18485000000000001</v>
      </c>
      <c r="H42" s="20">
        <f>H41-H40</f>
        <v>0.19109000000000001</v>
      </c>
      <c r="I42" s="20">
        <f>I41-I40</f>
        <v>0.19085000000000002</v>
      </c>
      <c r="J42" s="20">
        <f>J41-J40</f>
        <v>0.19051100000000001</v>
      </c>
      <c r="K42" s="20">
        <f>K41-K40</f>
        <v>0.190079</v>
      </c>
      <c r="L42">
        <f>L41-L40</f>
        <v>0</v>
      </c>
      <c r="M42">
        <f>M41-M40</f>
        <v>0</v>
      </c>
    </row>
    <row r="43" spans="1:13" x14ac:dyDescent="0.25">
      <c r="A43" s="7" t="s">
        <v>640</v>
      </c>
      <c r="D43" s="20">
        <v>6.4000000000000001E-2</v>
      </c>
      <c r="E43" s="20">
        <v>6.2E-2</v>
      </c>
      <c r="F43" s="20">
        <v>0.06</v>
      </c>
      <c r="G43" s="20">
        <v>5.7000000000000002E-2</v>
      </c>
      <c r="H43" s="20">
        <v>5.5E-2</v>
      </c>
      <c r="I43" s="20">
        <v>5.2999999999999999E-2</v>
      </c>
      <c r="J43" s="20">
        <v>5.0999999999999997E-2</v>
      </c>
      <c r="K43" s="20">
        <v>0.05</v>
      </c>
    </row>
    <row r="44" spans="1:13" x14ac:dyDescent="0.25">
      <c r="A44" s="6" t="s">
        <v>641</v>
      </c>
    </row>
    <row r="45" spans="1:13" x14ac:dyDescent="0.25">
      <c r="A45" s="7" t="s">
        <v>642</v>
      </c>
      <c r="D45" s="40">
        <v>0.107</v>
      </c>
      <c r="E45" s="40">
        <v>0.53600000000000003</v>
      </c>
      <c r="F45" s="40">
        <v>0.96399999999999997</v>
      </c>
      <c r="G45" s="40">
        <v>1</v>
      </c>
      <c r="H45" s="40">
        <v>1</v>
      </c>
      <c r="I45" s="40">
        <v>1</v>
      </c>
      <c r="J45" s="40">
        <v>1</v>
      </c>
      <c r="K45" s="40">
        <v>1</v>
      </c>
    </row>
    <row r="46" spans="1:13" x14ac:dyDescent="0.25">
      <c r="A46" s="7" t="s">
        <v>643</v>
      </c>
      <c r="D46" s="10">
        <v>8</v>
      </c>
      <c r="E46" s="10">
        <v>167</v>
      </c>
      <c r="F46" s="10">
        <v>312</v>
      </c>
      <c r="G46" s="10">
        <v>333</v>
      </c>
      <c r="H46" s="10">
        <v>346</v>
      </c>
      <c r="I46" s="10">
        <v>359</v>
      </c>
      <c r="J46" s="10">
        <v>371</v>
      </c>
      <c r="K46" s="10">
        <v>384</v>
      </c>
    </row>
    <row r="47" spans="1:13" x14ac:dyDescent="0.25">
      <c r="A47" s="7" t="s">
        <v>644</v>
      </c>
      <c r="D47" s="19">
        <v>-36</v>
      </c>
      <c r="E47" s="19">
        <v>-151</v>
      </c>
      <c r="F47" s="19">
        <v>-149</v>
      </c>
      <c r="G47" s="19">
        <v>-150</v>
      </c>
      <c r="H47" s="19">
        <v>-155</v>
      </c>
      <c r="I47" s="19">
        <v>-158</v>
      </c>
      <c r="J47" s="19">
        <v>-160</v>
      </c>
      <c r="K47" s="19">
        <v>-162</v>
      </c>
    </row>
    <row r="48" spans="1:13" x14ac:dyDescent="0.25">
      <c r="A48" s="7" t="s">
        <v>645</v>
      </c>
      <c r="D48" s="19">
        <v>-1</v>
      </c>
      <c r="E48" s="19">
        <v>-20</v>
      </c>
      <c r="F48" s="19">
        <v>-36</v>
      </c>
      <c r="G48" s="19">
        <v>-38</v>
      </c>
      <c r="H48" s="19">
        <v>-39</v>
      </c>
      <c r="I48" s="19">
        <v>-39</v>
      </c>
      <c r="J48" s="19">
        <v>-40</v>
      </c>
      <c r="K48" s="19">
        <v>-41</v>
      </c>
    </row>
    <row r="49" spans="1:11" x14ac:dyDescent="0.25">
      <c r="A49" s="7" t="s">
        <v>646</v>
      </c>
      <c r="D49" s="7" t="s">
        <v>90</v>
      </c>
      <c r="E49" s="7" t="s">
        <v>90</v>
      </c>
      <c r="F49" s="7" t="s">
        <v>90</v>
      </c>
      <c r="G49" s="7" t="s">
        <v>90</v>
      </c>
      <c r="H49" s="7" t="s">
        <v>90</v>
      </c>
      <c r="I49" s="7" t="s">
        <v>90</v>
      </c>
      <c r="J49" s="7" t="s">
        <v>90</v>
      </c>
      <c r="K49" s="7" t="s">
        <v>90</v>
      </c>
    </row>
    <row r="50" spans="1:11" x14ac:dyDescent="0.25">
      <c r="A50" s="6" t="s">
        <v>630</v>
      </c>
      <c r="D50" s="31">
        <v>-29</v>
      </c>
      <c r="E50" s="31">
        <v>-4</v>
      </c>
      <c r="F50" s="13">
        <v>126</v>
      </c>
      <c r="G50" s="13">
        <v>146</v>
      </c>
      <c r="H50" s="13">
        <v>151</v>
      </c>
      <c r="I50" s="13">
        <v>161</v>
      </c>
      <c r="J50" s="13">
        <v>171</v>
      </c>
      <c r="K50" s="13">
        <v>181</v>
      </c>
    </row>
    <row r="51" spans="1:11" x14ac:dyDescent="0.25">
      <c r="A51" s="11" t="s">
        <v>647</v>
      </c>
      <c r="D51" s="41">
        <v>58</v>
      </c>
      <c r="E51" s="41">
        <v>127</v>
      </c>
      <c r="F51" s="41">
        <v>10</v>
      </c>
      <c r="G51" s="11" t="s">
        <v>90</v>
      </c>
      <c r="H51" s="11" t="s">
        <v>90</v>
      </c>
      <c r="I51" s="11" t="s">
        <v>90</v>
      </c>
      <c r="J51" s="11" t="s">
        <v>90</v>
      </c>
      <c r="K51" s="11" t="s">
        <v>90</v>
      </c>
    </row>
    <row r="52" spans="1:11" x14ac:dyDescent="0.25">
      <c r="A52" s="7" t="s">
        <v>631</v>
      </c>
      <c r="D52" s="19">
        <v>0</v>
      </c>
      <c r="E52" s="19">
        <v>-6</v>
      </c>
      <c r="F52" s="19">
        <v>-11</v>
      </c>
      <c r="G52" s="19">
        <v>-17</v>
      </c>
      <c r="H52" s="19">
        <v>-19</v>
      </c>
      <c r="I52" s="19">
        <v>-19</v>
      </c>
      <c r="J52" s="19">
        <v>-19</v>
      </c>
      <c r="K52" s="19">
        <v>-19</v>
      </c>
    </row>
    <row r="53" spans="1:11" x14ac:dyDescent="0.25">
      <c r="A53" s="7"/>
      <c r="D53" s="19"/>
      <c r="E53" s="19"/>
      <c r="F53" s="19"/>
      <c r="G53" s="19"/>
      <c r="H53" s="19"/>
      <c r="I53" s="19"/>
      <c r="J53" s="19"/>
      <c r="K53" s="19"/>
    </row>
    <row r="54" spans="1:11" x14ac:dyDescent="0.25">
      <c r="A54" s="7"/>
      <c r="D54" s="19"/>
      <c r="E54" s="19"/>
      <c r="F54" s="19"/>
      <c r="G54" s="19"/>
      <c r="H54" s="19"/>
      <c r="I54" s="19"/>
      <c r="J54" s="19"/>
      <c r="K54" s="19"/>
    </row>
    <row r="55" spans="1:11" x14ac:dyDescent="0.25">
      <c r="A55" s="6" t="s">
        <v>209</v>
      </c>
      <c r="D55" s="31">
        <v>-29</v>
      </c>
      <c r="E55" s="31">
        <v>-10</v>
      </c>
      <c r="F55" s="13">
        <v>116</v>
      </c>
      <c r="G55" s="13">
        <v>129</v>
      </c>
      <c r="H55" s="13">
        <v>132</v>
      </c>
      <c r="I55" s="13">
        <v>142</v>
      </c>
      <c r="J55" s="13">
        <v>152</v>
      </c>
      <c r="K55" s="13">
        <v>162</v>
      </c>
    </row>
    <row r="56" spans="1:11" x14ac:dyDescent="0.25">
      <c r="A56" s="6"/>
      <c r="D56" s="31"/>
      <c r="E56" s="31"/>
      <c r="F56" s="13"/>
      <c r="G56" s="13"/>
      <c r="H56" s="13"/>
      <c r="I56" s="13"/>
      <c r="J56" s="13"/>
      <c r="K56" s="13"/>
    </row>
    <row r="57" spans="1:11" x14ac:dyDescent="0.25">
      <c r="A57" s="6"/>
      <c r="D57" s="31"/>
      <c r="E57" s="31"/>
      <c r="F57" s="13"/>
      <c r="G57" s="13"/>
      <c r="H57" s="13"/>
      <c r="I57" s="13"/>
      <c r="J57" s="13"/>
      <c r="K57" s="13"/>
    </row>
    <row r="58" spans="1:11" x14ac:dyDescent="0.25">
      <c r="A58" s="7" t="s">
        <v>212</v>
      </c>
      <c r="C58" s="20">
        <v>0.39500000000000002</v>
      </c>
      <c r="D58" s="10">
        <v>11</v>
      </c>
      <c r="E58" s="10">
        <v>4</v>
      </c>
      <c r="F58" s="19">
        <v>-46</v>
      </c>
      <c r="G58" s="19">
        <v>-51</v>
      </c>
      <c r="H58" s="19">
        <v>-52</v>
      </c>
      <c r="I58" s="19">
        <v>-56</v>
      </c>
      <c r="J58" s="19">
        <v>-60</v>
      </c>
      <c r="K58" s="19">
        <v>-64</v>
      </c>
    </row>
    <row r="59" spans="1:11" x14ac:dyDescent="0.25">
      <c r="A59" s="7"/>
      <c r="C59" s="20"/>
      <c r="D59" s="10"/>
      <c r="E59" s="10"/>
      <c r="F59" s="19"/>
      <c r="G59" s="19"/>
      <c r="H59" s="19"/>
      <c r="I59" s="19"/>
      <c r="J59" s="19"/>
      <c r="K59" s="19"/>
    </row>
    <row r="60" spans="1:11" x14ac:dyDescent="0.25">
      <c r="A60" s="7"/>
      <c r="C60" s="20"/>
      <c r="D60" s="10"/>
      <c r="E60" s="10"/>
      <c r="F60" s="19"/>
      <c r="G60" s="19"/>
      <c r="H60" s="19"/>
      <c r="I60" s="19"/>
      <c r="J60" s="19"/>
      <c r="K60" s="19"/>
    </row>
    <row r="61" spans="1:11" x14ac:dyDescent="0.25">
      <c r="A61" s="6" t="s">
        <v>213</v>
      </c>
      <c r="D61" s="31">
        <v>-18</v>
      </c>
      <c r="E61" s="31">
        <v>-6</v>
      </c>
      <c r="F61" s="13">
        <v>70</v>
      </c>
      <c r="G61" s="13">
        <v>78</v>
      </c>
      <c r="H61" s="13">
        <v>80</v>
      </c>
      <c r="I61" s="13">
        <v>86</v>
      </c>
      <c r="J61" s="13">
        <v>92</v>
      </c>
      <c r="K61" s="13">
        <v>98</v>
      </c>
    </row>
    <row r="62" spans="1:11" x14ac:dyDescent="0.25">
      <c r="A62" s="6"/>
      <c r="D62" s="31"/>
      <c r="E62" s="31"/>
      <c r="F62" s="13"/>
      <c r="G62" s="13"/>
      <c r="H62" s="13"/>
      <c r="I62" s="13"/>
      <c r="J62" s="13"/>
      <c r="K62" s="13"/>
    </row>
    <row r="63" spans="1:11" x14ac:dyDescent="0.25">
      <c r="A63" s="6"/>
      <c r="D63" s="31"/>
      <c r="E63" s="31"/>
      <c r="F63" s="13"/>
      <c r="G63" s="13"/>
      <c r="H63" s="13"/>
      <c r="I63" s="13"/>
      <c r="J63" s="13"/>
      <c r="K63" s="13"/>
    </row>
    <row r="64" spans="1:11" x14ac:dyDescent="0.25">
      <c r="A64" s="7" t="s">
        <v>111</v>
      </c>
      <c r="D64" s="10">
        <v>0</v>
      </c>
      <c r="E64" s="10">
        <v>6</v>
      </c>
      <c r="F64" s="10">
        <v>11</v>
      </c>
      <c r="G64" s="10">
        <v>17</v>
      </c>
      <c r="H64" s="10">
        <v>19</v>
      </c>
      <c r="I64" s="10">
        <v>19</v>
      </c>
      <c r="J64" s="10">
        <v>19</v>
      </c>
      <c r="K64" s="10">
        <v>19</v>
      </c>
    </row>
    <row r="65" spans="1:11" x14ac:dyDescent="0.25">
      <c r="A65" s="7"/>
      <c r="D65" s="10"/>
      <c r="E65" s="10"/>
      <c r="F65" s="10"/>
      <c r="G65" s="10"/>
      <c r="H65" s="10"/>
      <c r="I65" s="10"/>
      <c r="J65" s="10"/>
      <c r="K65" s="10"/>
    </row>
    <row r="66" spans="1:11" x14ac:dyDescent="0.25">
      <c r="A66" s="7"/>
      <c r="D66" s="10"/>
      <c r="E66" s="10"/>
      <c r="F66" s="10"/>
      <c r="G66" s="10"/>
      <c r="H66" s="10"/>
      <c r="I66" s="10"/>
      <c r="J66" s="10"/>
      <c r="K66" s="10"/>
    </row>
    <row r="67" spans="1:11" x14ac:dyDescent="0.25">
      <c r="A67" s="7" t="s">
        <v>634</v>
      </c>
      <c r="D67" s="10">
        <v>1</v>
      </c>
      <c r="E67" s="10">
        <v>20</v>
      </c>
      <c r="F67" s="10">
        <v>23</v>
      </c>
      <c r="G67" s="10">
        <v>4</v>
      </c>
      <c r="H67" s="10">
        <v>2</v>
      </c>
      <c r="I67" s="10">
        <v>2</v>
      </c>
      <c r="J67" s="10">
        <v>2</v>
      </c>
      <c r="K67" s="10">
        <v>2</v>
      </c>
    </row>
    <row r="68" spans="1:11" x14ac:dyDescent="0.25">
      <c r="A68" s="7" t="s">
        <v>113</v>
      </c>
      <c r="D68" s="19">
        <v>-1</v>
      </c>
      <c r="E68" s="19">
        <v>-10</v>
      </c>
      <c r="F68" s="19">
        <v>-19</v>
      </c>
      <c r="G68" s="19">
        <v>-19</v>
      </c>
      <c r="H68" s="19">
        <v>-19</v>
      </c>
      <c r="I68" s="19">
        <v>-19</v>
      </c>
      <c r="J68" s="19">
        <v>-19</v>
      </c>
      <c r="K68" s="19">
        <v>-19</v>
      </c>
    </row>
    <row r="69" spans="1:11" x14ac:dyDescent="0.25">
      <c r="A69" s="6" t="s">
        <v>648</v>
      </c>
      <c r="D69" s="31">
        <v>-17</v>
      </c>
      <c r="E69" s="13">
        <v>9</v>
      </c>
      <c r="F69" s="13">
        <v>85</v>
      </c>
      <c r="G69" s="13">
        <v>79</v>
      </c>
      <c r="H69" s="13">
        <v>82</v>
      </c>
      <c r="I69" s="13">
        <v>88</v>
      </c>
      <c r="J69" s="13">
        <v>94</v>
      </c>
      <c r="K69" s="13">
        <v>100</v>
      </c>
    </row>
    <row r="70" spans="1:11" x14ac:dyDescent="0.25">
      <c r="A70" s="6" t="s">
        <v>649</v>
      </c>
      <c r="D70" s="10">
        <v>15</v>
      </c>
      <c r="E70" s="10">
        <v>61</v>
      </c>
      <c r="F70" s="10">
        <v>69</v>
      </c>
      <c r="G70" s="10">
        <v>77</v>
      </c>
      <c r="H70" s="10">
        <v>82</v>
      </c>
      <c r="I70" s="10">
        <v>88</v>
      </c>
      <c r="J70" s="10">
        <v>94</v>
      </c>
      <c r="K70" s="10">
        <v>100</v>
      </c>
    </row>
    <row r="71" spans="1:11" x14ac:dyDescent="0.25">
      <c r="A71" s="6" t="s">
        <v>650</v>
      </c>
      <c r="D71" s="19">
        <v>-17</v>
      </c>
      <c r="E71" s="10">
        <v>9</v>
      </c>
      <c r="F71" s="10">
        <v>85</v>
      </c>
      <c r="G71" s="10">
        <v>79</v>
      </c>
      <c r="H71" s="10">
        <v>82</v>
      </c>
      <c r="I71" s="10">
        <v>88</v>
      </c>
      <c r="J71" s="10">
        <v>94</v>
      </c>
      <c r="K71" s="10">
        <v>100</v>
      </c>
    </row>
    <row r="72" spans="1:11" x14ac:dyDescent="0.25">
      <c r="A72" s="6" t="s">
        <v>651</v>
      </c>
      <c r="D72" s="13">
        <v>32</v>
      </c>
      <c r="E72" s="13">
        <v>51</v>
      </c>
      <c r="F72" s="31">
        <v>-15</v>
      </c>
      <c r="G72" s="31">
        <v>-2</v>
      </c>
      <c r="H72" s="6" t="s">
        <v>90</v>
      </c>
      <c r="I72" s="6" t="s">
        <v>90</v>
      </c>
      <c r="J72" s="6" t="s">
        <v>90</v>
      </c>
      <c r="K72" s="6" t="s">
        <v>90</v>
      </c>
    </row>
    <row r="73" spans="1:11" x14ac:dyDescent="0.25">
      <c r="A73" s="7" t="s">
        <v>115</v>
      </c>
      <c r="C73" s="20">
        <v>0.11</v>
      </c>
      <c r="D73" s="23">
        <v>0.98740000000000006</v>
      </c>
      <c r="E73" s="23">
        <v>0.92530000000000001</v>
      </c>
      <c r="F73" s="23">
        <v>0.83360000000000001</v>
      </c>
      <c r="G73" s="24">
        <v>0.751</v>
      </c>
      <c r="H73" s="23">
        <v>0.67659999999999998</v>
      </c>
      <c r="I73" s="23">
        <v>0.60950000000000004</v>
      </c>
      <c r="J73" s="23">
        <v>0.54910000000000003</v>
      </c>
      <c r="K73" s="23">
        <v>0.49469999999999997</v>
      </c>
    </row>
    <row r="74" spans="1:11" x14ac:dyDescent="0.25">
      <c r="A74" s="6" t="s">
        <v>116</v>
      </c>
      <c r="D74" s="13">
        <v>31</v>
      </c>
      <c r="E74" s="13">
        <v>47</v>
      </c>
      <c r="F74" s="31">
        <v>-13</v>
      </c>
      <c r="G74" s="31">
        <v>-1</v>
      </c>
      <c r="H74" s="6" t="s">
        <v>90</v>
      </c>
      <c r="I74" s="6" t="s">
        <v>90</v>
      </c>
      <c r="J74" s="6" t="s">
        <v>90</v>
      </c>
      <c r="K74" s="6" t="s">
        <v>90</v>
      </c>
    </row>
    <row r="75" spans="1:11" x14ac:dyDescent="0.25">
      <c r="A75" s="7" t="s">
        <v>216</v>
      </c>
      <c r="D75" s="10">
        <v>65</v>
      </c>
      <c r="H75" s="7" t="s">
        <v>652</v>
      </c>
    </row>
    <row r="76" spans="1:11" x14ac:dyDescent="0.25">
      <c r="A76" s="7" t="s">
        <v>121</v>
      </c>
      <c r="B76" s="7" t="s">
        <v>288</v>
      </c>
      <c r="D76" s="10">
        <v>16</v>
      </c>
      <c r="F76" s="10">
        <v>80</v>
      </c>
      <c r="G76" s="15">
        <v>0.25</v>
      </c>
      <c r="H76" s="15">
        <v>0.33</v>
      </c>
      <c r="I76" s="15">
        <v>0.5</v>
      </c>
      <c r="J76" s="15">
        <v>0.75</v>
      </c>
    </row>
    <row r="77" spans="1:11" x14ac:dyDescent="0.25">
      <c r="A77" s="6" t="s">
        <v>219</v>
      </c>
      <c r="D77" s="13">
        <v>80</v>
      </c>
      <c r="F77" s="15">
        <v>0</v>
      </c>
      <c r="G77" s="10">
        <v>82</v>
      </c>
      <c r="H77" s="10">
        <v>82</v>
      </c>
      <c r="I77" s="10">
        <v>104</v>
      </c>
      <c r="J77" s="10">
        <v>104</v>
      </c>
    </row>
    <row r="78" spans="1:11" x14ac:dyDescent="0.25">
      <c r="F78" s="15">
        <v>0.05</v>
      </c>
      <c r="G78" s="10">
        <v>85</v>
      </c>
      <c r="H78" s="10">
        <v>85</v>
      </c>
      <c r="I78" s="10">
        <v>107</v>
      </c>
      <c r="J78" s="10">
        <v>107</v>
      </c>
    </row>
    <row r="79" spans="1:11" x14ac:dyDescent="0.25">
      <c r="E79" s="7" t="s">
        <v>653</v>
      </c>
      <c r="F79" s="15">
        <v>0.1</v>
      </c>
      <c r="G79" s="10">
        <v>99</v>
      </c>
      <c r="H79" s="10">
        <v>99</v>
      </c>
      <c r="I79" s="10">
        <v>121</v>
      </c>
      <c r="J79" s="10">
        <v>121</v>
      </c>
    </row>
    <row r="80" spans="1:11" x14ac:dyDescent="0.25">
      <c r="E80" s="7" t="s">
        <v>654</v>
      </c>
      <c r="F80" s="15">
        <v>0.15</v>
      </c>
      <c r="G80" s="10">
        <v>123</v>
      </c>
      <c r="H80" s="10">
        <v>123</v>
      </c>
      <c r="I80" s="10">
        <v>134</v>
      </c>
      <c r="J80" s="10">
        <v>134</v>
      </c>
    </row>
    <row r="81" spans="1:12" x14ac:dyDescent="0.25">
      <c r="F81" s="15">
        <v>0.2</v>
      </c>
      <c r="G81" s="10">
        <v>147</v>
      </c>
      <c r="H81" s="10">
        <v>147</v>
      </c>
      <c r="I81" s="10">
        <v>148</v>
      </c>
      <c r="J81" s="10">
        <v>148</v>
      </c>
    </row>
    <row r="82" spans="1:12" x14ac:dyDescent="0.25">
      <c r="A82" s="9" t="s">
        <v>221</v>
      </c>
    </row>
    <row r="83" spans="1:12" x14ac:dyDescent="0.25">
      <c r="A83" s="7" t="s">
        <v>655</v>
      </c>
      <c r="D83" s="20">
        <v>0.60199999999999998</v>
      </c>
      <c r="E83" s="20">
        <v>0.60499999999999998</v>
      </c>
      <c r="F83" s="20">
        <v>0.57699999999999996</v>
      </c>
      <c r="G83" s="20">
        <v>0.56299999999999994</v>
      </c>
      <c r="H83" s="20">
        <v>0.56200000000000006</v>
      </c>
      <c r="I83" s="20">
        <v>0.55000000000000004</v>
      </c>
      <c r="J83" s="20">
        <v>0.53900000000000003</v>
      </c>
      <c r="K83" s="20">
        <v>0.52900000000000003</v>
      </c>
    </row>
    <row r="84" spans="1:12" x14ac:dyDescent="0.25">
      <c r="A84" s="7" t="s">
        <v>656</v>
      </c>
      <c r="D84" s="20">
        <v>0.8</v>
      </c>
      <c r="E84" s="20">
        <v>0.8</v>
      </c>
      <c r="F84" s="20">
        <v>0.8</v>
      </c>
      <c r="G84" s="20">
        <v>0.8</v>
      </c>
      <c r="H84" s="20">
        <v>0.8</v>
      </c>
      <c r="I84" s="20">
        <v>0.8</v>
      </c>
      <c r="J84" s="20">
        <v>0.8</v>
      </c>
      <c r="K84" s="20">
        <v>0.8</v>
      </c>
    </row>
    <row r="85" spans="1:12" x14ac:dyDescent="0.25">
      <c r="A85" s="7" t="s">
        <v>657</v>
      </c>
      <c r="D85" s="20">
        <v>0.2</v>
      </c>
      <c r="E85" s="20">
        <v>0.2</v>
      </c>
      <c r="F85" s="20">
        <v>0.2</v>
      </c>
      <c r="G85" s="20">
        <v>0.2</v>
      </c>
      <c r="H85" s="20">
        <v>0.2</v>
      </c>
      <c r="I85" s="20">
        <v>0.2</v>
      </c>
      <c r="J85" s="20">
        <v>0.2</v>
      </c>
      <c r="K85" s="20">
        <v>0.2</v>
      </c>
    </row>
    <row r="86" spans="1:12" x14ac:dyDescent="0.25">
      <c r="A86" s="7" t="s">
        <v>658</v>
      </c>
      <c r="C86" s="20">
        <v>0.05</v>
      </c>
      <c r="D86" s="7" t="s">
        <v>71</v>
      </c>
      <c r="E86" s="7" t="s">
        <v>71</v>
      </c>
      <c r="F86" s="7" t="s">
        <v>71</v>
      </c>
      <c r="G86" s="7" t="s">
        <v>71</v>
      </c>
      <c r="H86" s="7" t="s">
        <v>71</v>
      </c>
      <c r="I86" s="7" t="s">
        <v>71</v>
      </c>
      <c r="J86" s="7" t="s">
        <v>71</v>
      </c>
      <c r="K86" s="7" t="s">
        <v>71</v>
      </c>
    </row>
    <row r="87" spans="1:12" x14ac:dyDescent="0.25">
      <c r="A87" s="7" t="s">
        <v>631</v>
      </c>
      <c r="D87" s="20">
        <v>3.5999999999999997E-2</v>
      </c>
      <c r="E87" s="20">
        <v>3.4000000000000002E-2</v>
      </c>
      <c r="F87" s="20">
        <v>3.5000000000000003E-2</v>
      </c>
      <c r="G87" s="20">
        <v>0.05</v>
      </c>
      <c r="H87" s="20">
        <v>5.5E-2</v>
      </c>
      <c r="I87" s="20">
        <v>5.2999999999999999E-2</v>
      </c>
      <c r="J87" s="20">
        <v>5.0999999999999997E-2</v>
      </c>
      <c r="K87" s="20">
        <v>4.9000000000000002E-2</v>
      </c>
    </row>
    <row r="88" spans="1:12" x14ac:dyDescent="0.25">
      <c r="A88" s="7" t="s">
        <v>659</v>
      </c>
      <c r="D88" s="21">
        <v>-0.14000000000000001</v>
      </c>
      <c r="E88" s="20">
        <v>-0.14799999999999999</v>
      </c>
      <c r="F88" s="20">
        <v>-0.158</v>
      </c>
      <c r="G88" s="20">
        <v>-0.16300000000000001</v>
      </c>
      <c r="H88" s="20">
        <v>-0.16700000000000001</v>
      </c>
      <c r="I88" s="20">
        <v>-0.16700000000000001</v>
      </c>
      <c r="J88" s="20">
        <v>-0.16700000000000001</v>
      </c>
      <c r="K88" s="20">
        <v>-0.16700000000000001</v>
      </c>
    </row>
    <row r="89" spans="1:12" x14ac:dyDescent="0.25">
      <c r="A89" s="7" t="s">
        <v>660</v>
      </c>
      <c r="D89" s="20">
        <v>6.4000000000000001E-2</v>
      </c>
      <c r="E89" s="20">
        <v>6.2E-2</v>
      </c>
      <c r="F89" s="20">
        <v>0.06</v>
      </c>
      <c r="G89" s="20">
        <v>5.7000000000000002E-2</v>
      </c>
      <c r="H89" s="20">
        <v>5.5E-2</v>
      </c>
      <c r="I89" s="20">
        <v>5.2999999999999999E-2</v>
      </c>
      <c r="J89" s="20">
        <v>5.0999999999999997E-2</v>
      </c>
      <c r="K89" s="20">
        <v>0.05</v>
      </c>
    </row>
    <row r="90" spans="1:12" x14ac:dyDescent="0.25">
      <c r="A90" s="16" t="s">
        <v>127</v>
      </c>
    </row>
    <row r="91" spans="1:12" x14ac:dyDescent="0.25">
      <c r="A91" s="7" t="s">
        <v>661</v>
      </c>
    </row>
    <row r="92" spans="1:12" x14ac:dyDescent="0.25">
      <c r="A92" s="7" t="s">
        <v>291</v>
      </c>
    </row>
    <row r="93" spans="1:12" x14ac:dyDescent="0.25">
      <c r="A93" s="16" t="s">
        <v>61</v>
      </c>
    </row>
    <row r="94" spans="1:12" x14ac:dyDescent="0.25">
      <c r="A94" s="9" t="s">
        <v>62</v>
      </c>
      <c r="L94" s="2" t="s">
        <v>63</v>
      </c>
    </row>
    <row r="95" spans="1:12" x14ac:dyDescent="0.25">
      <c r="F95" s="5" t="s">
        <v>6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2:M95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K2" s="7" t="s">
        <v>662</v>
      </c>
    </row>
    <row r="3" spans="1:13" x14ac:dyDescent="0.25">
      <c r="A3" s="6" t="s">
        <v>9</v>
      </c>
    </row>
    <row r="4" spans="1:13" x14ac:dyDescent="0.25">
      <c r="A4" s="6" t="s">
        <v>663</v>
      </c>
    </row>
    <row r="5" spans="1:13" x14ac:dyDescent="0.25">
      <c r="A5" s="6" t="s">
        <v>11</v>
      </c>
    </row>
    <row r="6" spans="1:13" x14ac:dyDescent="0.25">
      <c r="C6" s="9" t="s">
        <v>95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92</v>
      </c>
      <c r="C9" s="10">
        <v>22</v>
      </c>
      <c r="D9" s="10">
        <v>92</v>
      </c>
      <c r="E9" s="10">
        <v>98</v>
      </c>
      <c r="F9" s="10">
        <v>103</v>
      </c>
      <c r="G9" s="10">
        <v>106</v>
      </c>
      <c r="H9" s="10">
        <v>110</v>
      </c>
      <c r="I9" s="10">
        <v>116</v>
      </c>
      <c r="J9" s="10">
        <v>123</v>
      </c>
    </row>
    <row r="10" spans="1:13" x14ac:dyDescent="0.25">
      <c r="A10" s="7" t="s">
        <v>629</v>
      </c>
      <c r="C10" s="19">
        <v>-15</v>
      </c>
      <c r="D10" s="19">
        <v>-64</v>
      </c>
      <c r="E10" s="19">
        <v>-66</v>
      </c>
      <c r="F10" s="19">
        <v>-68</v>
      </c>
      <c r="G10" s="19">
        <v>-69</v>
      </c>
      <c r="H10" s="19">
        <v>-71</v>
      </c>
      <c r="I10" s="19">
        <v>-73</v>
      </c>
      <c r="J10" s="19">
        <v>-76</v>
      </c>
    </row>
    <row r="11" spans="1:13" x14ac:dyDescent="0.25">
      <c r="A11" s="7"/>
      <c r="C11" s="19">
        <f>SUM(C8:C9)</f>
        <v>22</v>
      </c>
      <c r="D11" s="19">
        <f>SUM(D8:D9)</f>
        <v>92</v>
      </c>
      <c r="E11" s="19">
        <f>SUM(E8:E9)</f>
        <v>98</v>
      </c>
      <c r="F11" s="19">
        <f>SUM(F8:F9)</f>
        <v>103</v>
      </c>
      <c r="G11" s="19">
        <f>SUM(G8:G9)</f>
        <v>106</v>
      </c>
      <c r="H11" s="19">
        <f>SUM(H8:H9)</f>
        <v>110</v>
      </c>
      <c r="I11" s="19">
        <f>SUM(I8:I9)</f>
        <v>116</v>
      </c>
      <c r="J11" s="19">
        <f>SUM(J8:J9)</f>
        <v>123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C12" s="19">
        <f>C11-C10</f>
        <v>37</v>
      </c>
      <c r="D12" s="19">
        <f>D11-D10</f>
        <v>156</v>
      </c>
      <c r="E12" s="19">
        <f>E11-E10</f>
        <v>164</v>
      </c>
      <c r="F12" s="19">
        <f>F11-F10</f>
        <v>171</v>
      </c>
      <c r="G12" s="19">
        <f>G11-G10</f>
        <v>175</v>
      </c>
      <c r="H12" s="19">
        <f>H11-H10</f>
        <v>181</v>
      </c>
      <c r="I12" s="19">
        <f>I11-I10</f>
        <v>189</v>
      </c>
      <c r="J12" s="19">
        <f>J11-J10</f>
        <v>199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630</v>
      </c>
      <c r="C13" s="10">
        <v>7</v>
      </c>
      <c r="D13" s="10">
        <v>28</v>
      </c>
      <c r="E13" s="10">
        <v>32</v>
      </c>
      <c r="F13" s="10">
        <v>35</v>
      </c>
      <c r="G13" s="10">
        <v>36</v>
      </c>
      <c r="H13" s="10">
        <v>40</v>
      </c>
      <c r="I13" s="10">
        <v>43</v>
      </c>
      <c r="J13" s="10">
        <v>47</v>
      </c>
    </row>
    <row r="14" spans="1:13" x14ac:dyDescent="0.25">
      <c r="A14" s="7" t="s">
        <v>631</v>
      </c>
      <c r="C14" s="19">
        <v>-1</v>
      </c>
      <c r="D14" s="19">
        <v>-3</v>
      </c>
      <c r="E14" s="19">
        <v>-3</v>
      </c>
      <c r="F14" s="19">
        <v>-5</v>
      </c>
      <c r="G14" s="19">
        <v>-6</v>
      </c>
      <c r="H14" s="19">
        <v>-6</v>
      </c>
      <c r="I14" s="19">
        <v>-6</v>
      </c>
      <c r="J14" s="19">
        <v>-6</v>
      </c>
    </row>
    <row r="15" spans="1:13" x14ac:dyDescent="0.25">
      <c r="A15" s="7"/>
      <c r="C15" s="19">
        <f>C10*C13</f>
        <v>-105</v>
      </c>
      <c r="D15" s="19">
        <f>D10*D13</f>
        <v>-1792</v>
      </c>
      <c r="E15" s="19">
        <f>E10*E13</f>
        <v>-2112</v>
      </c>
      <c r="F15" s="19">
        <f>F10*F13</f>
        <v>-2380</v>
      </c>
      <c r="G15" s="19">
        <f>G10*G13</f>
        <v>-2484</v>
      </c>
      <c r="H15" s="19">
        <f>H10*H13</f>
        <v>-2840</v>
      </c>
      <c r="I15" s="19">
        <f>I10*I13</f>
        <v>-3139</v>
      </c>
      <c r="J15" s="19">
        <f>J10*J13</f>
        <v>-3572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C16" s="19">
        <f>C15-C14</f>
        <v>-104</v>
      </c>
      <c r="D16" s="19">
        <f>D15-D14</f>
        <v>-1789</v>
      </c>
      <c r="E16" s="19">
        <f>E15-E14</f>
        <v>-2109</v>
      </c>
      <c r="F16" s="19">
        <f>F15-F14</f>
        <v>-2375</v>
      </c>
      <c r="G16" s="19">
        <f>G15-G14</f>
        <v>-2478</v>
      </c>
      <c r="H16" s="19">
        <f>H15-H14</f>
        <v>-2834</v>
      </c>
      <c r="I16" s="19">
        <f>I15-I14</f>
        <v>-3133</v>
      </c>
      <c r="J16" s="19">
        <f>J15-J14</f>
        <v>-3566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209</v>
      </c>
      <c r="C17" s="10">
        <v>6</v>
      </c>
      <c r="D17" s="10">
        <v>25</v>
      </c>
      <c r="E17" s="10">
        <v>29</v>
      </c>
      <c r="F17" s="10">
        <v>30</v>
      </c>
      <c r="G17" s="10">
        <v>31</v>
      </c>
      <c r="H17" s="10">
        <v>34</v>
      </c>
      <c r="I17" s="10">
        <v>37</v>
      </c>
      <c r="J17" s="10">
        <v>41</v>
      </c>
    </row>
    <row r="18" spans="1:13" x14ac:dyDescent="0.25">
      <c r="A18" s="7" t="s">
        <v>632</v>
      </c>
      <c r="B18" s="20">
        <v>0.39500000000000002</v>
      </c>
      <c r="C18" s="19">
        <v>-2</v>
      </c>
      <c r="D18" s="19">
        <v>-10</v>
      </c>
      <c r="E18" s="19">
        <v>-11</v>
      </c>
      <c r="F18" s="19">
        <v>-12</v>
      </c>
      <c r="G18" s="19">
        <v>-12</v>
      </c>
      <c r="H18" s="19">
        <v>-13</v>
      </c>
      <c r="I18" s="19">
        <v>-15</v>
      </c>
      <c r="J18" s="19">
        <v>-16</v>
      </c>
    </row>
    <row r="19" spans="1:13" x14ac:dyDescent="0.25">
      <c r="A19" s="7" t="s">
        <v>633</v>
      </c>
      <c r="C19" s="10">
        <v>4</v>
      </c>
      <c r="D19" s="10">
        <v>15</v>
      </c>
      <c r="E19" s="10">
        <v>18</v>
      </c>
      <c r="F19" s="10">
        <v>18</v>
      </c>
      <c r="G19" s="10">
        <v>18</v>
      </c>
      <c r="H19" s="10">
        <v>20</v>
      </c>
      <c r="I19" s="10">
        <v>22</v>
      </c>
      <c r="J19" s="10">
        <v>25</v>
      </c>
    </row>
    <row r="20" spans="1:13" x14ac:dyDescent="0.25">
      <c r="A20" s="7" t="s">
        <v>111</v>
      </c>
      <c r="C20" s="10">
        <v>1</v>
      </c>
      <c r="D20" s="10">
        <v>3</v>
      </c>
      <c r="E20" s="10">
        <v>3</v>
      </c>
      <c r="F20" s="10">
        <v>5</v>
      </c>
      <c r="G20" s="10">
        <v>6</v>
      </c>
      <c r="H20" s="10">
        <v>6</v>
      </c>
      <c r="I20" s="10">
        <v>6</v>
      </c>
      <c r="J20" s="10">
        <v>6</v>
      </c>
    </row>
    <row r="21" spans="1:13" x14ac:dyDescent="0.25">
      <c r="A21" s="7"/>
      <c r="C21" s="10">
        <f>SUM(C18,C19)</f>
        <v>2</v>
      </c>
      <c r="D21" s="10">
        <f>SUM(D18,D19)</f>
        <v>5</v>
      </c>
      <c r="E21" s="10">
        <f>SUM(E18,E19)</f>
        <v>7</v>
      </c>
      <c r="F21" s="10">
        <f>SUM(F18,F19)</f>
        <v>6</v>
      </c>
      <c r="G21" s="10">
        <f>SUM(G18,G19)</f>
        <v>6</v>
      </c>
      <c r="H21" s="10">
        <f>SUM(H18,H19)</f>
        <v>7</v>
      </c>
      <c r="I21" s="10">
        <f>SUM(I18,I19)</f>
        <v>7</v>
      </c>
      <c r="J21" s="10">
        <f>SUM(J18,J19)</f>
        <v>9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7"/>
      <c r="C22" s="10">
        <f>C21-C20</f>
        <v>1</v>
      </c>
      <c r="D22" s="10">
        <f>D21-D20</f>
        <v>2</v>
      </c>
      <c r="E22" s="10">
        <f>E21-E20</f>
        <v>4</v>
      </c>
      <c r="F22" s="10">
        <f>F21-F20</f>
        <v>1</v>
      </c>
      <c r="G22" s="10">
        <f>G21-G20</f>
        <v>0</v>
      </c>
      <c r="H22" s="10">
        <f>H21-H20</f>
        <v>1</v>
      </c>
      <c r="I22" s="10">
        <f>I21-I20</f>
        <v>1</v>
      </c>
      <c r="J22" s="10">
        <f>J21-J20</f>
        <v>3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634</v>
      </c>
      <c r="C23" s="42">
        <v>-0.6</v>
      </c>
      <c r="D23" s="10">
        <v>1</v>
      </c>
      <c r="E23" s="10">
        <v>1</v>
      </c>
      <c r="F23" s="10">
        <v>1</v>
      </c>
      <c r="G23" s="10">
        <v>0</v>
      </c>
      <c r="H23" s="10">
        <v>1</v>
      </c>
      <c r="I23" s="10">
        <v>1</v>
      </c>
      <c r="J23" s="10">
        <v>1</v>
      </c>
    </row>
    <row r="24" spans="1:13" x14ac:dyDescent="0.25">
      <c r="A24" s="7"/>
      <c r="C24" s="42">
        <f>C10*B23</f>
        <v>0</v>
      </c>
      <c r="D24" s="10">
        <f>D10*B23</f>
        <v>0</v>
      </c>
      <c r="E24" s="10">
        <f>E10*B23</f>
        <v>0</v>
      </c>
      <c r="F24" s="10">
        <f>F10*B23</f>
        <v>0</v>
      </c>
      <c r="G24" s="10">
        <f>G10*B23</f>
        <v>0</v>
      </c>
      <c r="H24" s="10">
        <f>H10*B23</f>
        <v>0</v>
      </c>
      <c r="I24" s="10">
        <f>I10*B23</f>
        <v>0</v>
      </c>
      <c r="J24" s="10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 s="42">
        <f>C24-C23</f>
        <v>0.6</v>
      </c>
      <c r="D25" s="10">
        <f>D24-D23</f>
        <v>-1</v>
      </c>
      <c r="E25" s="10">
        <f>E24-E23</f>
        <v>-1</v>
      </c>
      <c r="F25" s="10">
        <f>F24-F23</f>
        <v>-1</v>
      </c>
      <c r="G25" s="10">
        <f>G24-G23</f>
        <v>0</v>
      </c>
      <c r="H25" s="10">
        <f>H24-H23</f>
        <v>-1</v>
      </c>
      <c r="I25" s="10">
        <f>I24-I23</f>
        <v>-1</v>
      </c>
      <c r="J25" s="10">
        <f>J24-J23</f>
        <v>-1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7" t="s">
        <v>113</v>
      </c>
      <c r="C26" s="19">
        <v>-1</v>
      </c>
      <c r="D26" s="19">
        <v>-6</v>
      </c>
      <c r="E26" s="19">
        <v>-6</v>
      </c>
      <c r="F26" s="19">
        <v>-6</v>
      </c>
      <c r="G26" s="19">
        <v>-6</v>
      </c>
      <c r="H26" s="19">
        <v>-6</v>
      </c>
      <c r="I26" s="19">
        <v>-6</v>
      </c>
      <c r="J26" s="19">
        <v>-6</v>
      </c>
    </row>
    <row r="27" spans="1:13" x14ac:dyDescent="0.25">
      <c r="A27" s="7"/>
      <c r="C27" s="19">
        <f>SUM(C20,C23)</f>
        <v>0.4</v>
      </c>
      <c r="D27" s="19">
        <f>SUM(D20,D23)</f>
        <v>4</v>
      </c>
      <c r="E27" s="19">
        <f>SUM(E20,E23)</f>
        <v>4</v>
      </c>
      <c r="F27" s="19">
        <f>SUM(F20,F23)</f>
        <v>6</v>
      </c>
      <c r="G27" s="19">
        <f>SUM(G20,G23)</f>
        <v>6</v>
      </c>
      <c r="H27" s="19">
        <f>SUM(H20,H23)</f>
        <v>7</v>
      </c>
      <c r="I27" s="19">
        <f>SUM(I20,I23)</f>
        <v>7</v>
      </c>
      <c r="J27" s="19">
        <f>SUM(J20,J23)</f>
        <v>7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7"/>
      <c r="C28" s="19">
        <f>C27-C26</f>
        <v>1.4</v>
      </c>
      <c r="D28" s="19">
        <f>D27-D26</f>
        <v>10</v>
      </c>
      <c r="E28" s="19">
        <f>E27-E26</f>
        <v>10</v>
      </c>
      <c r="F28" s="19">
        <f>F27-F26</f>
        <v>12</v>
      </c>
      <c r="G28" s="19">
        <f>G27-G26</f>
        <v>12</v>
      </c>
      <c r="H28" s="19">
        <f>H27-H26</f>
        <v>13</v>
      </c>
      <c r="I28" s="19">
        <f>I27-I26</f>
        <v>13</v>
      </c>
      <c r="J28" s="19">
        <f>J27-J26</f>
        <v>13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635</v>
      </c>
      <c r="C29" s="10">
        <v>2</v>
      </c>
      <c r="D29" s="10">
        <v>13</v>
      </c>
      <c r="E29" s="10">
        <v>16</v>
      </c>
      <c r="F29" s="10">
        <v>18</v>
      </c>
      <c r="G29" s="10">
        <v>19</v>
      </c>
      <c r="H29" s="10">
        <v>21</v>
      </c>
      <c r="I29" s="10">
        <v>23</v>
      </c>
      <c r="J29" s="10">
        <v>26</v>
      </c>
    </row>
    <row r="30" spans="1:13" x14ac:dyDescent="0.25">
      <c r="A30" s="7"/>
      <c r="C30" s="10">
        <f>C26*B29</f>
        <v>0</v>
      </c>
      <c r="D30" s="10">
        <f>D26*B29</f>
        <v>0</v>
      </c>
      <c r="E30" s="10">
        <f>E26*B29</f>
        <v>0</v>
      </c>
      <c r="F30" s="10">
        <f>F26*B29</f>
        <v>0</v>
      </c>
      <c r="G30" s="10">
        <f>G26*B29</f>
        <v>0</v>
      </c>
      <c r="H30" s="10">
        <f>H26*B29</f>
        <v>0</v>
      </c>
      <c r="I30" s="10">
        <f>I26*B29</f>
        <v>0</v>
      </c>
      <c r="J30" s="1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 s="10">
        <f>C30-C29</f>
        <v>-2</v>
      </c>
      <c r="D31" s="10">
        <f>D30-D29</f>
        <v>-13</v>
      </c>
      <c r="E31" s="10">
        <f>E30-E29</f>
        <v>-16</v>
      </c>
      <c r="F31" s="10">
        <f>F30-F29</f>
        <v>-18</v>
      </c>
      <c r="G31" s="10">
        <f>G30-G29</f>
        <v>-19</v>
      </c>
      <c r="H31" s="10">
        <f>H30-H29</f>
        <v>-21</v>
      </c>
      <c r="I31" s="10">
        <f>I30-I29</f>
        <v>-23</v>
      </c>
      <c r="J31" s="10">
        <f>J30-J29</f>
        <v>-26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6" t="s">
        <v>636</v>
      </c>
    </row>
    <row r="33" spans="1:13" x14ac:dyDescent="0.25">
      <c r="A33" s="6"/>
      <c r="C33" s="60">
        <f>SUM(C26,C29)</f>
        <v>1</v>
      </c>
      <c r="D33" s="60">
        <f>SUM(D26,D29)</f>
        <v>7</v>
      </c>
      <c r="E33" s="60">
        <f>SUM(E26,E29)</f>
        <v>10</v>
      </c>
      <c r="F33" s="60">
        <f>SUM(F26,F29)</f>
        <v>12</v>
      </c>
      <c r="G33" s="60">
        <f>SUM(G26,G29)</f>
        <v>13</v>
      </c>
      <c r="H33" s="60">
        <f>SUM(H26,H29)</f>
        <v>15</v>
      </c>
      <c r="I33" s="60">
        <f>SUM(I26,I29)</f>
        <v>17</v>
      </c>
      <c r="J33" s="60">
        <f>SUM(J26,J29)</f>
        <v>20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6"/>
      <c r="C34" s="60">
        <f>C33-C32</f>
        <v>1</v>
      </c>
      <c r="D34" s="60">
        <f>D33-D32</f>
        <v>7</v>
      </c>
      <c r="E34" s="60">
        <f>E33-E32</f>
        <v>10</v>
      </c>
      <c r="F34" s="60">
        <f>F33-F32</f>
        <v>12</v>
      </c>
      <c r="G34" s="60">
        <f>G33-G32</f>
        <v>13</v>
      </c>
      <c r="H34" s="60">
        <f>H33-H32</f>
        <v>15</v>
      </c>
      <c r="I34" s="60">
        <f>I33-I32</f>
        <v>17</v>
      </c>
      <c r="J34" s="60">
        <f>J33-J32</f>
        <v>20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637</v>
      </c>
      <c r="D35" s="20">
        <v>4.2999999999999997E-2</v>
      </c>
      <c r="E35" s="20">
        <v>6.6000000000000003E-2</v>
      </c>
      <c r="F35" s="20">
        <v>4.5999999999999999E-2</v>
      </c>
      <c r="G35" s="20">
        <v>2.8000000000000001E-2</v>
      </c>
      <c r="H35" s="20">
        <v>4.7E-2</v>
      </c>
      <c r="I35" s="20">
        <v>5.1999999999999998E-2</v>
      </c>
      <c r="J35" s="20">
        <v>5.6000000000000001E-2</v>
      </c>
    </row>
    <row r="36" spans="1:13" x14ac:dyDescent="0.25">
      <c r="A36" s="7" t="s">
        <v>638</v>
      </c>
      <c r="C36" s="20">
        <v>0.30399999999999999</v>
      </c>
      <c r="D36" s="20">
        <v>0.30299999999999999</v>
      </c>
      <c r="E36" s="20">
        <v>0.32900000000000001</v>
      </c>
      <c r="F36" s="20">
        <v>0.34100000000000003</v>
      </c>
      <c r="G36" s="20">
        <v>0.34499999999999997</v>
      </c>
      <c r="H36" s="20">
        <v>0.35799999999999998</v>
      </c>
      <c r="I36" s="20">
        <v>0.37</v>
      </c>
      <c r="J36" s="20">
        <v>0.38300000000000001</v>
      </c>
    </row>
    <row r="37" spans="1:13" x14ac:dyDescent="0.25">
      <c r="A37" s="7"/>
      <c r="C37" s="20">
        <f>SUM(C32,C35)</f>
        <v>0</v>
      </c>
      <c r="D37" s="20">
        <f>SUM(D32,D35)</f>
        <v>4.2999999999999997E-2</v>
      </c>
      <c r="E37" s="20">
        <f>SUM(E32,E35)</f>
        <v>6.6000000000000003E-2</v>
      </c>
      <c r="F37" s="20">
        <f>SUM(F32,F35)</f>
        <v>4.5999999999999999E-2</v>
      </c>
      <c r="G37" s="20">
        <f>SUM(G32,G35)</f>
        <v>2.8000000000000001E-2</v>
      </c>
      <c r="H37" s="20">
        <f>SUM(H32,H35)</f>
        <v>4.7E-2</v>
      </c>
      <c r="I37" s="20">
        <f>SUM(I32,I35)</f>
        <v>5.1999999999999998E-2</v>
      </c>
      <c r="J37" s="20">
        <f>SUM(J32,J35)</f>
        <v>5.6000000000000001E-2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7"/>
      <c r="C38" s="20">
        <f>C37-C36</f>
        <v>-0.30399999999999999</v>
      </c>
      <c r="D38" s="20">
        <f>D37-D36</f>
        <v>-0.26</v>
      </c>
      <c r="E38" s="20">
        <f>E37-E36</f>
        <v>-0.26300000000000001</v>
      </c>
      <c r="F38" s="20">
        <f>F37-F36</f>
        <v>-0.29500000000000004</v>
      </c>
      <c r="G38" s="20">
        <f>G37-G36</f>
        <v>-0.31699999999999995</v>
      </c>
      <c r="H38" s="20">
        <f>H37-H36</f>
        <v>-0.311</v>
      </c>
      <c r="I38" s="20">
        <f>I37-I36</f>
        <v>-0.318</v>
      </c>
      <c r="J38" s="20">
        <f>J37-J36</f>
        <v>-0.32700000000000001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631</v>
      </c>
      <c r="C39" s="20">
        <v>3.5999999999999997E-2</v>
      </c>
      <c r="D39" s="20">
        <v>3.4000000000000002E-2</v>
      </c>
      <c r="E39" s="20">
        <v>3.5000000000000003E-2</v>
      </c>
      <c r="F39" s="20">
        <v>0.05</v>
      </c>
      <c r="G39" s="20">
        <v>5.5E-2</v>
      </c>
      <c r="H39" s="20">
        <v>5.2999999999999999E-2</v>
      </c>
      <c r="I39" s="20">
        <v>5.0999999999999997E-2</v>
      </c>
      <c r="J39" s="20">
        <v>4.9000000000000002E-2</v>
      </c>
    </row>
    <row r="40" spans="1:13" x14ac:dyDescent="0.25">
      <c r="A40" s="7" t="s">
        <v>639</v>
      </c>
      <c r="C40" s="20">
        <v>-0.14000000000000001</v>
      </c>
      <c r="D40" s="20">
        <v>-0.14799999999999999</v>
      </c>
      <c r="E40" s="20">
        <v>-0.158</v>
      </c>
      <c r="F40" s="20">
        <v>-0.16300000000000001</v>
      </c>
      <c r="G40" s="20">
        <v>-0.16700000000000001</v>
      </c>
      <c r="H40" s="20">
        <v>-0.16700000000000001</v>
      </c>
      <c r="I40" s="20">
        <v>-0.16700000000000001</v>
      </c>
      <c r="J40" s="20">
        <v>-0.16700000000000001</v>
      </c>
    </row>
    <row r="41" spans="1:13" x14ac:dyDescent="0.25">
      <c r="A41" s="7"/>
      <c r="C41" s="20">
        <f>C36*C39</f>
        <v>1.0943999999999999E-2</v>
      </c>
      <c r="D41" s="20">
        <f>D36*D39</f>
        <v>1.0302E-2</v>
      </c>
      <c r="E41" s="20">
        <f>E36*E39</f>
        <v>1.1515000000000001E-2</v>
      </c>
      <c r="F41" s="20">
        <f>F36*F39</f>
        <v>1.7050000000000003E-2</v>
      </c>
      <c r="G41" s="20">
        <f>G36*G39</f>
        <v>1.8974999999999999E-2</v>
      </c>
      <c r="H41" s="20">
        <f>H36*H39</f>
        <v>1.8973999999999998E-2</v>
      </c>
      <c r="I41" s="20">
        <f>I36*I39</f>
        <v>1.8869999999999998E-2</v>
      </c>
      <c r="J41" s="20">
        <f>J36*J39</f>
        <v>1.8767000000000002E-2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7"/>
      <c r="C42" s="20">
        <f>C41-C40</f>
        <v>0.15094400000000002</v>
      </c>
      <c r="D42" s="20">
        <f>D41-D40</f>
        <v>0.158302</v>
      </c>
      <c r="E42" s="20">
        <f>E41-E40</f>
        <v>0.169515</v>
      </c>
      <c r="F42" s="20">
        <f>F41-F40</f>
        <v>0.18005000000000002</v>
      </c>
      <c r="G42" s="20">
        <f>G41-G40</f>
        <v>0.185975</v>
      </c>
      <c r="H42" s="20">
        <f>H41-H40</f>
        <v>0.185974</v>
      </c>
      <c r="I42" s="20">
        <f>I41-I40</f>
        <v>0.18587000000000001</v>
      </c>
      <c r="J42" s="20">
        <f>J41-J40</f>
        <v>0.18576700000000002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7" t="s">
        <v>640</v>
      </c>
      <c r="C43" s="20">
        <v>6.4000000000000001E-2</v>
      </c>
      <c r="D43" s="20">
        <v>6.2E-2</v>
      </c>
      <c r="E43" s="20">
        <v>0.06</v>
      </c>
      <c r="F43" s="20">
        <v>5.7000000000000002E-2</v>
      </c>
      <c r="G43" s="20">
        <v>5.5E-2</v>
      </c>
      <c r="H43" s="20">
        <v>5.2999999999999999E-2</v>
      </c>
      <c r="I43" s="20">
        <v>5.0999999999999997E-2</v>
      </c>
      <c r="J43" s="20">
        <v>0.05</v>
      </c>
    </row>
    <row r="44" spans="1:13" x14ac:dyDescent="0.25">
      <c r="A44" s="6" t="s">
        <v>664</v>
      </c>
    </row>
    <row r="45" spans="1:13" x14ac:dyDescent="0.25">
      <c r="A45" s="7" t="s">
        <v>642</v>
      </c>
      <c r="C45" s="40">
        <v>0.107</v>
      </c>
      <c r="D45" s="40">
        <v>0.53600000000000003</v>
      </c>
      <c r="E45" s="40">
        <v>0.96399999999999997</v>
      </c>
      <c r="F45" s="40">
        <v>1</v>
      </c>
      <c r="G45" s="40">
        <v>1</v>
      </c>
      <c r="H45" s="40">
        <v>1</v>
      </c>
      <c r="I45" s="40">
        <v>1</v>
      </c>
      <c r="J45" s="40">
        <v>1</v>
      </c>
    </row>
    <row r="46" spans="1:13" x14ac:dyDescent="0.25">
      <c r="A46" s="7" t="s">
        <v>643</v>
      </c>
      <c r="C46" s="10">
        <v>2</v>
      </c>
      <c r="D46" s="10">
        <v>49</v>
      </c>
      <c r="E46" s="10">
        <v>95</v>
      </c>
      <c r="F46" s="10">
        <v>103</v>
      </c>
      <c r="G46" s="10">
        <v>106</v>
      </c>
      <c r="H46" s="10">
        <v>110</v>
      </c>
      <c r="I46" s="10">
        <v>116</v>
      </c>
      <c r="J46" s="10">
        <v>123</v>
      </c>
    </row>
    <row r="47" spans="1:13" x14ac:dyDescent="0.25">
      <c r="A47" s="7" t="s">
        <v>644</v>
      </c>
      <c r="C47" s="19">
        <v>-12</v>
      </c>
      <c r="D47" s="19">
        <v>-51</v>
      </c>
      <c r="E47" s="19">
        <v>-53</v>
      </c>
      <c r="F47" s="19">
        <v>-54</v>
      </c>
      <c r="G47" s="19">
        <v>-55</v>
      </c>
      <c r="H47" s="19">
        <v>-57</v>
      </c>
      <c r="I47" s="19">
        <v>-59</v>
      </c>
      <c r="J47" s="19">
        <v>-61</v>
      </c>
    </row>
    <row r="48" spans="1:13" x14ac:dyDescent="0.25">
      <c r="A48" s="7" t="s">
        <v>645</v>
      </c>
      <c r="C48" s="19">
        <v>0</v>
      </c>
      <c r="D48" s="19">
        <v>-7</v>
      </c>
      <c r="E48" s="19">
        <v>-13</v>
      </c>
      <c r="F48" s="19">
        <v>-14</v>
      </c>
      <c r="G48" s="19">
        <v>-14</v>
      </c>
      <c r="H48" s="19">
        <v>-14</v>
      </c>
      <c r="I48" s="19">
        <v>-15</v>
      </c>
      <c r="J48" s="19">
        <v>-15</v>
      </c>
    </row>
    <row r="49" spans="1:10" x14ac:dyDescent="0.25">
      <c r="A49" s="7" t="s">
        <v>646</v>
      </c>
      <c r="C49" s="7" t="s">
        <v>90</v>
      </c>
      <c r="D49" s="7" t="s">
        <v>90</v>
      </c>
      <c r="E49" s="7" t="s">
        <v>90</v>
      </c>
      <c r="F49" s="7" t="s">
        <v>90</v>
      </c>
      <c r="G49" s="7" t="s">
        <v>90</v>
      </c>
      <c r="H49" s="7" t="s">
        <v>90</v>
      </c>
      <c r="I49" s="7" t="s">
        <v>90</v>
      </c>
      <c r="J49" s="7" t="s">
        <v>90</v>
      </c>
    </row>
    <row r="50" spans="1:10" x14ac:dyDescent="0.25">
      <c r="A50" s="6" t="s">
        <v>630</v>
      </c>
      <c r="C50" s="31">
        <v>-10</v>
      </c>
      <c r="D50" s="31">
        <v>-9</v>
      </c>
      <c r="E50" s="13">
        <v>29</v>
      </c>
      <c r="F50" s="13">
        <v>35</v>
      </c>
      <c r="G50" s="13">
        <v>36</v>
      </c>
      <c r="H50" s="13">
        <v>40</v>
      </c>
      <c r="I50" s="13">
        <v>43</v>
      </c>
      <c r="J50" s="13">
        <v>47</v>
      </c>
    </row>
    <row r="51" spans="1:10" x14ac:dyDescent="0.25">
      <c r="A51" s="11" t="s">
        <v>647</v>
      </c>
      <c r="C51" s="41">
        <v>17</v>
      </c>
      <c r="D51" s="41">
        <v>37</v>
      </c>
      <c r="E51" s="41">
        <v>3</v>
      </c>
      <c r="F51" s="11" t="s">
        <v>90</v>
      </c>
      <c r="G51" s="11" t="s">
        <v>90</v>
      </c>
      <c r="H51" s="11" t="s">
        <v>90</v>
      </c>
      <c r="I51" s="11" t="s">
        <v>90</v>
      </c>
      <c r="J51" s="11" t="s">
        <v>90</v>
      </c>
    </row>
    <row r="52" spans="1:10" x14ac:dyDescent="0.25">
      <c r="A52" s="7" t="s">
        <v>631</v>
      </c>
      <c r="C52" s="19">
        <v>0</v>
      </c>
      <c r="D52" s="19">
        <v>-2</v>
      </c>
      <c r="E52" s="19">
        <v>-3</v>
      </c>
      <c r="F52" s="19">
        <v>-5</v>
      </c>
      <c r="G52" s="19">
        <v>-6</v>
      </c>
      <c r="H52" s="19">
        <v>-6</v>
      </c>
      <c r="I52" s="19">
        <v>-6</v>
      </c>
      <c r="J52" s="19">
        <v>-6</v>
      </c>
    </row>
    <row r="53" spans="1:10" x14ac:dyDescent="0.25">
      <c r="A53" s="7"/>
      <c r="C53" s="19"/>
      <c r="D53" s="19"/>
      <c r="E53" s="19"/>
      <c r="F53" s="19"/>
      <c r="G53" s="19"/>
      <c r="H53" s="19"/>
      <c r="I53" s="19"/>
      <c r="J53" s="19"/>
    </row>
    <row r="54" spans="1:10" x14ac:dyDescent="0.25">
      <c r="A54" s="7"/>
      <c r="C54" s="19"/>
      <c r="D54" s="19"/>
      <c r="E54" s="19"/>
      <c r="F54" s="19"/>
      <c r="G54" s="19"/>
      <c r="H54" s="19"/>
      <c r="I54" s="19"/>
      <c r="J54" s="19"/>
    </row>
    <row r="55" spans="1:10" x14ac:dyDescent="0.25">
      <c r="A55" s="6" t="s">
        <v>209</v>
      </c>
      <c r="C55" s="31">
        <v>-10</v>
      </c>
      <c r="D55" s="31">
        <v>-11</v>
      </c>
      <c r="E55" s="13">
        <v>26</v>
      </c>
      <c r="F55" s="13">
        <v>30</v>
      </c>
      <c r="G55" s="13">
        <v>31</v>
      </c>
      <c r="H55" s="13">
        <v>34</v>
      </c>
      <c r="I55" s="13">
        <v>37</v>
      </c>
      <c r="J55" s="13">
        <v>41</v>
      </c>
    </row>
    <row r="56" spans="1:10" x14ac:dyDescent="0.25">
      <c r="A56" s="6"/>
      <c r="C56" s="31"/>
      <c r="D56" s="31"/>
      <c r="E56" s="13"/>
      <c r="F56" s="13"/>
      <c r="G56" s="13"/>
      <c r="H56" s="13"/>
      <c r="I56" s="13"/>
      <c r="J56" s="13"/>
    </row>
    <row r="57" spans="1:10" x14ac:dyDescent="0.25">
      <c r="A57" s="6"/>
      <c r="C57" s="31"/>
      <c r="D57" s="31"/>
      <c r="E57" s="13"/>
      <c r="F57" s="13"/>
      <c r="G57" s="13"/>
      <c r="H57" s="13"/>
      <c r="I57" s="13"/>
      <c r="J57" s="13"/>
    </row>
    <row r="58" spans="1:10" x14ac:dyDescent="0.25">
      <c r="A58" s="7" t="s">
        <v>212</v>
      </c>
      <c r="B58" s="20">
        <v>0.39500000000000002</v>
      </c>
      <c r="C58" s="10">
        <v>4</v>
      </c>
      <c r="D58" s="10">
        <v>4</v>
      </c>
      <c r="E58" s="19">
        <v>-10</v>
      </c>
      <c r="F58" s="19">
        <v>-12</v>
      </c>
      <c r="G58" s="19">
        <v>-12</v>
      </c>
      <c r="H58" s="19">
        <v>-13</v>
      </c>
      <c r="I58" s="19">
        <v>-15</v>
      </c>
      <c r="J58" s="19">
        <v>-16</v>
      </c>
    </row>
    <row r="59" spans="1:10" x14ac:dyDescent="0.25">
      <c r="A59" s="7"/>
      <c r="B59" s="20"/>
      <c r="C59" s="10"/>
      <c r="D59" s="10"/>
      <c r="E59" s="19"/>
      <c r="F59" s="19"/>
      <c r="G59" s="19"/>
      <c r="H59" s="19"/>
      <c r="I59" s="19"/>
      <c r="J59" s="19"/>
    </row>
    <row r="60" spans="1:10" x14ac:dyDescent="0.25">
      <c r="A60" s="7"/>
      <c r="B60" s="20"/>
      <c r="C60" s="10"/>
      <c r="D60" s="10"/>
      <c r="E60" s="19"/>
      <c r="F60" s="19"/>
      <c r="G60" s="19"/>
      <c r="H60" s="19"/>
      <c r="I60" s="19"/>
      <c r="J60" s="19"/>
    </row>
    <row r="61" spans="1:10" x14ac:dyDescent="0.25">
      <c r="A61" s="6" t="s">
        <v>213</v>
      </c>
      <c r="C61" s="31">
        <v>-6</v>
      </c>
      <c r="D61" s="31">
        <v>-6</v>
      </c>
      <c r="E61" s="13">
        <v>16</v>
      </c>
      <c r="F61" s="13">
        <v>18</v>
      </c>
      <c r="G61" s="13">
        <v>18</v>
      </c>
      <c r="H61" s="13">
        <v>20</v>
      </c>
      <c r="I61" s="13">
        <v>22</v>
      </c>
      <c r="J61" s="13">
        <v>25</v>
      </c>
    </row>
    <row r="62" spans="1:10" x14ac:dyDescent="0.25">
      <c r="A62" s="6"/>
      <c r="C62" s="31"/>
      <c r="D62" s="31"/>
      <c r="E62" s="13"/>
      <c r="F62" s="13"/>
      <c r="G62" s="13"/>
      <c r="H62" s="13"/>
      <c r="I62" s="13"/>
      <c r="J62" s="13"/>
    </row>
    <row r="63" spans="1:10" x14ac:dyDescent="0.25">
      <c r="A63" s="6"/>
      <c r="C63" s="31"/>
      <c r="D63" s="31"/>
      <c r="E63" s="13"/>
      <c r="F63" s="13"/>
      <c r="G63" s="13"/>
      <c r="H63" s="13"/>
      <c r="I63" s="13"/>
      <c r="J63" s="13"/>
    </row>
    <row r="64" spans="1:10" x14ac:dyDescent="0.25">
      <c r="A64" s="7" t="s">
        <v>111</v>
      </c>
      <c r="C64" s="10">
        <v>0</v>
      </c>
      <c r="D64" s="10">
        <v>2</v>
      </c>
      <c r="E64" s="10">
        <v>3</v>
      </c>
      <c r="F64" s="10">
        <v>5</v>
      </c>
      <c r="G64" s="10">
        <v>6</v>
      </c>
      <c r="H64" s="10">
        <v>6</v>
      </c>
      <c r="I64" s="10">
        <v>6</v>
      </c>
      <c r="J64" s="10">
        <v>6</v>
      </c>
    </row>
    <row r="65" spans="1:10" x14ac:dyDescent="0.25">
      <c r="A65" s="7"/>
      <c r="C65" s="10"/>
      <c r="D65" s="10"/>
      <c r="E65" s="10"/>
      <c r="F65" s="10"/>
      <c r="G65" s="10"/>
      <c r="H65" s="10"/>
      <c r="I65" s="10"/>
      <c r="J65" s="10"/>
    </row>
    <row r="66" spans="1:10" x14ac:dyDescent="0.25">
      <c r="A66" s="7"/>
      <c r="C66" s="10"/>
      <c r="D66" s="10"/>
      <c r="E66" s="10"/>
      <c r="F66" s="10"/>
      <c r="G66" s="10"/>
      <c r="H66" s="10"/>
      <c r="I66" s="10"/>
      <c r="J66" s="10"/>
    </row>
    <row r="67" spans="1:10" x14ac:dyDescent="0.25">
      <c r="A67" s="7" t="s">
        <v>634</v>
      </c>
      <c r="C67" s="10">
        <v>0</v>
      </c>
      <c r="D67" s="10">
        <v>6</v>
      </c>
      <c r="E67" s="10">
        <v>7</v>
      </c>
      <c r="F67" s="10">
        <v>1</v>
      </c>
      <c r="G67" s="10">
        <v>0</v>
      </c>
      <c r="H67" s="10">
        <v>1</v>
      </c>
      <c r="I67" s="10">
        <v>1</v>
      </c>
      <c r="J67" s="10">
        <v>1</v>
      </c>
    </row>
    <row r="68" spans="1:10" x14ac:dyDescent="0.25">
      <c r="A68" s="7" t="s">
        <v>113</v>
      </c>
      <c r="C68" s="19">
        <v>0</v>
      </c>
      <c r="D68" s="19">
        <v>-3</v>
      </c>
      <c r="E68" s="19">
        <v>-6</v>
      </c>
      <c r="F68" s="19">
        <v>-6</v>
      </c>
      <c r="G68" s="19">
        <v>-6</v>
      </c>
      <c r="H68" s="19">
        <v>-6</v>
      </c>
      <c r="I68" s="19">
        <v>-6</v>
      </c>
      <c r="J68" s="19">
        <v>-6</v>
      </c>
    </row>
    <row r="69" spans="1:10" x14ac:dyDescent="0.25">
      <c r="A69" s="6" t="s">
        <v>648</v>
      </c>
      <c r="C69" s="31">
        <v>-6</v>
      </c>
      <c r="D69" s="31">
        <v>-2</v>
      </c>
      <c r="E69" s="13">
        <v>20</v>
      </c>
      <c r="F69" s="13">
        <v>18</v>
      </c>
      <c r="G69" s="13">
        <v>19</v>
      </c>
      <c r="H69" s="13">
        <v>21</v>
      </c>
      <c r="I69" s="13">
        <v>23</v>
      </c>
      <c r="J69" s="13">
        <v>26</v>
      </c>
    </row>
    <row r="70" spans="1:10" x14ac:dyDescent="0.25">
      <c r="A70" s="6" t="s">
        <v>649</v>
      </c>
      <c r="C70" s="10">
        <v>2</v>
      </c>
      <c r="D70" s="10">
        <v>13</v>
      </c>
      <c r="E70" s="10">
        <v>16</v>
      </c>
      <c r="F70" s="10">
        <v>18</v>
      </c>
      <c r="G70" s="10">
        <v>19</v>
      </c>
      <c r="H70" s="10">
        <v>21</v>
      </c>
      <c r="I70" s="10">
        <v>23</v>
      </c>
      <c r="J70" s="10">
        <v>26</v>
      </c>
    </row>
    <row r="71" spans="1:10" x14ac:dyDescent="0.25">
      <c r="A71" s="6" t="s">
        <v>650</v>
      </c>
      <c r="C71" s="19">
        <v>-6</v>
      </c>
      <c r="D71" s="19">
        <v>-2</v>
      </c>
      <c r="E71" s="10">
        <v>20</v>
      </c>
      <c r="F71" s="10">
        <v>18</v>
      </c>
      <c r="G71" s="10">
        <v>19</v>
      </c>
      <c r="H71" s="10">
        <v>21</v>
      </c>
      <c r="I71" s="10">
        <v>23</v>
      </c>
      <c r="J71" s="10">
        <v>26</v>
      </c>
    </row>
    <row r="72" spans="1:10" x14ac:dyDescent="0.25">
      <c r="A72" s="6" t="s">
        <v>651</v>
      </c>
      <c r="C72" s="13">
        <v>8</v>
      </c>
      <c r="D72" s="13">
        <v>15</v>
      </c>
      <c r="E72" s="31">
        <v>-5</v>
      </c>
      <c r="F72" s="6" t="s">
        <v>90</v>
      </c>
      <c r="G72" s="6" t="s">
        <v>90</v>
      </c>
      <c r="H72" s="6" t="s">
        <v>90</v>
      </c>
      <c r="I72" s="6" t="s">
        <v>90</v>
      </c>
      <c r="J72" s="6" t="s">
        <v>90</v>
      </c>
    </row>
    <row r="73" spans="1:10" x14ac:dyDescent="0.25">
      <c r="A73" s="7" t="s">
        <v>115</v>
      </c>
      <c r="B73" s="20">
        <v>0.11</v>
      </c>
      <c r="C73" s="23">
        <v>0.98740000000000006</v>
      </c>
      <c r="D73" s="23">
        <v>0.92530000000000001</v>
      </c>
      <c r="E73" s="23">
        <v>0.83360000000000001</v>
      </c>
      <c r="F73" s="24">
        <v>0.751</v>
      </c>
      <c r="G73" s="23">
        <v>0.67659999999999998</v>
      </c>
      <c r="H73" s="23">
        <v>0.60950000000000004</v>
      </c>
      <c r="I73" s="23">
        <v>0.54910000000000003</v>
      </c>
      <c r="J73" s="23">
        <v>0.49469999999999997</v>
      </c>
    </row>
    <row r="74" spans="1:10" x14ac:dyDescent="0.25">
      <c r="A74" s="6" t="s">
        <v>116</v>
      </c>
      <c r="C74" s="13">
        <v>8</v>
      </c>
      <c r="D74" s="13">
        <v>14</v>
      </c>
      <c r="E74" s="31">
        <v>-4</v>
      </c>
      <c r="F74" s="6" t="s">
        <v>90</v>
      </c>
      <c r="G74" s="6" t="s">
        <v>90</v>
      </c>
      <c r="H74" s="6" t="s">
        <v>90</v>
      </c>
      <c r="I74" s="6" t="s">
        <v>90</v>
      </c>
      <c r="J74" s="6" t="s">
        <v>90</v>
      </c>
    </row>
    <row r="75" spans="1:10" x14ac:dyDescent="0.25">
      <c r="A75" s="7" t="s">
        <v>216</v>
      </c>
      <c r="C75" s="10">
        <v>18</v>
      </c>
      <c r="G75" s="7" t="s">
        <v>652</v>
      </c>
    </row>
    <row r="76" spans="1:10" x14ac:dyDescent="0.25">
      <c r="A76" s="7" t="s">
        <v>121</v>
      </c>
      <c r="B76" s="7" t="s">
        <v>288</v>
      </c>
      <c r="C76" s="10">
        <v>4</v>
      </c>
      <c r="E76" s="10">
        <v>20</v>
      </c>
      <c r="F76" s="15">
        <v>0.25</v>
      </c>
      <c r="G76" s="15">
        <v>0.33</v>
      </c>
      <c r="H76" s="15">
        <v>0.5</v>
      </c>
      <c r="I76" s="15">
        <v>0.75</v>
      </c>
    </row>
    <row r="77" spans="1:10" x14ac:dyDescent="0.25">
      <c r="A77" s="6" t="s">
        <v>665</v>
      </c>
      <c r="C77" s="13">
        <v>20</v>
      </c>
      <c r="E77" s="15">
        <v>0</v>
      </c>
      <c r="F77" s="10">
        <v>23</v>
      </c>
      <c r="G77" s="10">
        <v>23</v>
      </c>
      <c r="H77" s="10">
        <v>23</v>
      </c>
      <c r="I77" s="10">
        <v>23</v>
      </c>
    </row>
    <row r="78" spans="1:10" x14ac:dyDescent="0.25">
      <c r="E78" s="15">
        <v>0.05</v>
      </c>
      <c r="F78" s="10">
        <v>23</v>
      </c>
      <c r="G78" s="10">
        <v>23</v>
      </c>
      <c r="H78" s="10">
        <v>23</v>
      </c>
      <c r="I78" s="10">
        <v>23</v>
      </c>
    </row>
    <row r="79" spans="1:10" x14ac:dyDescent="0.25">
      <c r="D79" s="7" t="s">
        <v>653</v>
      </c>
      <c r="E79" s="15">
        <v>0.1</v>
      </c>
      <c r="F79" s="10">
        <v>27</v>
      </c>
      <c r="G79" s="10">
        <v>27</v>
      </c>
      <c r="H79" s="10">
        <v>27</v>
      </c>
      <c r="I79" s="10">
        <v>27</v>
      </c>
    </row>
    <row r="80" spans="1:10" x14ac:dyDescent="0.25">
      <c r="D80" s="7" t="s">
        <v>654</v>
      </c>
      <c r="E80" s="15">
        <v>0.15</v>
      </c>
      <c r="F80" s="10">
        <v>34</v>
      </c>
      <c r="G80" s="10">
        <v>34</v>
      </c>
      <c r="H80" s="10">
        <v>34</v>
      </c>
      <c r="I80" s="10">
        <v>34</v>
      </c>
    </row>
    <row r="81" spans="1:11" x14ac:dyDescent="0.25">
      <c r="E81" s="15">
        <v>0.2</v>
      </c>
      <c r="F81" s="10">
        <v>42</v>
      </c>
      <c r="G81" s="10">
        <v>42</v>
      </c>
      <c r="H81" s="10">
        <v>42</v>
      </c>
      <c r="I81" s="10">
        <v>42</v>
      </c>
    </row>
    <row r="82" spans="1:11" x14ac:dyDescent="0.25">
      <c r="A82" s="9" t="s">
        <v>221</v>
      </c>
    </row>
    <row r="83" spans="1:11" x14ac:dyDescent="0.25">
      <c r="A83" s="7" t="s">
        <v>655</v>
      </c>
      <c r="C83" s="20">
        <v>0.69599999999999995</v>
      </c>
      <c r="D83" s="20">
        <v>0.69699999999999995</v>
      </c>
      <c r="E83" s="20">
        <v>0.67100000000000004</v>
      </c>
      <c r="F83" s="20">
        <v>0.65900000000000003</v>
      </c>
      <c r="G83" s="20">
        <v>0.65500000000000003</v>
      </c>
      <c r="H83" s="20">
        <v>0.64200000000000002</v>
      </c>
      <c r="I83" s="20">
        <v>0.63</v>
      </c>
      <c r="J83" s="20">
        <v>0.61699999999999999</v>
      </c>
    </row>
    <row r="84" spans="1:11" x14ac:dyDescent="0.25">
      <c r="A84" s="7" t="s">
        <v>656</v>
      </c>
      <c r="C84" s="20">
        <v>0.8</v>
      </c>
      <c r="D84" s="20">
        <v>0.8</v>
      </c>
      <c r="E84" s="20">
        <v>0.8</v>
      </c>
      <c r="F84" s="20">
        <v>0.8</v>
      </c>
      <c r="G84" s="20">
        <v>0.8</v>
      </c>
      <c r="H84" s="20">
        <v>0.8</v>
      </c>
      <c r="I84" s="20">
        <v>0.8</v>
      </c>
      <c r="J84" s="20">
        <v>0.8</v>
      </c>
    </row>
    <row r="85" spans="1:11" x14ac:dyDescent="0.25">
      <c r="A85" s="7" t="s">
        <v>657</v>
      </c>
      <c r="C85" s="20">
        <v>0.2</v>
      </c>
      <c r="D85" s="20">
        <v>0.2</v>
      </c>
      <c r="E85" s="20">
        <v>0.2</v>
      </c>
      <c r="F85" s="20">
        <v>0.2</v>
      </c>
      <c r="G85" s="20">
        <v>0.2</v>
      </c>
      <c r="H85" s="20">
        <v>0.2</v>
      </c>
      <c r="I85" s="20">
        <v>0.2</v>
      </c>
      <c r="J85" s="20">
        <v>0.2</v>
      </c>
    </row>
    <row r="86" spans="1:11" x14ac:dyDescent="0.25">
      <c r="A86" s="7" t="s">
        <v>658</v>
      </c>
      <c r="B86" s="20">
        <v>0.05</v>
      </c>
      <c r="C86" s="7" t="s">
        <v>71</v>
      </c>
      <c r="D86" s="7" t="s">
        <v>71</v>
      </c>
      <c r="E86" s="7" t="s">
        <v>71</v>
      </c>
      <c r="F86" s="7" t="s">
        <v>71</v>
      </c>
      <c r="G86" s="7" t="s">
        <v>71</v>
      </c>
      <c r="H86" s="7" t="s">
        <v>71</v>
      </c>
      <c r="I86" s="7" t="s">
        <v>71</v>
      </c>
      <c r="J86" s="7" t="s">
        <v>71</v>
      </c>
    </row>
    <row r="87" spans="1:11" x14ac:dyDescent="0.25">
      <c r="A87" s="7" t="s">
        <v>631</v>
      </c>
      <c r="C87" s="20">
        <v>3.5999999999999997E-2</v>
      </c>
      <c r="D87" s="20">
        <v>3.4000000000000002E-2</v>
      </c>
      <c r="E87" s="20">
        <v>3.5000000000000003E-2</v>
      </c>
      <c r="F87" s="20">
        <v>0.05</v>
      </c>
      <c r="G87" s="20">
        <v>5.5E-2</v>
      </c>
      <c r="H87" s="20">
        <v>5.2999999999999999E-2</v>
      </c>
      <c r="I87" s="20">
        <v>5.0999999999999997E-2</v>
      </c>
      <c r="J87" s="20">
        <v>4.9000000000000002E-2</v>
      </c>
    </row>
    <row r="88" spans="1:11" x14ac:dyDescent="0.25">
      <c r="A88" s="7" t="s">
        <v>659</v>
      </c>
      <c r="C88" s="21">
        <v>-0.14000000000000001</v>
      </c>
      <c r="D88" s="20">
        <v>-0.14799999999999999</v>
      </c>
      <c r="E88" s="20">
        <v>-0.158</v>
      </c>
      <c r="F88" s="20">
        <v>-0.16300000000000001</v>
      </c>
      <c r="G88" s="20">
        <v>-0.16700000000000001</v>
      </c>
      <c r="H88" s="20">
        <v>-0.16700000000000001</v>
      </c>
      <c r="I88" s="20">
        <v>-0.16700000000000001</v>
      </c>
      <c r="J88" s="20">
        <v>-0.16700000000000001</v>
      </c>
    </row>
    <row r="89" spans="1:11" x14ac:dyDescent="0.25">
      <c r="A89" s="7" t="s">
        <v>660</v>
      </c>
      <c r="C89" s="20">
        <v>6.4000000000000001E-2</v>
      </c>
      <c r="D89" s="20">
        <v>6.2E-2</v>
      </c>
      <c r="E89" s="20">
        <v>0.06</v>
      </c>
      <c r="F89" s="20">
        <v>5.7000000000000002E-2</v>
      </c>
      <c r="G89" s="20">
        <v>5.5E-2</v>
      </c>
      <c r="H89" s="20">
        <v>5.2999999999999999E-2</v>
      </c>
      <c r="I89" s="20">
        <v>5.0999999999999997E-2</v>
      </c>
      <c r="J89" s="20">
        <v>0.05</v>
      </c>
    </row>
    <row r="90" spans="1:11" x14ac:dyDescent="0.25">
      <c r="A90" s="16" t="s">
        <v>127</v>
      </c>
    </row>
    <row r="91" spans="1:11" x14ac:dyDescent="0.25">
      <c r="A91" s="7" t="s">
        <v>661</v>
      </c>
    </row>
    <row r="92" spans="1:11" x14ac:dyDescent="0.25">
      <c r="A92" s="7" t="s">
        <v>291</v>
      </c>
    </row>
    <row r="93" spans="1:11" x14ac:dyDescent="0.25">
      <c r="A93" s="16" t="s">
        <v>61</v>
      </c>
    </row>
    <row r="94" spans="1:11" x14ac:dyDescent="0.25">
      <c r="A94" s="9" t="s">
        <v>62</v>
      </c>
      <c r="K94" s="2" t="s">
        <v>63</v>
      </c>
    </row>
    <row r="95" spans="1:11" x14ac:dyDescent="0.25">
      <c r="F95" s="5" t="s">
        <v>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2:M95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K2" s="7" t="s">
        <v>666</v>
      </c>
    </row>
    <row r="3" spans="1:13" x14ac:dyDescent="0.25">
      <c r="A3" s="6" t="s">
        <v>9</v>
      </c>
    </row>
    <row r="4" spans="1:13" x14ac:dyDescent="0.25">
      <c r="A4" s="6" t="s">
        <v>667</v>
      </c>
    </row>
    <row r="5" spans="1:13" x14ac:dyDescent="0.25">
      <c r="A5" s="6" t="s">
        <v>11</v>
      </c>
    </row>
    <row r="6" spans="1:13" x14ac:dyDescent="0.25">
      <c r="C6" s="9" t="s">
        <v>95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22</v>
      </c>
      <c r="C9" s="10">
        <v>5</v>
      </c>
      <c r="D9" s="10">
        <v>24</v>
      </c>
      <c r="E9" s="10">
        <v>26</v>
      </c>
      <c r="F9" s="10">
        <v>28</v>
      </c>
      <c r="G9" s="10">
        <v>29</v>
      </c>
      <c r="H9" s="10">
        <v>32</v>
      </c>
      <c r="I9" s="10">
        <v>36</v>
      </c>
      <c r="J9" s="10">
        <v>39</v>
      </c>
    </row>
    <row r="10" spans="1:13" x14ac:dyDescent="0.25">
      <c r="A10" s="7" t="s">
        <v>629</v>
      </c>
      <c r="C10" s="19">
        <v>-4</v>
      </c>
      <c r="D10" s="19">
        <v>-16</v>
      </c>
      <c r="E10" s="19">
        <v>-17</v>
      </c>
      <c r="F10" s="19">
        <v>-18</v>
      </c>
      <c r="G10" s="19">
        <v>-19</v>
      </c>
      <c r="H10" s="19">
        <v>-20</v>
      </c>
      <c r="I10" s="19">
        <v>-21</v>
      </c>
      <c r="J10" s="19">
        <v>-23</v>
      </c>
    </row>
    <row r="11" spans="1:13" x14ac:dyDescent="0.25">
      <c r="A11" s="7"/>
      <c r="C11" s="19">
        <f>SUM(C8:C9)</f>
        <v>5</v>
      </c>
      <c r="D11" s="19">
        <f>SUM(D8:D9)</f>
        <v>24</v>
      </c>
      <c r="E11" s="19">
        <f>SUM(E8:E9)</f>
        <v>26</v>
      </c>
      <c r="F11" s="19">
        <f>SUM(F8:F9)</f>
        <v>28</v>
      </c>
      <c r="G11" s="19">
        <f>SUM(G8:G9)</f>
        <v>29</v>
      </c>
      <c r="H11" s="19">
        <f>SUM(H8:H9)</f>
        <v>32</v>
      </c>
      <c r="I11" s="19">
        <f>SUM(I8:I9)</f>
        <v>36</v>
      </c>
      <c r="J11" s="19">
        <f>SUM(J8:J9)</f>
        <v>39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C12" s="19">
        <f>C11-C10</f>
        <v>9</v>
      </c>
      <c r="D12" s="19">
        <f>D11-D10</f>
        <v>40</v>
      </c>
      <c r="E12" s="19">
        <f>E11-E10</f>
        <v>43</v>
      </c>
      <c r="F12" s="19">
        <f>F11-F10</f>
        <v>46</v>
      </c>
      <c r="G12" s="19">
        <f>G11-G10</f>
        <v>48</v>
      </c>
      <c r="H12" s="19">
        <f>H11-H10</f>
        <v>52</v>
      </c>
      <c r="I12" s="19">
        <f>I11-I10</f>
        <v>57</v>
      </c>
      <c r="J12" s="19">
        <f>J11-J10</f>
        <v>62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630</v>
      </c>
      <c r="C13" s="10">
        <v>2</v>
      </c>
      <c r="D13" s="10">
        <v>8</v>
      </c>
      <c r="E13" s="10">
        <v>9</v>
      </c>
      <c r="F13" s="10">
        <v>10</v>
      </c>
      <c r="G13" s="10">
        <v>11</v>
      </c>
      <c r="H13" s="10">
        <v>12</v>
      </c>
      <c r="I13" s="10">
        <v>14</v>
      </c>
      <c r="J13" s="10">
        <v>16</v>
      </c>
    </row>
    <row r="14" spans="1:13" x14ac:dyDescent="0.25">
      <c r="A14" s="7" t="s">
        <v>631</v>
      </c>
      <c r="C14" s="19">
        <v>0</v>
      </c>
      <c r="D14" s="19">
        <v>-1</v>
      </c>
      <c r="E14" s="19">
        <v>-1</v>
      </c>
      <c r="F14" s="19">
        <v>-1</v>
      </c>
      <c r="G14" s="19">
        <v>-2</v>
      </c>
      <c r="H14" s="19">
        <v>-2</v>
      </c>
      <c r="I14" s="19">
        <v>-2</v>
      </c>
      <c r="J14" s="19">
        <v>-2</v>
      </c>
    </row>
    <row r="15" spans="1:13" x14ac:dyDescent="0.25">
      <c r="A15" s="7"/>
      <c r="C15" s="19">
        <f>C10*C13</f>
        <v>-8</v>
      </c>
      <c r="D15" s="19">
        <f>D10*D13</f>
        <v>-128</v>
      </c>
      <c r="E15" s="19">
        <f>E10*E13</f>
        <v>-153</v>
      </c>
      <c r="F15" s="19">
        <f>F10*F13</f>
        <v>-180</v>
      </c>
      <c r="G15" s="19">
        <f>G10*G13</f>
        <v>-209</v>
      </c>
      <c r="H15" s="19">
        <f>H10*H13</f>
        <v>-240</v>
      </c>
      <c r="I15" s="19">
        <f>I10*I13</f>
        <v>-294</v>
      </c>
      <c r="J15" s="19">
        <f>J10*J13</f>
        <v>-368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C16" s="19">
        <f>C15-C14</f>
        <v>-8</v>
      </c>
      <c r="D16" s="19">
        <f>D15-D14</f>
        <v>-127</v>
      </c>
      <c r="E16" s="19">
        <f>E15-E14</f>
        <v>-152</v>
      </c>
      <c r="F16" s="19">
        <f>F15-F14</f>
        <v>-179</v>
      </c>
      <c r="G16" s="19">
        <f>G15-G14</f>
        <v>-207</v>
      </c>
      <c r="H16" s="19">
        <f>H15-H14</f>
        <v>-238</v>
      </c>
      <c r="I16" s="19">
        <f>I15-I14</f>
        <v>-292</v>
      </c>
      <c r="J16" s="19">
        <f>J15-J14</f>
        <v>-366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209</v>
      </c>
      <c r="C17" s="10">
        <v>1</v>
      </c>
      <c r="D17" s="10">
        <v>7</v>
      </c>
      <c r="E17" s="10">
        <v>8</v>
      </c>
      <c r="F17" s="10">
        <v>9</v>
      </c>
      <c r="G17" s="10">
        <v>9</v>
      </c>
      <c r="H17" s="10">
        <v>11</v>
      </c>
      <c r="I17" s="10">
        <v>12</v>
      </c>
      <c r="J17" s="10">
        <v>14</v>
      </c>
    </row>
    <row r="18" spans="1:13" x14ac:dyDescent="0.25">
      <c r="A18" s="7" t="s">
        <v>632</v>
      </c>
      <c r="B18" s="20">
        <v>0.39500000000000002</v>
      </c>
      <c r="C18" s="19">
        <v>-1</v>
      </c>
      <c r="D18" s="19">
        <v>-3</v>
      </c>
      <c r="E18" s="19">
        <v>-3</v>
      </c>
      <c r="F18" s="19">
        <v>-3</v>
      </c>
      <c r="G18" s="19">
        <v>-4</v>
      </c>
      <c r="H18" s="19">
        <v>-4</v>
      </c>
      <c r="I18" s="19">
        <v>-5</v>
      </c>
      <c r="J18" s="19">
        <v>-6</v>
      </c>
    </row>
    <row r="19" spans="1:13" x14ac:dyDescent="0.25">
      <c r="A19" s="7" t="s">
        <v>633</v>
      </c>
      <c r="C19" s="10">
        <v>1</v>
      </c>
      <c r="D19" s="10">
        <v>4</v>
      </c>
      <c r="E19" s="10">
        <v>5</v>
      </c>
      <c r="F19" s="10">
        <v>5</v>
      </c>
      <c r="G19" s="10">
        <v>6</v>
      </c>
      <c r="H19" s="10">
        <v>6</v>
      </c>
      <c r="I19" s="10">
        <v>8</v>
      </c>
      <c r="J19" s="10">
        <v>9</v>
      </c>
    </row>
    <row r="20" spans="1:13" x14ac:dyDescent="0.25">
      <c r="A20" s="7" t="s">
        <v>111</v>
      </c>
      <c r="C20" s="10">
        <v>0</v>
      </c>
      <c r="D20" s="10">
        <v>1</v>
      </c>
      <c r="E20" s="10">
        <v>1</v>
      </c>
      <c r="F20" s="10">
        <v>1</v>
      </c>
      <c r="G20" s="10">
        <v>2</v>
      </c>
      <c r="H20" s="10">
        <v>2</v>
      </c>
      <c r="I20" s="10">
        <v>2</v>
      </c>
      <c r="J20" s="10">
        <v>2</v>
      </c>
    </row>
    <row r="21" spans="1:13" x14ac:dyDescent="0.25">
      <c r="A21" s="7"/>
      <c r="C21" s="10">
        <f>SUM(C18,C19)</f>
        <v>0</v>
      </c>
      <c r="D21" s="10">
        <f>SUM(D18,D19)</f>
        <v>1</v>
      </c>
      <c r="E21" s="10">
        <f>SUM(E18,E19)</f>
        <v>2</v>
      </c>
      <c r="F21" s="10">
        <f>SUM(F18,F19)</f>
        <v>2</v>
      </c>
      <c r="G21" s="10">
        <f>SUM(G18,G19)</f>
        <v>2</v>
      </c>
      <c r="H21" s="10">
        <f>SUM(H18,H19)</f>
        <v>2</v>
      </c>
      <c r="I21" s="10">
        <f>SUM(I18,I19)</f>
        <v>3</v>
      </c>
      <c r="J21" s="10">
        <f>SUM(J18,J19)</f>
        <v>3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7"/>
      <c r="C22" s="10">
        <f>C21-C20</f>
        <v>0</v>
      </c>
      <c r="D22" s="10">
        <f>D21-D20</f>
        <v>0</v>
      </c>
      <c r="E22" s="10">
        <f>E21-E20</f>
        <v>1</v>
      </c>
      <c r="F22" s="10">
        <f>F21-F20</f>
        <v>1</v>
      </c>
      <c r="G22" s="10">
        <f>G21-G20</f>
        <v>0</v>
      </c>
      <c r="H22" s="10">
        <f>H21-H20</f>
        <v>0</v>
      </c>
      <c r="I22" s="10">
        <f>I21-I20</f>
        <v>1</v>
      </c>
      <c r="J22" s="10">
        <f>J21-J20</f>
        <v>1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634</v>
      </c>
      <c r="C23" s="42">
        <v>-0.1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1</v>
      </c>
      <c r="J23" s="10">
        <v>1</v>
      </c>
    </row>
    <row r="24" spans="1:13" x14ac:dyDescent="0.25">
      <c r="A24" s="7"/>
      <c r="C24" s="42">
        <f>C10*B23</f>
        <v>0</v>
      </c>
      <c r="D24" s="10">
        <f>D10*B23</f>
        <v>0</v>
      </c>
      <c r="E24" s="10">
        <f>E10*B23</f>
        <v>0</v>
      </c>
      <c r="F24" s="10">
        <f>F10*B23</f>
        <v>0</v>
      </c>
      <c r="G24" s="10">
        <f>G10*B23</f>
        <v>0</v>
      </c>
      <c r="H24" s="10">
        <f>H10*B23</f>
        <v>0</v>
      </c>
      <c r="I24" s="10">
        <f>I10*B23</f>
        <v>0</v>
      </c>
      <c r="J24" s="10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 s="42">
        <f>C24-C23</f>
        <v>0.1</v>
      </c>
      <c r="D25" s="10">
        <f>D24-D23</f>
        <v>0</v>
      </c>
      <c r="E25" s="10">
        <f>E24-E23</f>
        <v>0</v>
      </c>
      <c r="F25" s="10">
        <f>F24-F23</f>
        <v>0</v>
      </c>
      <c r="G25" s="10">
        <f>G24-G23</f>
        <v>0</v>
      </c>
      <c r="H25" s="10">
        <f>H24-H23</f>
        <v>0</v>
      </c>
      <c r="I25" s="10">
        <f>I24-I23</f>
        <v>-1</v>
      </c>
      <c r="J25" s="10">
        <f>J24-J23</f>
        <v>-1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7" t="s">
        <v>113</v>
      </c>
      <c r="C26" s="19">
        <v>0</v>
      </c>
      <c r="D26" s="19">
        <v>-1</v>
      </c>
      <c r="E26" s="19">
        <v>-2</v>
      </c>
      <c r="F26" s="19">
        <v>-2</v>
      </c>
      <c r="G26" s="19">
        <v>-2</v>
      </c>
      <c r="H26" s="19">
        <v>-2</v>
      </c>
      <c r="I26" s="19">
        <v>-2</v>
      </c>
      <c r="J26" s="19">
        <v>-2</v>
      </c>
    </row>
    <row r="27" spans="1:13" x14ac:dyDescent="0.25">
      <c r="A27" s="7"/>
      <c r="C27" s="19">
        <f>SUM(C20,C23)</f>
        <v>-0.1</v>
      </c>
      <c r="D27" s="19">
        <f>SUM(D20,D23)</f>
        <v>1</v>
      </c>
      <c r="E27" s="19">
        <f>SUM(E20,E23)</f>
        <v>1</v>
      </c>
      <c r="F27" s="19">
        <f>SUM(F20,F23)</f>
        <v>1</v>
      </c>
      <c r="G27" s="19">
        <f>SUM(G20,G23)</f>
        <v>2</v>
      </c>
      <c r="H27" s="19">
        <f>SUM(H20,H23)</f>
        <v>2</v>
      </c>
      <c r="I27" s="19">
        <f>SUM(I20,I23)</f>
        <v>3</v>
      </c>
      <c r="J27" s="19">
        <f>SUM(J20,J23)</f>
        <v>3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7"/>
      <c r="C28" s="19">
        <f>C27-C26</f>
        <v>-0.1</v>
      </c>
      <c r="D28" s="19">
        <f>D27-D26</f>
        <v>2</v>
      </c>
      <c r="E28" s="19">
        <f>E27-E26</f>
        <v>3</v>
      </c>
      <c r="F28" s="19">
        <f>F27-F26</f>
        <v>3</v>
      </c>
      <c r="G28" s="19">
        <f>G27-G26</f>
        <v>4</v>
      </c>
      <c r="H28" s="19">
        <f>H27-H26</f>
        <v>4</v>
      </c>
      <c r="I28" s="19">
        <f>I27-I26</f>
        <v>5</v>
      </c>
      <c r="J28" s="19">
        <f>J27-J26</f>
        <v>5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635</v>
      </c>
      <c r="C29" s="10">
        <v>1</v>
      </c>
      <c r="D29" s="10">
        <v>4</v>
      </c>
      <c r="E29" s="10">
        <v>5</v>
      </c>
      <c r="F29" s="10">
        <v>5</v>
      </c>
      <c r="G29" s="10">
        <v>6</v>
      </c>
      <c r="H29" s="10">
        <v>7</v>
      </c>
      <c r="I29" s="10">
        <v>8</v>
      </c>
      <c r="J29" s="10">
        <v>9</v>
      </c>
    </row>
    <row r="30" spans="1:13" x14ac:dyDescent="0.25">
      <c r="A30" s="7"/>
      <c r="C30" s="10">
        <f>C26*B29</f>
        <v>0</v>
      </c>
      <c r="D30" s="10">
        <f>D26*B29</f>
        <v>0</v>
      </c>
      <c r="E30" s="10">
        <f>E26*B29</f>
        <v>0</v>
      </c>
      <c r="F30" s="10">
        <f>F26*B29</f>
        <v>0</v>
      </c>
      <c r="G30" s="10">
        <f>G26*B29</f>
        <v>0</v>
      </c>
      <c r="H30" s="10">
        <f>H26*B29</f>
        <v>0</v>
      </c>
      <c r="I30" s="10">
        <f>I26*B29</f>
        <v>0</v>
      </c>
      <c r="J30" s="1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 s="10">
        <f>C30-C29</f>
        <v>-1</v>
      </c>
      <c r="D31" s="10">
        <f>D30-D29</f>
        <v>-4</v>
      </c>
      <c r="E31" s="10">
        <f>E30-E29</f>
        <v>-5</v>
      </c>
      <c r="F31" s="10">
        <f>F30-F29</f>
        <v>-5</v>
      </c>
      <c r="G31" s="10">
        <f>G30-G29</f>
        <v>-6</v>
      </c>
      <c r="H31" s="10">
        <f>H30-H29</f>
        <v>-7</v>
      </c>
      <c r="I31" s="10">
        <f>I30-I29</f>
        <v>-8</v>
      </c>
      <c r="J31" s="10">
        <f>J30-J29</f>
        <v>-9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6" t="s">
        <v>636</v>
      </c>
    </row>
    <row r="33" spans="1:13" x14ac:dyDescent="0.25">
      <c r="A33" s="6"/>
      <c r="C33" s="60">
        <f>SUM(C26,C29)</f>
        <v>1</v>
      </c>
      <c r="D33" s="60">
        <f>SUM(D26,D29)</f>
        <v>3</v>
      </c>
      <c r="E33" s="60">
        <f>SUM(E26,E29)</f>
        <v>3</v>
      </c>
      <c r="F33" s="60">
        <f>SUM(F26,F29)</f>
        <v>3</v>
      </c>
      <c r="G33" s="60">
        <f>SUM(G26,G29)</f>
        <v>4</v>
      </c>
      <c r="H33" s="60">
        <f>SUM(H26,H29)</f>
        <v>5</v>
      </c>
      <c r="I33" s="60">
        <f>SUM(I26,I29)</f>
        <v>6</v>
      </c>
      <c r="J33" s="60">
        <f>SUM(J26,J29)</f>
        <v>7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6"/>
      <c r="C34" s="60">
        <f>C33-C32</f>
        <v>1</v>
      </c>
      <c r="D34" s="60">
        <f>D33-D32</f>
        <v>3</v>
      </c>
      <c r="E34" s="60">
        <f>E33-E32</f>
        <v>3</v>
      </c>
      <c r="F34" s="60">
        <f>F33-F32</f>
        <v>3</v>
      </c>
      <c r="G34" s="60">
        <f>G33-G32</f>
        <v>4</v>
      </c>
      <c r="H34" s="60">
        <f>H33-H32</f>
        <v>5</v>
      </c>
      <c r="I34" s="60">
        <f>I33-I32</f>
        <v>6</v>
      </c>
      <c r="J34" s="60">
        <f>J33-J32</f>
        <v>7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637</v>
      </c>
      <c r="D35" s="20">
        <v>0.115</v>
      </c>
      <c r="E35" s="20">
        <v>8.4000000000000005E-2</v>
      </c>
      <c r="F35" s="20">
        <v>7.8E-2</v>
      </c>
      <c r="G35" s="20">
        <v>4.3999999999999997E-2</v>
      </c>
      <c r="H35" s="20">
        <v>0.10100000000000001</v>
      </c>
      <c r="I35" s="20">
        <v>0.10299999999999999</v>
      </c>
      <c r="J35" s="20">
        <v>0.104</v>
      </c>
    </row>
    <row r="36" spans="1:13" x14ac:dyDescent="0.25">
      <c r="A36" s="7" t="s">
        <v>638</v>
      </c>
      <c r="C36" s="20">
        <v>0.313</v>
      </c>
      <c r="D36" s="20">
        <v>0.32</v>
      </c>
      <c r="E36" s="20">
        <v>0.34899999999999998</v>
      </c>
      <c r="F36" s="20">
        <v>0.36599999999999999</v>
      </c>
      <c r="G36" s="20">
        <v>0.36699999999999999</v>
      </c>
      <c r="H36" s="20">
        <v>0.38500000000000001</v>
      </c>
      <c r="I36" s="20">
        <v>0.40200000000000002</v>
      </c>
      <c r="J36" s="20">
        <v>0.41899999999999998</v>
      </c>
    </row>
    <row r="37" spans="1:13" x14ac:dyDescent="0.25">
      <c r="A37" s="7"/>
      <c r="C37" s="20">
        <f>SUM(C32,C35)</f>
        <v>0</v>
      </c>
      <c r="D37" s="20">
        <f>SUM(D32,D35)</f>
        <v>0.115</v>
      </c>
      <c r="E37" s="20">
        <f>SUM(E32,E35)</f>
        <v>8.4000000000000005E-2</v>
      </c>
      <c r="F37" s="20">
        <f>SUM(F32,F35)</f>
        <v>7.8E-2</v>
      </c>
      <c r="G37" s="20">
        <f>SUM(G32,G35)</f>
        <v>4.3999999999999997E-2</v>
      </c>
      <c r="H37" s="20">
        <f>SUM(H32,H35)</f>
        <v>0.10100000000000001</v>
      </c>
      <c r="I37" s="20">
        <f>SUM(I32,I35)</f>
        <v>0.10299999999999999</v>
      </c>
      <c r="J37" s="20">
        <f>SUM(J32,J35)</f>
        <v>0.104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7"/>
      <c r="C38" s="20">
        <f>C37-C36</f>
        <v>-0.313</v>
      </c>
      <c r="D38" s="20">
        <f>D37-D36</f>
        <v>-0.20500000000000002</v>
      </c>
      <c r="E38" s="20">
        <f>E37-E36</f>
        <v>-0.26499999999999996</v>
      </c>
      <c r="F38" s="20">
        <f>F37-F36</f>
        <v>-0.28799999999999998</v>
      </c>
      <c r="G38" s="20">
        <f>G37-G36</f>
        <v>-0.32300000000000001</v>
      </c>
      <c r="H38" s="20">
        <f>H37-H36</f>
        <v>-0.28400000000000003</v>
      </c>
      <c r="I38" s="20">
        <f>I37-I36</f>
        <v>-0.29900000000000004</v>
      </c>
      <c r="J38" s="20">
        <f>J37-J36</f>
        <v>-0.315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631</v>
      </c>
      <c r="C39" s="20">
        <v>3.5999999999999997E-2</v>
      </c>
      <c r="D39" s="20">
        <v>3.4000000000000002E-2</v>
      </c>
      <c r="E39" s="20">
        <v>3.5000000000000003E-2</v>
      </c>
      <c r="F39" s="20">
        <v>0.05</v>
      </c>
      <c r="G39" s="20">
        <v>5.5E-2</v>
      </c>
      <c r="H39" s="20">
        <v>5.2999999999999999E-2</v>
      </c>
      <c r="I39" s="20">
        <v>5.0999999999999997E-2</v>
      </c>
      <c r="J39" s="20">
        <v>4.9000000000000002E-2</v>
      </c>
    </row>
    <row r="40" spans="1:13" x14ac:dyDescent="0.25">
      <c r="A40" s="7" t="s">
        <v>639</v>
      </c>
      <c r="C40" s="20">
        <v>-0.14000000000000001</v>
      </c>
      <c r="D40" s="20">
        <v>-0.14799999999999999</v>
      </c>
      <c r="E40" s="20">
        <v>-0.158</v>
      </c>
      <c r="F40" s="20">
        <v>-0.16300000000000001</v>
      </c>
      <c r="G40" s="20">
        <v>-0.16700000000000001</v>
      </c>
      <c r="H40" s="20">
        <v>-0.16700000000000001</v>
      </c>
      <c r="I40" s="20">
        <v>-0.16700000000000001</v>
      </c>
      <c r="J40" s="20">
        <v>-0.16700000000000001</v>
      </c>
    </row>
    <row r="41" spans="1:13" x14ac:dyDescent="0.25">
      <c r="A41" s="7"/>
      <c r="C41" s="20">
        <f>C36*C39</f>
        <v>1.1267999999999999E-2</v>
      </c>
      <c r="D41" s="20">
        <f>D36*D39</f>
        <v>1.0880000000000001E-2</v>
      </c>
      <c r="E41" s="20">
        <f>E36*E39</f>
        <v>1.2215E-2</v>
      </c>
      <c r="F41" s="20">
        <f>F36*F39</f>
        <v>1.83E-2</v>
      </c>
      <c r="G41" s="20">
        <f>G36*G39</f>
        <v>2.0184999999999998E-2</v>
      </c>
      <c r="H41" s="20">
        <f>H36*H39</f>
        <v>2.0405E-2</v>
      </c>
      <c r="I41" s="20">
        <f>I36*I39</f>
        <v>2.0501999999999999E-2</v>
      </c>
      <c r="J41" s="20">
        <f>J36*J39</f>
        <v>2.0531000000000001E-2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7"/>
      <c r="C42" s="20">
        <f>C41-C40</f>
        <v>0.15126800000000001</v>
      </c>
      <c r="D42" s="20">
        <f>D41-D40</f>
        <v>0.15887999999999999</v>
      </c>
      <c r="E42" s="20">
        <f>E41-E40</f>
        <v>0.17021500000000001</v>
      </c>
      <c r="F42" s="20">
        <f>F41-F40</f>
        <v>0.18130000000000002</v>
      </c>
      <c r="G42" s="20">
        <f>G41-G40</f>
        <v>0.18718500000000002</v>
      </c>
      <c r="H42" s="20">
        <f>H41-H40</f>
        <v>0.18740500000000002</v>
      </c>
      <c r="I42" s="20">
        <f>I41-I40</f>
        <v>0.187502</v>
      </c>
      <c r="J42" s="20">
        <f>J41-J40</f>
        <v>0.187531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7" t="s">
        <v>640</v>
      </c>
      <c r="C43" s="20">
        <v>6.4000000000000001E-2</v>
      </c>
      <c r="D43" s="20">
        <v>6.2E-2</v>
      </c>
      <c r="E43" s="20">
        <v>0.06</v>
      </c>
      <c r="F43" s="20">
        <v>5.7000000000000002E-2</v>
      </c>
      <c r="G43" s="20">
        <v>5.5E-2</v>
      </c>
      <c r="H43" s="20">
        <v>5.2999999999999999E-2</v>
      </c>
      <c r="I43" s="20">
        <v>5.0999999999999997E-2</v>
      </c>
      <c r="J43" s="20">
        <v>0.05</v>
      </c>
    </row>
    <row r="44" spans="1:13" x14ac:dyDescent="0.25">
      <c r="A44" s="6" t="s">
        <v>664</v>
      </c>
    </row>
    <row r="45" spans="1:13" x14ac:dyDescent="0.25">
      <c r="A45" s="7" t="s">
        <v>642</v>
      </c>
      <c r="C45" s="40">
        <v>0.107</v>
      </c>
      <c r="D45" s="40">
        <v>0.53600000000000003</v>
      </c>
      <c r="E45" s="40">
        <v>0.96399999999999997</v>
      </c>
      <c r="F45" s="40">
        <v>1</v>
      </c>
      <c r="G45" s="40">
        <v>1</v>
      </c>
      <c r="H45" s="40">
        <v>1</v>
      </c>
      <c r="I45" s="40">
        <v>1</v>
      </c>
      <c r="J45" s="40">
        <v>1</v>
      </c>
    </row>
    <row r="46" spans="1:13" x14ac:dyDescent="0.25">
      <c r="A46" s="7" t="s">
        <v>643</v>
      </c>
      <c r="C46" s="10">
        <v>1</v>
      </c>
      <c r="D46" s="10">
        <v>13</v>
      </c>
      <c r="E46" s="10">
        <v>25</v>
      </c>
      <c r="F46" s="10">
        <v>28</v>
      </c>
      <c r="G46" s="10">
        <v>29</v>
      </c>
      <c r="H46" s="10">
        <v>32</v>
      </c>
      <c r="I46" s="10">
        <v>36</v>
      </c>
      <c r="J46" s="10">
        <v>39</v>
      </c>
    </row>
    <row r="47" spans="1:13" x14ac:dyDescent="0.25">
      <c r="A47" s="7" t="s">
        <v>644</v>
      </c>
      <c r="C47" s="19">
        <v>-3</v>
      </c>
      <c r="D47" s="19">
        <v>-13</v>
      </c>
      <c r="E47" s="19">
        <v>-14</v>
      </c>
      <c r="F47" s="19">
        <v>-14</v>
      </c>
      <c r="G47" s="19">
        <v>-15</v>
      </c>
      <c r="H47" s="19">
        <v>-16</v>
      </c>
      <c r="I47" s="19">
        <v>-17</v>
      </c>
      <c r="J47" s="19">
        <v>-18</v>
      </c>
    </row>
    <row r="48" spans="1:13" x14ac:dyDescent="0.25">
      <c r="A48" s="7" t="s">
        <v>645</v>
      </c>
      <c r="C48" s="19">
        <v>0</v>
      </c>
      <c r="D48" s="19">
        <v>-2</v>
      </c>
      <c r="E48" s="19">
        <v>-3</v>
      </c>
      <c r="F48" s="19">
        <v>-4</v>
      </c>
      <c r="G48" s="19">
        <v>-4</v>
      </c>
      <c r="H48" s="19">
        <v>-4</v>
      </c>
      <c r="I48" s="19">
        <v>-4</v>
      </c>
      <c r="J48" s="19">
        <v>-5</v>
      </c>
    </row>
    <row r="49" spans="1:10" x14ac:dyDescent="0.25">
      <c r="A49" s="7" t="s">
        <v>646</v>
      </c>
      <c r="C49" s="7" t="s">
        <v>90</v>
      </c>
      <c r="D49" s="7" t="s">
        <v>90</v>
      </c>
      <c r="E49" s="7" t="s">
        <v>90</v>
      </c>
      <c r="F49" s="7" t="s">
        <v>90</v>
      </c>
      <c r="G49" s="7" t="s">
        <v>90</v>
      </c>
      <c r="H49" s="7" t="s">
        <v>90</v>
      </c>
      <c r="I49" s="7" t="s">
        <v>90</v>
      </c>
      <c r="J49" s="7" t="s">
        <v>90</v>
      </c>
    </row>
    <row r="50" spans="1:10" x14ac:dyDescent="0.25">
      <c r="A50" s="6" t="s">
        <v>630</v>
      </c>
      <c r="C50" s="31">
        <v>-2</v>
      </c>
      <c r="D50" s="31">
        <v>-2</v>
      </c>
      <c r="E50" s="13">
        <v>8</v>
      </c>
      <c r="F50" s="13">
        <v>10</v>
      </c>
      <c r="G50" s="13">
        <v>11</v>
      </c>
      <c r="H50" s="13">
        <v>12</v>
      </c>
      <c r="I50" s="13">
        <v>14</v>
      </c>
      <c r="J50" s="13">
        <v>16</v>
      </c>
    </row>
    <row r="51" spans="1:10" x14ac:dyDescent="0.25">
      <c r="A51" s="11" t="s">
        <v>647</v>
      </c>
      <c r="C51" s="41">
        <v>4</v>
      </c>
      <c r="D51" s="41">
        <v>10</v>
      </c>
      <c r="E51" s="41">
        <v>1</v>
      </c>
      <c r="F51" s="11" t="s">
        <v>90</v>
      </c>
      <c r="G51" s="11" t="s">
        <v>90</v>
      </c>
      <c r="H51" s="11" t="s">
        <v>90</v>
      </c>
      <c r="I51" s="11" t="s">
        <v>90</v>
      </c>
      <c r="J51" s="11" t="s">
        <v>90</v>
      </c>
    </row>
    <row r="52" spans="1:10" x14ac:dyDescent="0.25">
      <c r="A52" s="7" t="s">
        <v>631</v>
      </c>
      <c r="C52" s="19">
        <v>0</v>
      </c>
      <c r="D52" s="19">
        <v>0</v>
      </c>
      <c r="E52" s="19">
        <v>-1</v>
      </c>
      <c r="F52" s="19">
        <v>-1</v>
      </c>
      <c r="G52" s="19">
        <v>-2</v>
      </c>
      <c r="H52" s="19">
        <v>-2</v>
      </c>
      <c r="I52" s="19">
        <v>-2</v>
      </c>
      <c r="J52" s="19">
        <v>-2</v>
      </c>
    </row>
    <row r="53" spans="1:10" x14ac:dyDescent="0.25">
      <c r="A53" s="7"/>
      <c r="C53" s="19"/>
      <c r="D53" s="19"/>
      <c r="E53" s="19"/>
      <c r="F53" s="19"/>
      <c r="G53" s="19"/>
      <c r="H53" s="19"/>
      <c r="I53" s="19"/>
      <c r="J53" s="19"/>
    </row>
    <row r="54" spans="1:10" x14ac:dyDescent="0.25">
      <c r="A54" s="7"/>
      <c r="C54" s="19"/>
      <c r="D54" s="19"/>
      <c r="E54" s="19"/>
      <c r="F54" s="19"/>
      <c r="G54" s="19"/>
      <c r="H54" s="19"/>
      <c r="I54" s="19"/>
      <c r="J54" s="19"/>
    </row>
    <row r="55" spans="1:10" x14ac:dyDescent="0.25">
      <c r="A55" s="6" t="s">
        <v>209</v>
      </c>
      <c r="C55" s="31">
        <v>-2</v>
      </c>
      <c r="D55" s="31">
        <v>-2</v>
      </c>
      <c r="E55" s="13">
        <v>7</v>
      </c>
      <c r="F55" s="13">
        <v>9</v>
      </c>
      <c r="G55" s="13">
        <v>9</v>
      </c>
      <c r="H55" s="13">
        <v>11</v>
      </c>
      <c r="I55" s="13">
        <v>12</v>
      </c>
      <c r="J55" s="13">
        <v>14</v>
      </c>
    </row>
    <row r="56" spans="1:10" x14ac:dyDescent="0.25">
      <c r="A56" s="6"/>
      <c r="C56" s="31"/>
      <c r="D56" s="31"/>
      <c r="E56" s="13"/>
      <c r="F56" s="13"/>
      <c r="G56" s="13"/>
      <c r="H56" s="13"/>
      <c r="I56" s="13"/>
      <c r="J56" s="13"/>
    </row>
    <row r="57" spans="1:10" x14ac:dyDescent="0.25">
      <c r="A57" s="6"/>
      <c r="C57" s="31"/>
      <c r="D57" s="31"/>
      <c r="E57" s="13"/>
      <c r="F57" s="13"/>
      <c r="G57" s="13"/>
      <c r="H57" s="13"/>
      <c r="I57" s="13"/>
      <c r="J57" s="13"/>
    </row>
    <row r="58" spans="1:10" x14ac:dyDescent="0.25">
      <c r="A58" s="7" t="s">
        <v>212</v>
      </c>
      <c r="B58" s="20">
        <v>0.39500000000000002</v>
      </c>
      <c r="C58" s="10">
        <v>1</v>
      </c>
      <c r="D58" s="10">
        <v>1</v>
      </c>
      <c r="E58" s="19">
        <v>-3</v>
      </c>
      <c r="F58" s="19">
        <v>-3</v>
      </c>
      <c r="G58" s="19">
        <v>-4</v>
      </c>
      <c r="H58" s="19">
        <v>-4</v>
      </c>
      <c r="I58" s="19">
        <v>-5</v>
      </c>
      <c r="J58" s="19">
        <v>-6</v>
      </c>
    </row>
    <row r="59" spans="1:10" x14ac:dyDescent="0.25">
      <c r="A59" s="7"/>
      <c r="B59" s="20"/>
      <c r="C59" s="10"/>
      <c r="D59" s="10"/>
      <c r="E59" s="19"/>
      <c r="F59" s="19"/>
      <c r="G59" s="19"/>
      <c r="H59" s="19"/>
      <c r="I59" s="19"/>
      <c r="J59" s="19"/>
    </row>
    <row r="60" spans="1:10" x14ac:dyDescent="0.25">
      <c r="A60" s="7"/>
      <c r="B60" s="20"/>
      <c r="C60" s="10"/>
      <c r="D60" s="10"/>
      <c r="E60" s="19"/>
      <c r="F60" s="19"/>
      <c r="G60" s="19"/>
      <c r="H60" s="19"/>
      <c r="I60" s="19"/>
      <c r="J60" s="19"/>
    </row>
    <row r="61" spans="1:10" x14ac:dyDescent="0.25">
      <c r="A61" s="6" t="s">
        <v>213</v>
      </c>
      <c r="C61" s="31">
        <v>-1</v>
      </c>
      <c r="D61" s="31">
        <v>-1</v>
      </c>
      <c r="E61" s="13">
        <v>4</v>
      </c>
      <c r="F61" s="13">
        <v>5</v>
      </c>
      <c r="G61" s="13">
        <v>6</v>
      </c>
      <c r="H61" s="13">
        <v>6</v>
      </c>
      <c r="I61" s="13">
        <v>8</v>
      </c>
      <c r="J61" s="13">
        <v>9</v>
      </c>
    </row>
    <row r="62" spans="1:10" x14ac:dyDescent="0.25">
      <c r="A62" s="6"/>
      <c r="C62" s="31"/>
      <c r="D62" s="31"/>
      <c r="E62" s="13"/>
      <c r="F62" s="13"/>
      <c r="G62" s="13"/>
      <c r="H62" s="13"/>
      <c r="I62" s="13"/>
      <c r="J62" s="13"/>
    </row>
    <row r="63" spans="1:10" x14ac:dyDescent="0.25">
      <c r="A63" s="6"/>
      <c r="C63" s="31"/>
      <c r="D63" s="31"/>
      <c r="E63" s="13"/>
      <c r="F63" s="13"/>
      <c r="G63" s="13"/>
      <c r="H63" s="13"/>
      <c r="I63" s="13"/>
      <c r="J63" s="13"/>
    </row>
    <row r="64" spans="1:10" x14ac:dyDescent="0.25">
      <c r="A64" s="7" t="s">
        <v>111</v>
      </c>
      <c r="C64" s="10">
        <v>0</v>
      </c>
      <c r="D64" s="10">
        <v>0</v>
      </c>
      <c r="E64" s="10">
        <v>1</v>
      </c>
      <c r="F64" s="10">
        <v>1</v>
      </c>
      <c r="G64" s="10">
        <v>2</v>
      </c>
      <c r="H64" s="10">
        <v>2</v>
      </c>
      <c r="I64" s="10">
        <v>2</v>
      </c>
      <c r="J64" s="10">
        <v>2</v>
      </c>
    </row>
    <row r="65" spans="1:10" x14ac:dyDescent="0.25">
      <c r="A65" s="7"/>
      <c r="C65" s="10"/>
      <c r="D65" s="10"/>
      <c r="E65" s="10"/>
      <c r="F65" s="10"/>
      <c r="G65" s="10"/>
      <c r="H65" s="10"/>
      <c r="I65" s="10"/>
      <c r="J65" s="10"/>
    </row>
    <row r="66" spans="1:10" x14ac:dyDescent="0.25">
      <c r="A66" s="7"/>
      <c r="C66" s="10"/>
      <c r="D66" s="10"/>
      <c r="E66" s="10"/>
      <c r="F66" s="10"/>
      <c r="G66" s="10"/>
      <c r="H66" s="10"/>
      <c r="I66" s="10"/>
      <c r="J66" s="10"/>
    </row>
    <row r="67" spans="1:10" x14ac:dyDescent="0.25">
      <c r="A67" s="7" t="s">
        <v>634</v>
      </c>
      <c r="C67" s="10">
        <v>0</v>
      </c>
      <c r="D67" s="10">
        <v>2</v>
      </c>
      <c r="E67" s="10">
        <v>2</v>
      </c>
      <c r="F67" s="10">
        <v>0</v>
      </c>
      <c r="G67" s="10">
        <v>0</v>
      </c>
      <c r="H67" s="10">
        <v>0</v>
      </c>
      <c r="I67" s="10">
        <v>1</v>
      </c>
      <c r="J67" s="10">
        <v>1</v>
      </c>
    </row>
    <row r="68" spans="1:10" x14ac:dyDescent="0.25">
      <c r="A68" s="7" t="s">
        <v>113</v>
      </c>
      <c r="C68" s="19">
        <v>0</v>
      </c>
      <c r="D68" s="19">
        <v>-1</v>
      </c>
      <c r="E68" s="19">
        <v>-2</v>
      </c>
      <c r="F68" s="19">
        <v>-2</v>
      </c>
      <c r="G68" s="19">
        <v>-2</v>
      </c>
      <c r="H68" s="19">
        <v>-2</v>
      </c>
      <c r="I68" s="19">
        <v>-2</v>
      </c>
      <c r="J68" s="19">
        <v>-2</v>
      </c>
    </row>
    <row r="69" spans="1:10" x14ac:dyDescent="0.25">
      <c r="A69" s="6" t="s">
        <v>648</v>
      </c>
      <c r="C69" s="31">
        <v>-1</v>
      </c>
      <c r="D69" s="31">
        <v>0</v>
      </c>
      <c r="E69" s="13">
        <v>6</v>
      </c>
      <c r="F69" s="13">
        <v>5</v>
      </c>
      <c r="G69" s="13">
        <v>6</v>
      </c>
      <c r="H69" s="13">
        <v>7</v>
      </c>
      <c r="I69" s="13">
        <v>8</v>
      </c>
      <c r="J69" s="13">
        <v>9</v>
      </c>
    </row>
    <row r="70" spans="1:10" x14ac:dyDescent="0.25">
      <c r="A70" s="6" t="s">
        <v>649</v>
      </c>
      <c r="C70" s="10">
        <v>1</v>
      </c>
      <c r="D70" s="10">
        <v>4</v>
      </c>
      <c r="E70" s="10">
        <v>5</v>
      </c>
      <c r="F70" s="10">
        <v>5</v>
      </c>
      <c r="G70" s="10">
        <v>6</v>
      </c>
      <c r="H70" s="10">
        <v>7</v>
      </c>
      <c r="I70" s="10">
        <v>8</v>
      </c>
      <c r="J70" s="10">
        <v>9</v>
      </c>
    </row>
    <row r="71" spans="1:10" x14ac:dyDescent="0.25">
      <c r="A71" s="6" t="s">
        <v>650</v>
      </c>
      <c r="C71" s="19">
        <v>-1</v>
      </c>
      <c r="D71" s="19">
        <v>0</v>
      </c>
      <c r="E71" s="10">
        <v>6</v>
      </c>
      <c r="F71" s="10">
        <v>5</v>
      </c>
      <c r="G71" s="10">
        <v>6</v>
      </c>
      <c r="H71" s="10">
        <v>7</v>
      </c>
      <c r="I71" s="10">
        <v>8</v>
      </c>
      <c r="J71" s="10">
        <v>9</v>
      </c>
    </row>
    <row r="72" spans="1:10" x14ac:dyDescent="0.25">
      <c r="A72" s="6" t="s">
        <v>651</v>
      </c>
      <c r="C72" s="13">
        <v>2</v>
      </c>
      <c r="D72" s="13">
        <v>4</v>
      </c>
      <c r="E72" s="31">
        <v>-1</v>
      </c>
      <c r="F72" s="6" t="s">
        <v>90</v>
      </c>
      <c r="G72" s="6" t="s">
        <v>90</v>
      </c>
      <c r="H72" s="6" t="s">
        <v>90</v>
      </c>
      <c r="I72" s="6" t="s">
        <v>90</v>
      </c>
      <c r="J72" s="6" t="s">
        <v>90</v>
      </c>
    </row>
    <row r="73" spans="1:10" x14ac:dyDescent="0.25">
      <c r="A73" s="7" t="s">
        <v>115</v>
      </c>
      <c r="B73" s="20">
        <v>0.11</v>
      </c>
      <c r="C73" s="23">
        <v>0.98740000000000006</v>
      </c>
      <c r="D73" s="23">
        <v>0.92530000000000001</v>
      </c>
      <c r="E73" s="23">
        <v>0.83360000000000001</v>
      </c>
      <c r="F73" s="24">
        <v>0.751</v>
      </c>
      <c r="G73" s="23">
        <v>0.67659999999999998</v>
      </c>
      <c r="H73" s="23">
        <v>0.60950000000000004</v>
      </c>
      <c r="I73" s="23">
        <v>0.54910000000000003</v>
      </c>
      <c r="J73" s="23">
        <v>0.49469999999999997</v>
      </c>
    </row>
    <row r="74" spans="1:10" x14ac:dyDescent="0.25">
      <c r="A74" s="6" t="s">
        <v>116</v>
      </c>
      <c r="C74" s="13">
        <v>2</v>
      </c>
      <c r="D74" s="13">
        <v>4</v>
      </c>
      <c r="E74" s="31">
        <v>-1</v>
      </c>
      <c r="F74" s="6" t="s">
        <v>90</v>
      </c>
      <c r="G74" s="6" t="s">
        <v>90</v>
      </c>
      <c r="H74" s="6" t="s">
        <v>90</v>
      </c>
      <c r="I74" s="6" t="s">
        <v>90</v>
      </c>
      <c r="J74" s="6" t="s">
        <v>90</v>
      </c>
    </row>
    <row r="75" spans="1:10" x14ac:dyDescent="0.25">
      <c r="A75" s="7" t="s">
        <v>216</v>
      </c>
      <c r="C75" s="10">
        <v>5</v>
      </c>
      <c r="G75" s="7" t="s">
        <v>652</v>
      </c>
    </row>
    <row r="76" spans="1:10" x14ac:dyDescent="0.25">
      <c r="A76" s="7" t="s">
        <v>121</v>
      </c>
      <c r="B76" s="7" t="s">
        <v>288</v>
      </c>
      <c r="C76" s="10">
        <v>1</v>
      </c>
      <c r="E76" s="10">
        <v>6</v>
      </c>
      <c r="F76" s="15">
        <v>0.25</v>
      </c>
      <c r="G76" s="15">
        <v>0.33</v>
      </c>
      <c r="H76" s="15">
        <v>0.5</v>
      </c>
      <c r="I76" s="15">
        <v>0.75</v>
      </c>
    </row>
    <row r="77" spans="1:10" x14ac:dyDescent="0.25">
      <c r="A77" s="6" t="s">
        <v>219</v>
      </c>
      <c r="C77" s="13">
        <v>6</v>
      </c>
      <c r="E77" s="15">
        <v>0</v>
      </c>
      <c r="F77" s="10">
        <v>6</v>
      </c>
      <c r="G77" s="10">
        <v>6</v>
      </c>
      <c r="H77" s="10">
        <v>6</v>
      </c>
      <c r="I77" s="10">
        <v>6</v>
      </c>
    </row>
    <row r="78" spans="1:10" x14ac:dyDescent="0.25">
      <c r="E78" s="15">
        <v>0.05</v>
      </c>
      <c r="F78" s="10">
        <v>6</v>
      </c>
      <c r="G78" s="10">
        <v>6</v>
      </c>
      <c r="H78" s="10">
        <v>6</v>
      </c>
      <c r="I78" s="10">
        <v>6</v>
      </c>
    </row>
    <row r="79" spans="1:10" x14ac:dyDescent="0.25">
      <c r="D79" s="7" t="s">
        <v>653</v>
      </c>
      <c r="E79" s="15">
        <v>0.1</v>
      </c>
      <c r="F79" s="10">
        <v>7</v>
      </c>
      <c r="G79" s="10">
        <v>7</v>
      </c>
      <c r="H79" s="10">
        <v>7</v>
      </c>
      <c r="I79" s="10">
        <v>7</v>
      </c>
    </row>
    <row r="80" spans="1:10" x14ac:dyDescent="0.25">
      <c r="D80" s="7" t="s">
        <v>654</v>
      </c>
      <c r="E80" s="15">
        <v>0.15</v>
      </c>
      <c r="F80" s="10">
        <v>9</v>
      </c>
      <c r="G80" s="10">
        <v>9</v>
      </c>
      <c r="H80" s="10">
        <v>9</v>
      </c>
      <c r="I80" s="10">
        <v>9</v>
      </c>
    </row>
    <row r="81" spans="1:11" x14ac:dyDescent="0.25">
      <c r="E81" s="15">
        <v>0.2</v>
      </c>
      <c r="F81" s="10">
        <v>11</v>
      </c>
      <c r="G81" s="10">
        <v>11</v>
      </c>
      <c r="H81" s="10">
        <v>11</v>
      </c>
      <c r="I81" s="10">
        <v>11</v>
      </c>
    </row>
    <row r="82" spans="1:11" x14ac:dyDescent="0.25">
      <c r="A82" s="9" t="s">
        <v>221</v>
      </c>
    </row>
    <row r="83" spans="1:11" x14ac:dyDescent="0.25">
      <c r="A83" s="7" t="s">
        <v>655</v>
      </c>
      <c r="C83" s="20">
        <v>0.68700000000000006</v>
      </c>
      <c r="D83" s="20">
        <v>0.68</v>
      </c>
      <c r="E83" s="20">
        <v>0.65100000000000002</v>
      </c>
      <c r="F83" s="20">
        <v>0.63400000000000001</v>
      </c>
      <c r="G83" s="20">
        <v>0.63300000000000001</v>
      </c>
      <c r="H83" s="20">
        <v>0.61499999999999999</v>
      </c>
      <c r="I83" s="20">
        <v>0.59799999999999998</v>
      </c>
      <c r="J83" s="20">
        <v>0.58099999999999996</v>
      </c>
    </row>
    <row r="84" spans="1:11" x14ac:dyDescent="0.25">
      <c r="A84" s="7" t="s">
        <v>656</v>
      </c>
      <c r="C84" s="20">
        <v>0.8</v>
      </c>
      <c r="D84" s="20">
        <v>0.8</v>
      </c>
      <c r="E84" s="20">
        <v>0.8</v>
      </c>
      <c r="F84" s="20">
        <v>0.8</v>
      </c>
      <c r="G84" s="20">
        <v>0.8</v>
      </c>
      <c r="H84" s="20">
        <v>0.8</v>
      </c>
      <c r="I84" s="20">
        <v>0.8</v>
      </c>
      <c r="J84" s="20">
        <v>0.8</v>
      </c>
    </row>
    <row r="85" spans="1:11" x14ac:dyDescent="0.25">
      <c r="A85" s="7" t="s">
        <v>657</v>
      </c>
      <c r="C85" s="20">
        <v>0.2</v>
      </c>
      <c r="D85" s="20">
        <v>0.2</v>
      </c>
      <c r="E85" s="20">
        <v>0.2</v>
      </c>
      <c r="F85" s="20">
        <v>0.2</v>
      </c>
      <c r="G85" s="20">
        <v>0.2</v>
      </c>
      <c r="H85" s="20">
        <v>0.2</v>
      </c>
      <c r="I85" s="20">
        <v>0.2</v>
      </c>
      <c r="J85" s="20">
        <v>0.2</v>
      </c>
    </row>
    <row r="86" spans="1:11" x14ac:dyDescent="0.25">
      <c r="A86" s="7" t="s">
        <v>658</v>
      </c>
      <c r="B86" s="20">
        <v>0.05</v>
      </c>
      <c r="C86" s="7" t="s">
        <v>71</v>
      </c>
      <c r="D86" s="7" t="s">
        <v>71</v>
      </c>
      <c r="E86" s="7" t="s">
        <v>71</v>
      </c>
      <c r="F86" s="7" t="s">
        <v>71</v>
      </c>
      <c r="G86" s="7" t="s">
        <v>71</v>
      </c>
      <c r="H86" s="7" t="s">
        <v>71</v>
      </c>
      <c r="I86" s="7" t="s">
        <v>71</v>
      </c>
      <c r="J86" s="7" t="s">
        <v>71</v>
      </c>
    </row>
    <row r="87" spans="1:11" x14ac:dyDescent="0.25">
      <c r="A87" s="7" t="s">
        <v>631</v>
      </c>
      <c r="C87" s="20">
        <v>3.5999999999999997E-2</v>
      </c>
      <c r="D87" s="20">
        <v>3.4000000000000002E-2</v>
      </c>
      <c r="E87" s="20">
        <v>3.5000000000000003E-2</v>
      </c>
      <c r="F87" s="20">
        <v>0.05</v>
      </c>
      <c r="G87" s="20">
        <v>5.5E-2</v>
      </c>
      <c r="H87" s="20">
        <v>5.2999999999999999E-2</v>
      </c>
      <c r="I87" s="20">
        <v>5.0999999999999997E-2</v>
      </c>
      <c r="J87" s="20">
        <v>4.9000000000000002E-2</v>
      </c>
    </row>
    <row r="88" spans="1:11" x14ac:dyDescent="0.25">
      <c r="A88" s="7" t="s">
        <v>659</v>
      </c>
      <c r="C88" s="21">
        <v>-0.14000000000000001</v>
      </c>
      <c r="D88" s="20">
        <v>-0.14799999999999999</v>
      </c>
      <c r="E88" s="20">
        <v>-0.158</v>
      </c>
      <c r="F88" s="20">
        <v>-0.16300000000000001</v>
      </c>
      <c r="G88" s="20">
        <v>-0.16700000000000001</v>
      </c>
      <c r="H88" s="20">
        <v>-0.16700000000000001</v>
      </c>
      <c r="I88" s="20">
        <v>-0.16700000000000001</v>
      </c>
      <c r="J88" s="20">
        <v>-0.16700000000000001</v>
      </c>
    </row>
    <row r="89" spans="1:11" x14ac:dyDescent="0.25">
      <c r="A89" s="7" t="s">
        <v>660</v>
      </c>
      <c r="C89" s="20">
        <v>6.4000000000000001E-2</v>
      </c>
      <c r="D89" s="20">
        <v>6.2E-2</v>
      </c>
      <c r="E89" s="20">
        <v>0.06</v>
      </c>
      <c r="F89" s="20">
        <v>5.7000000000000002E-2</v>
      </c>
      <c r="G89" s="20">
        <v>5.5E-2</v>
      </c>
      <c r="H89" s="20">
        <v>5.2999999999999999E-2</v>
      </c>
      <c r="I89" s="20">
        <v>5.0999999999999997E-2</v>
      </c>
      <c r="J89" s="20">
        <v>0.05</v>
      </c>
    </row>
    <row r="90" spans="1:11" x14ac:dyDescent="0.25">
      <c r="A90" s="16" t="s">
        <v>127</v>
      </c>
    </row>
    <row r="91" spans="1:11" x14ac:dyDescent="0.25">
      <c r="A91" s="7" t="s">
        <v>661</v>
      </c>
    </row>
    <row r="92" spans="1:11" x14ac:dyDescent="0.25">
      <c r="A92" s="7" t="s">
        <v>291</v>
      </c>
    </row>
    <row r="93" spans="1:11" x14ac:dyDescent="0.25">
      <c r="A93" s="16" t="s">
        <v>61</v>
      </c>
    </row>
    <row r="94" spans="1:11" x14ac:dyDescent="0.25">
      <c r="A94" s="9" t="s">
        <v>62</v>
      </c>
      <c r="K94" s="2" t="s">
        <v>63</v>
      </c>
    </row>
    <row r="95" spans="1:11" x14ac:dyDescent="0.25">
      <c r="F95" s="5" t="s">
        <v>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2:M95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K2" s="7" t="s">
        <v>668</v>
      </c>
    </row>
    <row r="3" spans="1:13" x14ac:dyDescent="0.25">
      <c r="A3" s="6" t="s">
        <v>9</v>
      </c>
    </row>
    <row r="4" spans="1:13" x14ac:dyDescent="0.25">
      <c r="A4" s="6" t="s">
        <v>669</v>
      </c>
    </row>
    <row r="5" spans="1:13" x14ac:dyDescent="0.25">
      <c r="A5" s="6" t="s">
        <v>11</v>
      </c>
    </row>
    <row r="6" spans="1:13" x14ac:dyDescent="0.25">
      <c r="C6" s="9" t="s">
        <v>95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23</v>
      </c>
      <c r="C9" s="10">
        <v>6</v>
      </c>
      <c r="D9" s="10">
        <v>26</v>
      </c>
      <c r="E9" s="10">
        <v>27</v>
      </c>
      <c r="F9" s="10">
        <v>28</v>
      </c>
      <c r="G9" s="10">
        <v>30</v>
      </c>
      <c r="H9" s="10">
        <v>32</v>
      </c>
      <c r="I9" s="10">
        <v>34</v>
      </c>
      <c r="J9" s="10">
        <v>36</v>
      </c>
    </row>
    <row r="10" spans="1:13" x14ac:dyDescent="0.25">
      <c r="A10" s="7" t="s">
        <v>629</v>
      </c>
      <c r="C10" s="19">
        <v>-3</v>
      </c>
      <c r="D10" s="19">
        <v>-13</v>
      </c>
      <c r="E10" s="19">
        <v>-13</v>
      </c>
      <c r="F10" s="19">
        <v>-13</v>
      </c>
      <c r="G10" s="19">
        <v>-14</v>
      </c>
      <c r="H10" s="19">
        <v>-14</v>
      </c>
      <c r="I10" s="19">
        <v>-15</v>
      </c>
      <c r="J10" s="19">
        <v>-15</v>
      </c>
    </row>
    <row r="11" spans="1:13" x14ac:dyDescent="0.25">
      <c r="A11" s="7"/>
      <c r="C11" s="19">
        <f>SUM(C8:C9)</f>
        <v>6</v>
      </c>
      <c r="D11" s="19">
        <f>SUM(D8:D9)</f>
        <v>26</v>
      </c>
      <c r="E11" s="19">
        <f>SUM(E8:E9)</f>
        <v>27</v>
      </c>
      <c r="F11" s="19">
        <f>SUM(F8:F9)</f>
        <v>28</v>
      </c>
      <c r="G11" s="19">
        <f>SUM(G8:G9)</f>
        <v>30</v>
      </c>
      <c r="H11" s="19">
        <f>SUM(H8:H9)</f>
        <v>32</v>
      </c>
      <c r="I11" s="19">
        <f>SUM(I8:I9)</f>
        <v>34</v>
      </c>
      <c r="J11" s="19">
        <f>SUM(J8:J9)</f>
        <v>36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C12" s="19">
        <f>C11-C10</f>
        <v>9</v>
      </c>
      <c r="D12" s="19">
        <f>D11-D10</f>
        <v>39</v>
      </c>
      <c r="E12" s="19">
        <f>E11-E10</f>
        <v>40</v>
      </c>
      <c r="F12" s="19">
        <f>F11-F10</f>
        <v>41</v>
      </c>
      <c r="G12" s="19">
        <f>G11-G10</f>
        <v>44</v>
      </c>
      <c r="H12" s="19">
        <f>H11-H10</f>
        <v>46</v>
      </c>
      <c r="I12" s="19">
        <f>I11-I10</f>
        <v>49</v>
      </c>
      <c r="J12" s="19">
        <f>J11-J10</f>
        <v>51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630</v>
      </c>
      <c r="C13" s="10">
        <v>3</v>
      </c>
      <c r="D13" s="10">
        <v>13</v>
      </c>
      <c r="E13" s="10">
        <v>14</v>
      </c>
      <c r="F13" s="10">
        <v>15</v>
      </c>
      <c r="G13" s="10">
        <v>16</v>
      </c>
      <c r="H13" s="10">
        <v>17</v>
      </c>
      <c r="I13" s="10">
        <v>19</v>
      </c>
      <c r="J13" s="10">
        <v>20</v>
      </c>
    </row>
    <row r="14" spans="1:13" x14ac:dyDescent="0.25">
      <c r="A14" s="7" t="s">
        <v>631</v>
      </c>
      <c r="C14" s="19">
        <v>0</v>
      </c>
      <c r="D14" s="19">
        <v>-1</v>
      </c>
      <c r="E14" s="19">
        <v>-1</v>
      </c>
      <c r="F14" s="19">
        <v>-1</v>
      </c>
      <c r="G14" s="19">
        <v>-2</v>
      </c>
      <c r="H14" s="19">
        <v>-2</v>
      </c>
      <c r="I14" s="19">
        <v>-2</v>
      </c>
      <c r="J14" s="19">
        <v>-2</v>
      </c>
    </row>
    <row r="15" spans="1:13" x14ac:dyDescent="0.25">
      <c r="A15" s="7"/>
      <c r="C15" s="19">
        <f>C10*C13</f>
        <v>-9</v>
      </c>
      <c r="D15" s="19">
        <f>D10*D13</f>
        <v>-169</v>
      </c>
      <c r="E15" s="19">
        <f>E10*E13</f>
        <v>-182</v>
      </c>
      <c r="F15" s="19">
        <f>F10*F13</f>
        <v>-195</v>
      </c>
      <c r="G15" s="19">
        <f>G10*G13</f>
        <v>-224</v>
      </c>
      <c r="H15" s="19">
        <f>H10*H13</f>
        <v>-238</v>
      </c>
      <c r="I15" s="19">
        <f>I10*I13</f>
        <v>-285</v>
      </c>
      <c r="J15" s="19">
        <f>J10*J13</f>
        <v>-300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C16" s="19">
        <f>C15-C14</f>
        <v>-9</v>
      </c>
      <c r="D16" s="19">
        <f>D15-D14</f>
        <v>-168</v>
      </c>
      <c r="E16" s="19">
        <f>E15-E14</f>
        <v>-181</v>
      </c>
      <c r="F16" s="19">
        <f>F15-F14</f>
        <v>-194</v>
      </c>
      <c r="G16" s="19">
        <f>G15-G14</f>
        <v>-222</v>
      </c>
      <c r="H16" s="19">
        <f>H15-H14</f>
        <v>-236</v>
      </c>
      <c r="I16" s="19">
        <f>I15-I14</f>
        <v>-283</v>
      </c>
      <c r="J16" s="19">
        <f>J15-J14</f>
        <v>-298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209</v>
      </c>
      <c r="C17" s="10">
        <v>3</v>
      </c>
      <c r="D17" s="10">
        <v>12</v>
      </c>
      <c r="E17" s="10">
        <v>13</v>
      </c>
      <c r="F17" s="10">
        <v>14</v>
      </c>
      <c r="G17" s="10">
        <v>14</v>
      </c>
      <c r="H17" s="10">
        <v>16</v>
      </c>
      <c r="I17" s="10">
        <v>17</v>
      </c>
      <c r="J17" s="10">
        <v>19</v>
      </c>
    </row>
    <row r="18" spans="1:13" x14ac:dyDescent="0.25">
      <c r="A18" s="7" t="s">
        <v>632</v>
      </c>
      <c r="B18" s="20">
        <v>0.39500000000000002</v>
      </c>
      <c r="C18" s="19">
        <v>-1</v>
      </c>
      <c r="D18" s="19">
        <v>-5</v>
      </c>
      <c r="E18" s="19">
        <v>-5</v>
      </c>
      <c r="F18" s="19">
        <v>-5</v>
      </c>
      <c r="G18" s="19">
        <v>-6</v>
      </c>
      <c r="H18" s="19">
        <v>-6</v>
      </c>
      <c r="I18" s="19">
        <v>-7</v>
      </c>
      <c r="J18" s="19">
        <v>-7</v>
      </c>
    </row>
    <row r="19" spans="1:13" x14ac:dyDescent="0.25">
      <c r="A19" s="7" t="s">
        <v>633</v>
      </c>
      <c r="C19" s="10">
        <v>2</v>
      </c>
      <c r="D19" s="10">
        <v>7</v>
      </c>
      <c r="E19" s="10">
        <v>8</v>
      </c>
      <c r="F19" s="10">
        <v>8</v>
      </c>
      <c r="G19" s="10">
        <v>9</v>
      </c>
      <c r="H19" s="10">
        <v>9</v>
      </c>
      <c r="I19" s="10">
        <v>10</v>
      </c>
      <c r="J19" s="10">
        <v>11</v>
      </c>
    </row>
    <row r="20" spans="1:13" x14ac:dyDescent="0.25">
      <c r="A20" s="7" t="s">
        <v>111</v>
      </c>
      <c r="C20" s="10">
        <v>0</v>
      </c>
      <c r="D20" s="10">
        <v>1</v>
      </c>
      <c r="E20" s="10">
        <v>1</v>
      </c>
      <c r="F20" s="10">
        <v>1</v>
      </c>
      <c r="G20" s="10">
        <v>2</v>
      </c>
      <c r="H20" s="10">
        <v>2</v>
      </c>
      <c r="I20" s="10">
        <v>2</v>
      </c>
      <c r="J20" s="10">
        <v>2</v>
      </c>
    </row>
    <row r="21" spans="1:13" x14ac:dyDescent="0.25">
      <c r="A21" s="7"/>
      <c r="C21" s="10">
        <f>SUM(C18,C19)</f>
        <v>1</v>
      </c>
      <c r="D21" s="10">
        <f>SUM(D18,D19)</f>
        <v>2</v>
      </c>
      <c r="E21" s="10">
        <f>SUM(E18,E19)</f>
        <v>3</v>
      </c>
      <c r="F21" s="10">
        <f>SUM(F18,F19)</f>
        <v>3</v>
      </c>
      <c r="G21" s="10">
        <f>SUM(G18,G19)</f>
        <v>3</v>
      </c>
      <c r="H21" s="10">
        <f>SUM(H18,H19)</f>
        <v>3</v>
      </c>
      <c r="I21" s="10">
        <f>SUM(I18,I19)</f>
        <v>3</v>
      </c>
      <c r="J21" s="10">
        <f>SUM(J18,J19)</f>
        <v>4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7"/>
      <c r="C22" s="10">
        <f>C21-C20</f>
        <v>1</v>
      </c>
      <c r="D22" s="10">
        <f>D21-D20</f>
        <v>1</v>
      </c>
      <c r="E22" s="10">
        <f>E21-E20</f>
        <v>2</v>
      </c>
      <c r="F22" s="10">
        <f>F21-F20</f>
        <v>2</v>
      </c>
      <c r="G22" s="10">
        <f>G21-G20</f>
        <v>1</v>
      </c>
      <c r="H22" s="10">
        <f>H21-H20</f>
        <v>1</v>
      </c>
      <c r="I22" s="10">
        <f>I21-I20</f>
        <v>1</v>
      </c>
      <c r="J22" s="10">
        <f>J21-J20</f>
        <v>2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634</v>
      </c>
      <c r="C23" s="23">
        <v>0.2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</row>
    <row r="24" spans="1:13" x14ac:dyDescent="0.25">
      <c r="A24" s="7"/>
      <c r="C24" s="23">
        <f>C10*B23</f>
        <v>0</v>
      </c>
      <c r="D24" s="10">
        <f>D10*B23</f>
        <v>0</v>
      </c>
      <c r="E24" s="10">
        <f>E10*B23</f>
        <v>0</v>
      </c>
      <c r="F24" s="10">
        <f>F10*B23</f>
        <v>0</v>
      </c>
      <c r="G24" s="10">
        <f>G10*B23</f>
        <v>0</v>
      </c>
      <c r="H24" s="10">
        <f>H10*B23</f>
        <v>0</v>
      </c>
      <c r="I24" s="10">
        <f>I10*B23</f>
        <v>0</v>
      </c>
      <c r="J24" s="10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 s="23">
        <f>C24-C23</f>
        <v>-0.2</v>
      </c>
      <c r="D25" s="10">
        <f>D24-D23</f>
        <v>0</v>
      </c>
      <c r="E25" s="10">
        <f>E24-E23</f>
        <v>0</v>
      </c>
      <c r="F25" s="10">
        <f>F24-F23</f>
        <v>0</v>
      </c>
      <c r="G25" s="10">
        <f>G24-G23</f>
        <v>0</v>
      </c>
      <c r="H25" s="10">
        <f>H24-H23</f>
        <v>0</v>
      </c>
      <c r="I25" s="10">
        <f>I24-I23</f>
        <v>0</v>
      </c>
      <c r="J25" s="10">
        <f>J24-J23</f>
        <v>0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7" t="s">
        <v>113</v>
      </c>
      <c r="C26" s="19">
        <v>0</v>
      </c>
      <c r="D26" s="19">
        <v>-2</v>
      </c>
      <c r="E26" s="19">
        <v>-2</v>
      </c>
      <c r="F26" s="19">
        <v>-2</v>
      </c>
      <c r="G26" s="19">
        <v>-2</v>
      </c>
      <c r="H26" s="19">
        <v>-2</v>
      </c>
      <c r="I26" s="19">
        <v>-2</v>
      </c>
      <c r="J26" s="19">
        <v>-2</v>
      </c>
    </row>
    <row r="27" spans="1:13" x14ac:dyDescent="0.25">
      <c r="A27" s="7"/>
      <c r="C27" s="19">
        <f>SUM(C20,C23)</f>
        <v>0.2</v>
      </c>
      <c r="D27" s="19">
        <f>SUM(D20,D23)</f>
        <v>1</v>
      </c>
      <c r="E27" s="19">
        <f>SUM(E20,E23)</f>
        <v>1</v>
      </c>
      <c r="F27" s="19">
        <f>SUM(F20,F23)</f>
        <v>1</v>
      </c>
      <c r="G27" s="19">
        <f>SUM(G20,G23)</f>
        <v>2</v>
      </c>
      <c r="H27" s="19">
        <f>SUM(H20,H23)</f>
        <v>2</v>
      </c>
      <c r="I27" s="19">
        <f>SUM(I20,I23)</f>
        <v>2</v>
      </c>
      <c r="J27" s="19">
        <f>SUM(J20,J23)</f>
        <v>2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7"/>
      <c r="C28" s="19">
        <f>C27-C26</f>
        <v>0.2</v>
      </c>
      <c r="D28" s="19">
        <f>D27-D26</f>
        <v>3</v>
      </c>
      <c r="E28" s="19">
        <f>E27-E26</f>
        <v>3</v>
      </c>
      <c r="F28" s="19">
        <f>F27-F26</f>
        <v>3</v>
      </c>
      <c r="G28" s="19">
        <f>G27-G26</f>
        <v>4</v>
      </c>
      <c r="H28" s="19">
        <f>H27-H26</f>
        <v>4</v>
      </c>
      <c r="I28" s="19">
        <f>I27-I26</f>
        <v>4</v>
      </c>
      <c r="J28" s="19">
        <f>J27-J26</f>
        <v>4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635</v>
      </c>
      <c r="C29" s="10">
        <v>2</v>
      </c>
      <c r="D29" s="10">
        <v>7</v>
      </c>
      <c r="E29" s="10">
        <v>7</v>
      </c>
      <c r="F29" s="10">
        <v>8</v>
      </c>
      <c r="G29" s="10">
        <v>9</v>
      </c>
      <c r="H29" s="10">
        <v>10</v>
      </c>
      <c r="I29" s="10">
        <v>11</v>
      </c>
      <c r="J29" s="10">
        <v>12</v>
      </c>
    </row>
    <row r="30" spans="1:13" x14ac:dyDescent="0.25">
      <c r="A30" s="7"/>
      <c r="C30" s="10">
        <f>C26*B29</f>
        <v>0</v>
      </c>
      <c r="D30" s="10">
        <f>D26*B29</f>
        <v>0</v>
      </c>
      <c r="E30" s="10">
        <f>E26*B29</f>
        <v>0</v>
      </c>
      <c r="F30" s="10">
        <f>F26*B29</f>
        <v>0</v>
      </c>
      <c r="G30" s="10">
        <f>G26*B29</f>
        <v>0</v>
      </c>
      <c r="H30" s="10">
        <f>H26*B29</f>
        <v>0</v>
      </c>
      <c r="I30" s="10">
        <f>I26*B29</f>
        <v>0</v>
      </c>
      <c r="J30" s="1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 s="10">
        <f>C30-C29</f>
        <v>-2</v>
      </c>
      <c r="D31" s="10">
        <f>D30-D29</f>
        <v>-7</v>
      </c>
      <c r="E31" s="10">
        <f>E30-E29</f>
        <v>-7</v>
      </c>
      <c r="F31" s="10">
        <f>F30-F29</f>
        <v>-8</v>
      </c>
      <c r="G31" s="10">
        <f>G30-G29</f>
        <v>-9</v>
      </c>
      <c r="H31" s="10">
        <f>H30-H29</f>
        <v>-10</v>
      </c>
      <c r="I31" s="10">
        <f>I30-I29</f>
        <v>-11</v>
      </c>
      <c r="J31" s="10">
        <f>J30-J29</f>
        <v>-12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6" t="s">
        <v>636</v>
      </c>
    </row>
    <row r="33" spans="1:13" x14ac:dyDescent="0.25">
      <c r="A33" s="6"/>
      <c r="C33" s="60">
        <f>SUM(C26,C29)</f>
        <v>2</v>
      </c>
      <c r="D33" s="60">
        <f>SUM(D26,D29)</f>
        <v>5</v>
      </c>
      <c r="E33" s="60">
        <f>SUM(E26,E29)</f>
        <v>5</v>
      </c>
      <c r="F33" s="60">
        <f>SUM(F26,F29)</f>
        <v>6</v>
      </c>
      <c r="G33" s="60">
        <f>SUM(G26,G29)</f>
        <v>7</v>
      </c>
      <c r="H33" s="60">
        <f>SUM(H26,H29)</f>
        <v>8</v>
      </c>
      <c r="I33" s="60">
        <f>SUM(I26,I29)</f>
        <v>9</v>
      </c>
      <c r="J33" s="60">
        <f>SUM(J26,J29)</f>
        <v>10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6"/>
      <c r="C34" s="60">
        <f>C33-C32</f>
        <v>2</v>
      </c>
      <c r="D34" s="60">
        <f>D33-D32</f>
        <v>5</v>
      </c>
      <c r="E34" s="60">
        <f>E33-E32</f>
        <v>5</v>
      </c>
      <c r="F34" s="60">
        <f>F33-F32</f>
        <v>6</v>
      </c>
      <c r="G34" s="60">
        <f>G33-G32</f>
        <v>7</v>
      </c>
      <c r="H34" s="60">
        <f>H33-H32</f>
        <v>8</v>
      </c>
      <c r="I34" s="60">
        <f>I33-I32</f>
        <v>9</v>
      </c>
      <c r="J34" s="60">
        <f>J33-J32</f>
        <v>10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637</v>
      </c>
      <c r="D35" s="20">
        <v>0.05</v>
      </c>
      <c r="E35" s="20">
        <v>0.05</v>
      </c>
      <c r="F35" s="20">
        <v>4.1000000000000002E-2</v>
      </c>
      <c r="G35" s="20">
        <v>5.8999999999999997E-2</v>
      </c>
      <c r="H35" s="20">
        <v>6.0999999999999999E-2</v>
      </c>
      <c r="I35" s="20">
        <v>6.3E-2</v>
      </c>
      <c r="J35" s="20">
        <v>6.4000000000000001E-2</v>
      </c>
    </row>
    <row r="36" spans="1:13" x14ac:dyDescent="0.25">
      <c r="A36" s="7" t="s">
        <v>638</v>
      </c>
      <c r="C36" s="20">
        <v>0.49099999999999999</v>
      </c>
      <c r="D36" s="20">
        <v>0.48699999999999999</v>
      </c>
      <c r="E36" s="20">
        <v>0.52</v>
      </c>
      <c r="F36" s="20">
        <v>0.53600000000000003</v>
      </c>
      <c r="G36" s="20">
        <v>0.53600000000000003</v>
      </c>
      <c r="H36" s="20">
        <v>0.54900000000000004</v>
      </c>
      <c r="I36" s="20">
        <v>0.56100000000000005</v>
      </c>
      <c r="J36" s="20">
        <v>0.57199999999999995</v>
      </c>
    </row>
    <row r="37" spans="1:13" x14ac:dyDescent="0.25">
      <c r="A37" s="7"/>
      <c r="C37" s="20">
        <f>SUM(C32,C35)</f>
        <v>0</v>
      </c>
      <c r="D37" s="20">
        <f>SUM(D32,D35)</f>
        <v>0.05</v>
      </c>
      <c r="E37" s="20">
        <f>SUM(E32,E35)</f>
        <v>0.05</v>
      </c>
      <c r="F37" s="20">
        <f>SUM(F32,F35)</f>
        <v>4.1000000000000002E-2</v>
      </c>
      <c r="G37" s="20">
        <f>SUM(G32,G35)</f>
        <v>5.8999999999999997E-2</v>
      </c>
      <c r="H37" s="20">
        <f>SUM(H32,H35)</f>
        <v>6.0999999999999999E-2</v>
      </c>
      <c r="I37" s="20">
        <f>SUM(I32,I35)</f>
        <v>6.3E-2</v>
      </c>
      <c r="J37" s="20">
        <f>SUM(J32,J35)</f>
        <v>6.4000000000000001E-2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7"/>
      <c r="C38" s="20">
        <f>C37-C36</f>
        <v>-0.49099999999999999</v>
      </c>
      <c r="D38" s="20">
        <f>D37-D36</f>
        <v>-0.437</v>
      </c>
      <c r="E38" s="20">
        <f>E37-E36</f>
        <v>-0.47000000000000003</v>
      </c>
      <c r="F38" s="20">
        <f>F37-F36</f>
        <v>-0.49500000000000005</v>
      </c>
      <c r="G38" s="20">
        <f>G37-G36</f>
        <v>-0.47700000000000004</v>
      </c>
      <c r="H38" s="20">
        <f>H37-H36</f>
        <v>-0.48800000000000004</v>
      </c>
      <c r="I38" s="20">
        <f>I37-I36</f>
        <v>-0.49800000000000005</v>
      </c>
      <c r="J38" s="20">
        <f>J37-J36</f>
        <v>-0.50800000000000001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631</v>
      </c>
      <c r="C39" s="20">
        <v>3.5999999999999997E-2</v>
      </c>
      <c r="D39" s="20">
        <v>3.4000000000000002E-2</v>
      </c>
      <c r="E39" s="20">
        <v>3.5000000000000003E-2</v>
      </c>
      <c r="F39" s="20">
        <v>0.05</v>
      </c>
      <c r="G39" s="20">
        <v>5.5E-2</v>
      </c>
      <c r="H39" s="20">
        <v>5.2999999999999999E-2</v>
      </c>
      <c r="I39" s="20">
        <v>5.0999999999999997E-2</v>
      </c>
      <c r="J39" s="20">
        <v>4.9000000000000002E-2</v>
      </c>
    </row>
    <row r="40" spans="1:13" x14ac:dyDescent="0.25">
      <c r="A40" s="7" t="s">
        <v>639</v>
      </c>
      <c r="C40" s="20">
        <v>-0.14000000000000001</v>
      </c>
      <c r="D40" s="20">
        <v>-0.14799999999999999</v>
      </c>
      <c r="E40" s="20">
        <v>-0.158</v>
      </c>
      <c r="F40" s="20">
        <v>-0.16300000000000001</v>
      </c>
      <c r="G40" s="20">
        <v>-0.16700000000000001</v>
      </c>
      <c r="H40" s="20">
        <v>-0.16700000000000001</v>
      </c>
      <c r="I40" s="20">
        <v>-0.16700000000000001</v>
      </c>
      <c r="J40" s="20">
        <v>-0.16700000000000001</v>
      </c>
    </row>
    <row r="41" spans="1:13" x14ac:dyDescent="0.25">
      <c r="A41" s="7"/>
      <c r="C41" s="20">
        <f>C36*C39</f>
        <v>1.7675999999999997E-2</v>
      </c>
      <c r="D41" s="20">
        <f>D36*D39</f>
        <v>1.6558E-2</v>
      </c>
      <c r="E41" s="20">
        <f>E36*E39</f>
        <v>1.8200000000000001E-2</v>
      </c>
      <c r="F41" s="20">
        <f>F36*F39</f>
        <v>2.6800000000000004E-2</v>
      </c>
      <c r="G41" s="20">
        <f>G36*G39</f>
        <v>2.9480000000000003E-2</v>
      </c>
      <c r="H41" s="20">
        <f>H36*H39</f>
        <v>2.9097000000000001E-2</v>
      </c>
      <c r="I41" s="20">
        <f>I36*I39</f>
        <v>2.8611000000000001E-2</v>
      </c>
      <c r="J41" s="20">
        <f>J36*J39</f>
        <v>2.8027999999999997E-2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7"/>
      <c r="C42" s="20">
        <f>C41-C40</f>
        <v>0.15767600000000001</v>
      </c>
      <c r="D42" s="20">
        <f>D41-D40</f>
        <v>0.16455799999999998</v>
      </c>
      <c r="E42" s="20">
        <f>E41-E40</f>
        <v>0.1762</v>
      </c>
      <c r="F42" s="20">
        <f>F41-F40</f>
        <v>0.18980000000000002</v>
      </c>
      <c r="G42" s="20">
        <f>G41-G40</f>
        <v>0.19648000000000002</v>
      </c>
      <c r="H42" s="20">
        <f>H41-H40</f>
        <v>0.19609700000000002</v>
      </c>
      <c r="I42" s="20">
        <f>I41-I40</f>
        <v>0.19561100000000001</v>
      </c>
      <c r="J42" s="20">
        <f>J41-J40</f>
        <v>0.19502800000000001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7" t="s">
        <v>640</v>
      </c>
      <c r="C43" s="20">
        <v>6.4000000000000001E-2</v>
      </c>
      <c r="D43" s="20">
        <v>6.2E-2</v>
      </c>
      <c r="E43" s="20">
        <v>0.06</v>
      </c>
      <c r="F43" s="20">
        <v>5.7000000000000002E-2</v>
      </c>
      <c r="G43" s="20">
        <v>5.5E-2</v>
      </c>
      <c r="H43" s="20">
        <v>5.2999999999999999E-2</v>
      </c>
      <c r="I43" s="20">
        <v>5.0999999999999997E-2</v>
      </c>
      <c r="J43" s="20">
        <v>0.05</v>
      </c>
    </row>
    <row r="44" spans="1:13" x14ac:dyDescent="0.25">
      <c r="A44" s="6" t="s">
        <v>664</v>
      </c>
    </row>
    <row r="45" spans="1:13" x14ac:dyDescent="0.25">
      <c r="A45" s="7" t="s">
        <v>642</v>
      </c>
      <c r="C45" s="40">
        <v>0.107</v>
      </c>
      <c r="D45" s="40">
        <v>0.53600000000000003</v>
      </c>
      <c r="E45" s="40">
        <v>0.96399999999999997</v>
      </c>
      <c r="F45" s="40">
        <v>1</v>
      </c>
      <c r="G45" s="40">
        <v>1</v>
      </c>
      <c r="H45" s="40">
        <v>1</v>
      </c>
      <c r="I45" s="40">
        <v>1</v>
      </c>
      <c r="J45" s="40">
        <v>1</v>
      </c>
    </row>
    <row r="46" spans="1:13" x14ac:dyDescent="0.25">
      <c r="A46" s="7" t="s">
        <v>643</v>
      </c>
      <c r="C46" s="10">
        <v>1</v>
      </c>
      <c r="D46" s="10">
        <v>14</v>
      </c>
      <c r="E46" s="10">
        <v>26</v>
      </c>
      <c r="F46" s="10">
        <v>28</v>
      </c>
      <c r="G46" s="10">
        <v>30</v>
      </c>
      <c r="H46" s="10">
        <v>32</v>
      </c>
      <c r="I46" s="10">
        <v>34</v>
      </c>
      <c r="J46" s="10">
        <v>36</v>
      </c>
    </row>
    <row r="47" spans="1:13" x14ac:dyDescent="0.25">
      <c r="A47" s="7" t="s">
        <v>644</v>
      </c>
      <c r="C47" s="19">
        <v>-2</v>
      </c>
      <c r="D47" s="19">
        <v>-11</v>
      </c>
      <c r="E47" s="19">
        <v>-10</v>
      </c>
      <c r="F47" s="19">
        <v>-10</v>
      </c>
      <c r="G47" s="19">
        <v>-11</v>
      </c>
      <c r="H47" s="19">
        <v>-11</v>
      </c>
      <c r="I47" s="19">
        <v>-12</v>
      </c>
      <c r="J47" s="19">
        <v>-12</v>
      </c>
    </row>
    <row r="48" spans="1:13" x14ac:dyDescent="0.25">
      <c r="A48" s="7" t="s">
        <v>645</v>
      </c>
      <c r="C48" s="19">
        <v>0</v>
      </c>
      <c r="D48" s="19">
        <v>-1</v>
      </c>
      <c r="E48" s="19">
        <v>-3</v>
      </c>
      <c r="F48" s="19">
        <v>-3</v>
      </c>
      <c r="G48" s="19">
        <v>-3</v>
      </c>
      <c r="H48" s="19">
        <v>-3</v>
      </c>
      <c r="I48" s="19">
        <v>-3</v>
      </c>
      <c r="J48" s="19">
        <v>-3</v>
      </c>
    </row>
    <row r="49" spans="1:10" x14ac:dyDescent="0.25">
      <c r="A49" s="7" t="s">
        <v>646</v>
      </c>
      <c r="C49" s="7" t="s">
        <v>90</v>
      </c>
      <c r="D49" s="7" t="s">
        <v>90</v>
      </c>
      <c r="E49" s="7" t="s">
        <v>90</v>
      </c>
      <c r="F49" s="7" t="s">
        <v>90</v>
      </c>
      <c r="G49" s="7" t="s">
        <v>90</v>
      </c>
      <c r="H49" s="7" t="s">
        <v>90</v>
      </c>
      <c r="I49" s="7" t="s">
        <v>90</v>
      </c>
      <c r="J49" s="7" t="s">
        <v>90</v>
      </c>
    </row>
    <row r="50" spans="1:10" x14ac:dyDescent="0.25">
      <c r="A50" s="6" t="s">
        <v>630</v>
      </c>
      <c r="C50" s="31">
        <v>-2</v>
      </c>
      <c r="D50" s="13">
        <v>2</v>
      </c>
      <c r="E50" s="13">
        <v>13</v>
      </c>
      <c r="F50" s="13">
        <v>15</v>
      </c>
      <c r="G50" s="13">
        <v>16</v>
      </c>
      <c r="H50" s="13">
        <v>17</v>
      </c>
      <c r="I50" s="13">
        <v>19</v>
      </c>
      <c r="J50" s="13">
        <v>20</v>
      </c>
    </row>
    <row r="51" spans="1:10" x14ac:dyDescent="0.25">
      <c r="A51" s="11" t="s">
        <v>647</v>
      </c>
      <c r="C51" s="41">
        <v>5</v>
      </c>
      <c r="D51" s="41">
        <v>11</v>
      </c>
      <c r="E51" s="41">
        <v>1</v>
      </c>
      <c r="F51" s="11" t="s">
        <v>90</v>
      </c>
      <c r="G51" s="11" t="s">
        <v>90</v>
      </c>
      <c r="H51" s="11" t="s">
        <v>90</v>
      </c>
      <c r="I51" s="11" t="s">
        <v>90</v>
      </c>
      <c r="J51" s="11" t="s">
        <v>90</v>
      </c>
    </row>
    <row r="52" spans="1:10" x14ac:dyDescent="0.25">
      <c r="A52" s="7" t="s">
        <v>631</v>
      </c>
      <c r="C52" s="19">
        <v>0</v>
      </c>
      <c r="D52" s="19">
        <v>0</v>
      </c>
      <c r="E52" s="19">
        <v>-1</v>
      </c>
      <c r="F52" s="19">
        <v>-1</v>
      </c>
      <c r="G52" s="19">
        <v>-2</v>
      </c>
      <c r="H52" s="19">
        <v>-2</v>
      </c>
      <c r="I52" s="19">
        <v>-2</v>
      </c>
      <c r="J52" s="19">
        <v>-2</v>
      </c>
    </row>
    <row r="53" spans="1:10" x14ac:dyDescent="0.25">
      <c r="A53" s="7"/>
      <c r="C53" s="19"/>
      <c r="D53" s="19"/>
      <c r="E53" s="19"/>
      <c r="F53" s="19"/>
      <c r="G53" s="19"/>
      <c r="H53" s="19"/>
      <c r="I53" s="19"/>
      <c r="J53" s="19"/>
    </row>
    <row r="54" spans="1:10" x14ac:dyDescent="0.25">
      <c r="A54" s="7"/>
      <c r="C54" s="19"/>
      <c r="D54" s="19"/>
      <c r="E54" s="19"/>
      <c r="F54" s="19"/>
      <c r="G54" s="19"/>
      <c r="H54" s="19"/>
      <c r="I54" s="19"/>
      <c r="J54" s="19"/>
    </row>
    <row r="55" spans="1:10" x14ac:dyDescent="0.25">
      <c r="A55" s="6" t="s">
        <v>209</v>
      </c>
      <c r="C55" s="31">
        <v>-2</v>
      </c>
      <c r="D55" s="13">
        <v>1</v>
      </c>
      <c r="E55" s="13">
        <v>12</v>
      </c>
      <c r="F55" s="13">
        <v>14</v>
      </c>
      <c r="G55" s="13">
        <v>14</v>
      </c>
      <c r="H55" s="13">
        <v>16</v>
      </c>
      <c r="I55" s="13">
        <v>17</v>
      </c>
      <c r="J55" s="13">
        <v>19</v>
      </c>
    </row>
    <row r="56" spans="1:10" x14ac:dyDescent="0.25">
      <c r="A56" s="6"/>
      <c r="C56" s="31"/>
      <c r="D56" s="13"/>
      <c r="E56" s="13"/>
      <c r="F56" s="13"/>
      <c r="G56" s="13"/>
      <c r="H56" s="13"/>
      <c r="I56" s="13"/>
      <c r="J56" s="13"/>
    </row>
    <row r="57" spans="1:10" x14ac:dyDescent="0.25">
      <c r="A57" s="6"/>
      <c r="C57" s="31"/>
      <c r="D57" s="13"/>
      <c r="E57" s="13"/>
      <c r="F57" s="13"/>
      <c r="G57" s="13"/>
      <c r="H57" s="13"/>
      <c r="I57" s="13"/>
      <c r="J57" s="13"/>
    </row>
    <row r="58" spans="1:10" x14ac:dyDescent="0.25">
      <c r="A58" s="7" t="s">
        <v>212</v>
      </c>
      <c r="B58" s="20">
        <v>0.39500000000000002</v>
      </c>
      <c r="C58" s="10">
        <v>1</v>
      </c>
      <c r="D58" s="19">
        <v>-1</v>
      </c>
      <c r="E58" s="19">
        <v>-5</v>
      </c>
      <c r="F58" s="19">
        <v>-5</v>
      </c>
      <c r="G58" s="19">
        <v>-6</v>
      </c>
      <c r="H58" s="19">
        <v>-6</v>
      </c>
      <c r="I58" s="19">
        <v>-7</v>
      </c>
      <c r="J58" s="19">
        <v>-7</v>
      </c>
    </row>
    <row r="59" spans="1:10" x14ac:dyDescent="0.25">
      <c r="A59" s="7"/>
      <c r="B59" s="20"/>
      <c r="C59" s="10"/>
      <c r="D59" s="19"/>
      <c r="E59" s="19"/>
      <c r="F59" s="19"/>
      <c r="G59" s="19"/>
      <c r="H59" s="19"/>
      <c r="I59" s="19"/>
      <c r="J59" s="19"/>
    </row>
    <row r="60" spans="1:10" x14ac:dyDescent="0.25">
      <c r="A60" s="7"/>
      <c r="B60" s="20"/>
      <c r="C60" s="10"/>
      <c r="D60" s="19"/>
      <c r="E60" s="19"/>
      <c r="F60" s="19"/>
      <c r="G60" s="19"/>
      <c r="H60" s="19"/>
      <c r="I60" s="19"/>
      <c r="J60" s="19"/>
    </row>
    <row r="61" spans="1:10" x14ac:dyDescent="0.25">
      <c r="A61" s="6" t="s">
        <v>213</v>
      </c>
      <c r="C61" s="31">
        <v>-1</v>
      </c>
      <c r="D61" s="13">
        <v>1</v>
      </c>
      <c r="E61" s="13">
        <v>7</v>
      </c>
      <c r="F61" s="13">
        <v>8</v>
      </c>
      <c r="G61" s="13">
        <v>9</v>
      </c>
      <c r="H61" s="13">
        <v>9</v>
      </c>
      <c r="I61" s="13">
        <v>10</v>
      </c>
      <c r="J61" s="13">
        <v>11</v>
      </c>
    </row>
    <row r="62" spans="1:10" x14ac:dyDescent="0.25">
      <c r="A62" s="6"/>
      <c r="C62" s="31"/>
      <c r="D62" s="13"/>
      <c r="E62" s="13"/>
      <c r="F62" s="13"/>
      <c r="G62" s="13"/>
      <c r="H62" s="13"/>
      <c r="I62" s="13"/>
      <c r="J62" s="13"/>
    </row>
    <row r="63" spans="1:10" x14ac:dyDescent="0.25">
      <c r="A63" s="6"/>
      <c r="C63" s="31"/>
      <c r="D63" s="13"/>
      <c r="E63" s="13"/>
      <c r="F63" s="13"/>
      <c r="G63" s="13"/>
      <c r="H63" s="13"/>
      <c r="I63" s="13"/>
      <c r="J63" s="13"/>
    </row>
    <row r="64" spans="1:10" x14ac:dyDescent="0.25">
      <c r="A64" s="7" t="s">
        <v>111</v>
      </c>
      <c r="C64" s="10">
        <v>0</v>
      </c>
      <c r="D64" s="10">
        <v>0</v>
      </c>
      <c r="E64" s="10">
        <v>1</v>
      </c>
      <c r="F64" s="10">
        <v>1</v>
      </c>
      <c r="G64" s="10">
        <v>2</v>
      </c>
      <c r="H64" s="10">
        <v>2</v>
      </c>
      <c r="I64" s="10">
        <v>2</v>
      </c>
      <c r="J64" s="10">
        <v>2</v>
      </c>
    </row>
    <row r="65" spans="1:10" x14ac:dyDescent="0.25">
      <c r="A65" s="7"/>
      <c r="C65" s="10"/>
      <c r="D65" s="10"/>
      <c r="E65" s="10"/>
      <c r="F65" s="10"/>
      <c r="G65" s="10"/>
      <c r="H65" s="10"/>
      <c r="I65" s="10"/>
      <c r="J65" s="10"/>
    </row>
    <row r="66" spans="1:10" x14ac:dyDescent="0.25">
      <c r="A66" s="7"/>
      <c r="C66" s="10"/>
      <c r="D66" s="10"/>
      <c r="E66" s="10"/>
      <c r="F66" s="10"/>
      <c r="G66" s="10"/>
      <c r="H66" s="10"/>
      <c r="I66" s="10"/>
      <c r="J66" s="10"/>
    </row>
    <row r="67" spans="1:10" x14ac:dyDescent="0.25">
      <c r="A67" s="7" t="s">
        <v>634</v>
      </c>
      <c r="C67" s="10">
        <v>0</v>
      </c>
      <c r="D67" s="10">
        <v>2</v>
      </c>
      <c r="E67" s="10">
        <v>2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</row>
    <row r="68" spans="1:10" x14ac:dyDescent="0.25">
      <c r="A68" s="7" t="s">
        <v>113</v>
      </c>
      <c r="C68" s="19">
        <v>0</v>
      </c>
      <c r="D68" s="19">
        <v>-1</v>
      </c>
      <c r="E68" s="19">
        <v>-2</v>
      </c>
      <c r="F68" s="19">
        <v>-2</v>
      </c>
      <c r="G68" s="19">
        <v>-2</v>
      </c>
      <c r="H68" s="19">
        <v>-2</v>
      </c>
      <c r="I68" s="19">
        <v>-2</v>
      </c>
      <c r="J68" s="19">
        <v>-2</v>
      </c>
    </row>
    <row r="69" spans="1:10" x14ac:dyDescent="0.25">
      <c r="A69" s="6" t="s">
        <v>648</v>
      </c>
      <c r="C69" s="31">
        <v>-1</v>
      </c>
      <c r="D69" s="13">
        <v>2</v>
      </c>
      <c r="E69" s="13">
        <v>9</v>
      </c>
      <c r="F69" s="13">
        <v>8</v>
      </c>
      <c r="G69" s="13">
        <v>9</v>
      </c>
      <c r="H69" s="13">
        <v>10</v>
      </c>
      <c r="I69" s="13">
        <v>11</v>
      </c>
      <c r="J69" s="13">
        <v>12</v>
      </c>
    </row>
    <row r="70" spans="1:10" x14ac:dyDescent="0.25">
      <c r="A70" s="6" t="s">
        <v>649</v>
      </c>
      <c r="C70" s="10">
        <v>2</v>
      </c>
      <c r="D70" s="10">
        <v>7</v>
      </c>
      <c r="E70" s="10">
        <v>7</v>
      </c>
      <c r="F70" s="10">
        <v>8</v>
      </c>
      <c r="G70" s="10">
        <v>9</v>
      </c>
      <c r="H70" s="10">
        <v>10</v>
      </c>
      <c r="I70" s="10">
        <v>11</v>
      </c>
      <c r="J70" s="10">
        <v>12</v>
      </c>
    </row>
    <row r="71" spans="1:10" x14ac:dyDescent="0.25">
      <c r="A71" s="6" t="s">
        <v>650</v>
      </c>
      <c r="C71" s="19">
        <v>-1</v>
      </c>
      <c r="D71" s="10">
        <v>2</v>
      </c>
      <c r="E71" s="10">
        <v>9</v>
      </c>
      <c r="F71" s="10">
        <v>8</v>
      </c>
      <c r="G71" s="10">
        <v>9</v>
      </c>
      <c r="H71" s="10">
        <v>10</v>
      </c>
      <c r="I71" s="10">
        <v>11</v>
      </c>
      <c r="J71" s="10">
        <v>12</v>
      </c>
    </row>
    <row r="72" spans="1:10" x14ac:dyDescent="0.25">
      <c r="A72" s="6" t="s">
        <v>651</v>
      </c>
      <c r="C72" s="13">
        <v>3</v>
      </c>
      <c r="D72" s="13">
        <v>4</v>
      </c>
      <c r="E72" s="31">
        <v>-1</v>
      </c>
      <c r="F72" s="6" t="s">
        <v>90</v>
      </c>
      <c r="G72" s="6" t="s">
        <v>90</v>
      </c>
      <c r="H72" s="6" t="s">
        <v>90</v>
      </c>
      <c r="I72" s="6" t="s">
        <v>90</v>
      </c>
      <c r="J72" s="6" t="s">
        <v>90</v>
      </c>
    </row>
    <row r="73" spans="1:10" x14ac:dyDescent="0.25">
      <c r="A73" s="7" t="s">
        <v>115</v>
      </c>
      <c r="B73" s="20">
        <v>0.11</v>
      </c>
      <c r="C73" s="23">
        <v>0.98740000000000006</v>
      </c>
      <c r="D73" s="23">
        <v>0.92530000000000001</v>
      </c>
      <c r="E73" s="23">
        <v>0.83360000000000001</v>
      </c>
      <c r="F73" s="24">
        <v>0.751</v>
      </c>
      <c r="G73" s="23">
        <v>0.67659999999999998</v>
      </c>
      <c r="H73" s="23">
        <v>0.60950000000000004</v>
      </c>
      <c r="I73" s="23">
        <v>0.54910000000000003</v>
      </c>
      <c r="J73" s="23">
        <v>0.49469999999999997</v>
      </c>
    </row>
    <row r="74" spans="1:10" x14ac:dyDescent="0.25">
      <c r="A74" s="6" t="s">
        <v>116</v>
      </c>
      <c r="C74" s="13">
        <v>3</v>
      </c>
      <c r="D74" s="13">
        <v>4</v>
      </c>
      <c r="E74" s="31">
        <v>-1</v>
      </c>
      <c r="F74" s="6" t="s">
        <v>90</v>
      </c>
      <c r="G74" s="6" t="s">
        <v>90</v>
      </c>
      <c r="H74" s="6" t="s">
        <v>90</v>
      </c>
      <c r="I74" s="6" t="s">
        <v>90</v>
      </c>
      <c r="J74" s="6" t="s">
        <v>90</v>
      </c>
    </row>
    <row r="75" spans="1:10" x14ac:dyDescent="0.25">
      <c r="A75" s="7" t="s">
        <v>216</v>
      </c>
      <c r="C75" s="10">
        <v>6</v>
      </c>
      <c r="G75" s="7" t="s">
        <v>652</v>
      </c>
    </row>
    <row r="76" spans="1:10" x14ac:dyDescent="0.25">
      <c r="A76" s="7" t="s">
        <v>121</v>
      </c>
      <c r="B76" s="7" t="s">
        <v>288</v>
      </c>
      <c r="C76" s="10">
        <v>1</v>
      </c>
      <c r="E76" s="10">
        <v>7</v>
      </c>
      <c r="F76" s="15">
        <v>0.25</v>
      </c>
      <c r="G76" s="15">
        <v>0.33</v>
      </c>
      <c r="H76" s="15">
        <v>0.5</v>
      </c>
      <c r="I76" s="15">
        <v>0.75</v>
      </c>
    </row>
    <row r="77" spans="1:10" x14ac:dyDescent="0.25">
      <c r="A77" s="6" t="s">
        <v>219</v>
      </c>
      <c r="C77" s="13">
        <v>7</v>
      </c>
      <c r="E77" s="15">
        <v>0</v>
      </c>
      <c r="F77" s="10">
        <v>7</v>
      </c>
      <c r="G77" s="10">
        <v>7</v>
      </c>
      <c r="H77" s="10">
        <v>7</v>
      </c>
      <c r="I77" s="10">
        <v>7</v>
      </c>
    </row>
    <row r="78" spans="1:10" x14ac:dyDescent="0.25">
      <c r="E78" s="15">
        <v>0.05</v>
      </c>
      <c r="F78" s="10">
        <v>7</v>
      </c>
      <c r="G78" s="10">
        <v>7</v>
      </c>
      <c r="H78" s="10">
        <v>7</v>
      </c>
      <c r="I78" s="10">
        <v>7</v>
      </c>
    </row>
    <row r="79" spans="1:10" x14ac:dyDescent="0.25">
      <c r="D79" s="7" t="s">
        <v>653</v>
      </c>
      <c r="E79" s="15">
        <v>0.1</v>
      </c>
      <c r="F79" s="10">
        <v>9</v>
      </c>
      <c r="G79" s="10">
        <v>9</v>
      </c>
      <c r="H79" s="10">
        <v>9</v>
      </c>
      <c r="I79" s="10">
        <v>9</v>
      </c>
    </row>
    <row r="80" spans="1:10" x14ac:dyDescent="0.25">
      <c r="D80" s="7" t="s">
        <v>654</v>
      </c>
      <c r="E80" s="15">
        <v>0.15</v>
      </c>
      <c r="F80" s="10">
        <v>10</v>
      </c>
      <c r="G80" s="10">
        <v>10</v>
      </c>
      <c r="H80" s="10">
        <v>10</v>
      </c>
      <c r="I80" s="10">
        <v>10</v>
      </c>
    </row>
    <row r="81" spans="1:11" x14ac:dyDescent="0.25">
      <c r="E81" s="15">
        <v>0.2</v>
      </c>
      <c r="F81" s="10">
        <v>12</v>
      </c>
      <c r="G81" s="10">
        <v>12</v>
      </c>
      <c r="H81" s="10">
        <v>12</v>
      </c>
      <c r="I81" s="10">
        <v>12</v>
      </c>
    </row>
    <row r="82" spans="1:11" x14ac:dyDescent="0.25">
      <c r="A82" s="9" t="s">
        <v>221</v>
      </c>
    </row>
    <row r="83" spans="1:11" x14ac:dyDescent="0.25">
      <c r="A83" s="7" t="s">
        <v>655</v>
      </c>
      <c r="C83" s="20">
        <v>0.50900000000000001</v>
      </c>
      <c r="D83" s="20">
        <v>0.51300000000000001</v>
      </c>
      <c r="E83" s="20">
        <v>0.48</v>
      </c>
      <c r="F83" s="20">
        <v>0.46400000000000002</v>
      </c>
      <c r="G83" s="20">
        <v>0.46400000000000002</v>
      </c>
      <c r="H83" s="20">
        <v>0.45100000000000001</v>
      </c>
      <c r="I83" s="20">
        <v>0.439</v>
      </c>
      <c r="J83" s="20">
        <v>0.42799999999999999</v>
      </c>
    </row>
    <row r="84" spans="1:11" x14ac:dyDescent="0.25">
      <c r="A84" s="7" t="s">
        <v>656</v>
      </c>
      <c r="C84" s="20">
        <v>0.8</v>
      </c>
      <c r="D84" s="20">
        <v>0.8</v>
      </c>
      <c r="E84" s="20">
        <v>0.8</v>
      </c>
      <c r="F84" s="20">
        <v>0.8</v>
      </c>
      <c r="G84" s="20">
        <v>0.8</v>
      </c>
      <c r="H84" s="20">
        <v>0.8</v>
      </c>
      <c r="I84" s="20">
        <v>0.8</v>
      </c>
      <c r="J84" s="20">
        <v>0.8</v>
      </c>
    </row>
    <row r="85" spans="1:11" x14ac:dyDescent="0.25">
      <c r="A85" s="7" t="s">
        <v>657</v>
      </c>
      <c r="C85" s="20">
        <v>0.2</v>
      </c>
      <c r="D85" s="20">
        <v>0.2</v>
      </c>
      <c r="E85" s="20">
        <v>0.2</v>
      </c>
      <c r="F85" s="20">
        <v>0.2</v>
      </c>
      <c r="G85" s="20">
        <v>0.2</v>
      </c>
      <c r="H85" s="20">
        <v>0.2</v>
      </c>
      <c r="I85" s="20">
        <v>0.2</v>
      </c>
      <c r="J85" s="20">
        <v>0.2</v>
      </c>
    </row>
    <row r="86" spans="1:11" x14ac:dyDescent="0.25">
      <c r="A86" s="7" t="s">
        <v>658</v>
      </c>
      <c r="B86" s="20">
        <v>0.05</v>
      </c>
      <c r="C86" s="7" t="s">
        <v>71</v>
      </c>
      <c r="D86" s="7" t="s">
        <v>71</v>
      </c>
      <c r="E86" s="7" t="s">
        <v>71</v>
      </c>
      <c r="F86" s="7" t="s">
        <v>71</v>
      </c>
      <c r="G86" s="7" t="s">
        <v>71</v>
      </c>
      <c r="H86" s="7" t="s">
        <v>71</v>
      </c>
      <c r="I86" s="7" t="s">
        <v>71</v>
      </c>
      <c r="J86" s="7" t="s">
        <v>71</v>
      </c>
    </row>
    <row r="87" spans="1:11" x14ac:dyDescent="0.25">
      <c r="A87" s="7" t="s">
        <v>631</v>
      </c>
      <c r="C87" s="20">
        <v>3.5999999999999997E-2</v>
      </c>
      <c r="D87" s="20">
        <v>3.4000000000000002E-2</v>
      </c>
      <c r="E87" s="20">
        <v>3.5000000000000003E-2</v>
      </c>
      <c r="F87" s="20">
        <v>0.05</v>
      </c>
      <c r="G87" s="20">
        <v>5.5E-2</v>
      </c>
      <c r="H87" s="20">
        <v>5.2999999999999999E-2</v>
      </c>
      <c r="I87" s="20">
        <v>5.0999999999999997E-2</v>
      </c>
      <c r="J87" s="20">
        <v>4.9000000000000002E-2</v>
      </c>
    </row>
    <row r="88" spans="1:11" x14ac:dyDescent="0.25">
      <c r="A88" s="7" t="s">
        <v>659</v>
      </c>
      <c r="C88" s="21">
        <v>-0.14000000000000001</v>
      </c>
      <c r="D88" s="20">
        <v>-0.14799999999999999</v>
      </c>
      <c r="E88" s="20">
        <v>-0.158</v>
      </c>
      <c r="F88" s="20">
        <v>-0.16300000000000001</v>
      </c>
      <c r="G88" s="20">
        <v>-0.16700000000000001</v>
      </c>
      <c r="H88" s="20">
        <v>-0.16700000000000001</v>
      </c>
      <c r="I88" s="20">
        <v>-0.16700000000000001</v>
      </c>
      <c r="J88" s="20">
        <v>-0.16700000000000001</v>
      </c>
    </row>
    <row r="89" spans="1:11" x14ac:dyDescent="0.25">
      <c r="A89" s="7" t="s">
        <v>660</v>
      </c>
      <c r="C89" s="20">
        <v>6.4000000000000001E-2</v>
      </c>
      <c r="D89" s="20">
        <v>6.2E-2</v>
      </c>
      <c r="E89" s="20">
        <v>0.06</v>
      </c>
      <c r="F89" s="20">
        <v>5.7000000000000002E-2</v>
      </c>
      <c r="G89" s="20">
        <v>5.5E-2</v>
      </c>
      <c r="H89" s="20">
        <v>5.2999999999999999E-2</v>
      </c>
      <c r="I89" s="20">
        <v>5.0999999999999997E-2</v>
      </c>
      <c r="J89" s="20">
        <v>0.05</v>
      </c>
    </row>
    <row r="90" spans="1:11" x14ac:dyDescent="0.25">
      <c r="A90" s="16" t="s">
        <v>127</v>
      </c>
    </row>
    <row r="91" spans="1:11" x14ac:dyDescent="0.25">
      <c r="A91" s="7" t="s">
        <v>661</v>
      </c>
    </row>
    <row r="92" spans="1:11" x14ac:dyDescent="0.25">
      <c r="A92" s="7" t="s">
        <v>291</v>
      </c>
    </row>
    <row r="93" spans="1:11" x14ac:dyDescent="0.25">
      <c r="A93" s="16" t="s">
        <v>61</v>
      </c>
    </row>
    <row r="94" spans="1:11" x14ac:dyDescent="0.25">
      <c r="A94" s="9" t="s">
        <v>62</v>
      </c>
      <c r="K94" s="2" t="s">
        <v>63</v>
      </c>
    </row>
    <row r="95" spans="1:11" x14ac:dyDescent="0.25">
      <c r="F95" s="5" t="s">
        <v>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2:M95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K2" s="7" t="s">
        <v>670</v>
      </c>
    </row>
    <row r="3" spans="1:13" x14ac:dyDescent="0.25">
      <c r="A3" s="6" t="s">
        <v>9</v>
      </c>
    </row>
    <row r="4" spans="1:13" x14ac:dyDescent="0.25">
      <c r="A4" s="6" t="s">
        <v>671</v>
      </c>
    </row>
    <row r="5" spans="1:13" x14ac:dyDescent="0.25">
      <c r="A5" s="6" t="s">
        <v>11</v>
      </c>
    </row>
    <row r="6" spans="1:13" x14ac:dyDescent="0.25">
      <c r="C6" s="9" t="s">
        <v>672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115</v>
      </c>
      <c r="C9" s="10">
        <v>28</v>
      </c>
      <c r="D9" s="10">
        <v>116</v>
      </c>
      <c r="E9" s="10">
        <v>119</v>
      </c>
      <c r="F9" s="10">
        <v>122</v>
      </c>
      <c r="G9" s="10">
        <v>123</v>
      </c>
      <c r="H9" s="10">
        <v>128</v>
      </c>
      <c r="I9" s="10">
        <v>132</v>
      </c>
      <c r="J9" s="10">
        <v>137</v>
      </c>
    </row>
    <row r="10" spans="1:13" x14ac:dyDescent="0.25">
      <c r="A10" s="7" t="s">
        <v>629</v>
      </c>
      <c r="C10" s="19">
        <v>-19</v>
      </c>
      <c r="D10" s="19">
        <v>-79</v>
      </c>
      <c r="E10" s="19">
        <v>-78</v>
      </c>
      <c r="F10" s="19">
        <v>-79</v>
      </c>
      <c r="G10" s="19">
        <v>-80</v>
      </c>
      <c r="H10" s="19">
        <v>-82</v>
      </c>
      <c r="I10" s="19">
        <v>-83</v>
      </c>
      <c r="J10" s="19">
        <v>-85</v>
      </c>
    </row>
    <row r="11" spans="1:13" x14ac:dyDescent="0.25">
      <c r="A11" s="7"/>
      <c r="C11" s="19">
        <f>SUM(C8:C9)</f>
        <v>28</v>
      </c>
      <c r="D11" s="19">
        <f>SUM(D8:D9)</f>
        <v>116</v>
      </c>
      <c r="E11" s="19">
        <f>SUM(E8:E9)</f>
        <v>119</v>
      </c>
      <c r="F11" s="19">
        <f>SUM(F8:F9)</f>
        <v>122</v>
      </c>
      <c r="G11" s="19">
        <f>SUM(G8:G9)</f>
        <v>123</v>
      </c>
      <c r="H11" s="19">
        <f>SUM(H8:H9)</f>
        <v>128</v>
      </c>
      <c r="I11" s="19">
        <f>SUM(I8:I9)</f>
        <v>132</v>
      </c>
      <c r="J11" s="19">
        <f>SUM(J8:J9)</f>
        <v>137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C12" s="19">
        <f>C11-C10</f>
        <v>47</v>
      </c>
      <c r="D12" s="19">
        <f>D11-D10</f>
        <v>195</v>
      </c>
      <c r="E12" s="19">
        <f>E11-E10</f>
        <v>197</v>
      </c>
      <c r="F12" s="19">
        <f>F11-F10</f>
        <v>201</v>
      </c>
      <c r="G12" s="19">
        <f>G11-G10</f>
        <v>203</v>
      </c>
      <c r="H12" s="19">
        <f>H11-H10</f>
        <v>210</v>
      </c>
      <c r="I12" s="19">
        <f>I11-I10</f>
        <v>215</v>
      </c>
      <c r="J12" s="19">
        <f>J11-J10</f>
        <v>222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630</v>
      </c>
      <c r="C13" s="10">
        <v>9</v>
      </c>
      <c r="D13" s="10">
        <v>37</v>
      </c>
      <c r="E13" s="10">
        <v>41</v>
      </c>
      <c r="F13" s="10">
        <v>43</v>
      </c>
      <c r="G13" s="10">
        <v>43</v>
      </c>
      <c r="H13" s="10">
        <v>46</v>
      </c>
      <c r="I13" s="10">
        <v>49</v>
      </c>
      <c r="J13" s="10">
        <v>52</v>
      </c>
    </row>
    <row r="14" spans="1:13" x14ac:dyDescent="0.25">
      <c r="A14" s="7" t="s">
        <v>631</v>
      </c>
      <c r="C14" s="19">
        <v>-1</v>
      </c>
      <c r="D14" s="19">
        <v>-4</v>
      </c>
      <c r="E14" s="19">
        <v>-4</v>
      </c>
      <c r="F14" s="19">
        <v>-6</v>
      </c>
      <c r="G14" s="19">
        <v>-7</v>
      </c>
      <c r="H14" s="19">
        <v>-7</v>
      </c>
      <c r="I14" s="19">
        <v>-7</v>
      </c>
      <c r="J14" s="19">
        <v>-7</v>
      </c>
    </row>
    <row r="15" spans="1:13" x14ac:dyDescent="0.25">
      <c r="A15" s="7"/>
      <c r="C15" s="19">
        <f>C10*C13</f>
        <v>-171</v>
      </c>
      <c r="D15" s="19">
        <f>D10*D13</f>
        <v>-2923</v>
      </c>
      <c r="E15" s="19">
        <f>E10*E13</f>
        <v>-3198</v>
      </c>
      <c r="F15" s="19">
        <f>F10*F13</f>
        <v>-3397</v>
      </c>
      <c r="G15" s="19">
        <f>G10*G13</f>
        <v>-3440</v>
      </c>
      <c r="H15" s="19">
        <f>H10*H13</f>
        <v>-3772</v>
      </c>
      <c r="I15" s="19">
        <f>I10*I13</f>
        <v>-4067</v>
      </c>
      <c r="J15" s="19">
        <f>J10*J13</f>
        <v>-4420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C16" s="19">
        <f>C15-C14</f>
        <v>-170</v>
      </c>
      <c r="D16" s="19">
        <f>D15-D14</f>
        <v>-2919</v>
      </c>
      <c r="E16" s="19">
        <f>E15-E14</f>
        <v>-3194</v>
      </c>
      <c r="F16" s="19">
        <f>F15-F14</f>
        <v>-3391</v>
      </c>
      <c r="G16" s="19">
        <f>G15-G14</f>
        <v>-3433</v>
      </c>
      <c r="H16" s="19">
        <f>H15-H14</f>
        <v>-3765</v>
      </c>
      <c r="I16" s="19">
        <f>I15-I14</f>
        <v>-4060</v>
      </c>
      <c r="J16" s="19">
        <f>J15-J14</f>
        <v>-4413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209</v>
      </c>
      <c r="C17" s="10">
        <v>8</v>
      </c>
      <c r="D17" s="10">
        <v>33</v>
      </c>
      <c r="E17" s="10">
        <v>37</v>
      </c>
      <c r="F17" s="10">
        <v>37</v>
      </c>
      <c r="G17" s="10">
        <v>37</v>
      </c>
      <c r="H17" s="10">
        <v>39</v>
      </c>
      <c r="I17" s="10">
        <v>42</v>
      </c>
      <c r="J17" s="10">
        <v>45</v>
      </c>
    </row>
    <row r="18" spans="1:13" x14ac:dyDescent="0.25">
      <c r="A18" s="7" t="s">
        <v>632</v>
      </c>
      <c r="B18" s="20">
        <v>0.39500000000000002</v>
      </c>
      <c r="C18" s="19">
        <v>-3</v>
      </c>
      <c r="D18" s="19">
        <v>-13</v>
      </c>
      <c r="E18" s="19">
        <v>-14</v>
      </c>
      <c r="F18" s="19">
        <v>-15</v>
      </c>
      <c r="G18" s="19">
        <v>-14</v>
      </c>
      <c r="H18" s="19">
        <v>-16</v>
      </c>
      <c r="I18" s="19">
        <v>-17</v>
      </c>
      <c r="J18" s="19">
        <v>-18</v>
      </c>
    </row>
    <row r="19" spans="1:13" x14ac:dyDescent="0.25">
      <c r="A19" s="7" t="s">
        <v>633</v>
      </c>
      <c r="C19" s="10">
        <v>5</v>
      </c>
      <c r="D19" s="10">
        <v>20</v>
      </c>
      <c r="E19" s="10">
        <v>22</v>
      </c>
      <c r="F19" s="10">
        <v>22</v>
      </c>
      <c r="G19" s="10">
        <v>22</v>
      </c>
      <c r="H19" s="10">
        <v>24</v>
      </c>
      <c r="I19" s="10">
        <v>26</v>
      </c>
      <c r="J19" s="10">
        <v>27</v>
      </c>
    </row>
    <row r="20" spans="1:13" x14ac:dyDescent="0.25">
      <c r="A20" s="7" t="s">
        <v>111</v>
      </c>
      <c r="C20" s="10">
        <v>1</v>
      </c>
      <c r="D20" s="10">
        <v>4</v>
      </c>
      <c r="E20" s="10">
        <v>4</v>
      </c>
      <c r="F20" s="10">
        <v>6</v>
      </c>
      <c r="G20" s="10">
        <v>7</v>
      </c>
      <c r="H20" s="10">
        <v>7</v>
      </c>
      <c r="I20" s="10">
        <v>7</v>
      </c>
      <c r="J20" s="10">
        <v>7</v>
      </c>
    </row>
    <row r="21" spans="1:13" x14ac:dyDescent="0.25">
      <c r="A21" s="7"/>
      <c r="C21" s="10">
        <f>SUM(C18,C19)</f>
        <v>2</v>
      </c>
      <c r="D21" s="10">
        <f>SUM(D18,D19)</f>
        <v>7</v>
      </c>
      <c r="E21" s="10">
        <f>SUM(E18,E19)</f>
        <v>8</v>
      </c>
      <c r="F21" s="10">
        <f>SUM(F18,F19)</f>
        <v>7</v>
      </c>
      <c r="G21" s="10">
        <f>SUM(G18,G19)</f>
        <v>8</v>
      </c>
      <c r="H21" s="10">
        <f>SUM(H18,H19)</f>
        <v>8</v>
      </c>
      <c r="I21" s="10">
        <f>SUM(I18,I19)</f>
        <v>9</v>
      </c>
      <c r="J21" s="10">
        <f>SUM(J18,J19)</f>
        <v>9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7"/>
      <c r="C22" s="10">
        <f>C21-C20</f>
        <v>1</v>
      </c>
      <c r="D22" s="10">
        <f>D21-D20</f>
        <v>3</v>
      </c>
      <c r="E22" s="10">
        <f>E21-E20</f>
        <v>4</v>
      </c>
      <c r="F22" s="10">
        <f>F21-F20</f>
        <v>1</v>
      </c>
      <c r="G22" s="10">
        <f>G21-G20</f>
        <v>1</v>
      </c>
      <c r="H22" s="10">
        <f>H21-H20</f>
        <v>1</v>
      </c>
      <c r="I22" s="10">
        <f>I21-I20</f>
        <v>2</v>
      </c>
      <c r="J22" s="10">
        <f>J21-J20</f>
        <v>2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634</v>
      </c>
      <c r="C23" s="42">
        <v>-0.1</v>
      </c>
      <c r="D23" s="10">
        <v>0</v>
      </c>
      <c r="E23" s="10">
        <v>1</v>
      </c>
      <c r="F23" s="10">
        <v>0</v>
      </c>
      <c r="G23" s="10">
        <v>0</v>
      </c>
      <c r="H23" s="10">
        <v>1</v>
      </c>
      <c r="I23" s="10">
        <v>1</v>
      </c>
      <c r="J23" s="10">
        <v>1</v>
      </c>
    </row>
    <row r="24" spans="1:13" x14ac:dyDescent="0.25">
      <c r="A24" s="7"/>
      <c r="C24" s="42">
        <f>C10*B23</f>
        <v>0</v>
      </c>
      <c r="D24" s="10">
        <f>D10*B23</f>
        <v>0</v>
      </c>
      <c r="E24" s="10">
        <f>E10*B23</f>
        <v>0</v>
      </c>
      <c r="F24" s="10">
        <f>F10*B23</f>
        <v>0</v>
      </c>
      <c r="G24" s="10">
        <f>G10*B23</f>
        <v>0</v>
      </c>
      <c r="H24" s="10">
        <f>H10*B23</f>
        <v>0</v>
      </c>
      <c r="I24" s="10">
        <f>I10*B23</f>
        <v>0</v>
      </c>
      <c r="J24" s="10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 s="42">
        <f>C24-C23</f>
        <v>0.1</v>
      </c>
      <c r="D25" s="10">
        <f>D24-D23</f>
        <v>0</v>
      </c>
      <c r="E25" s="10">
        <f>E24-E23</f>
        <v>-1</v>
      </c>
      <c r="F25" s="10">
        <f>F24-F23</f>
        <v>0</v>
      </c>
      <c r="G25" s="10">
        <f>G24-G23</f>
        <v>0</v>
      </c>
      <c r="H25" s="10">
        <f>H24-H23</f>
        <v>-1</v>
      </c>
      <c r="I25" s="10">
        <f>I24-I23</f>
        <v>-1</v>
      </c>
      <c r="J25" s="10">
        <f>J24-J23</f>
        <v>-1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7" t="s">
        <v>113</v>
      </c>
      <c r="C26" s="19">
        <v>-2</v>
      </c>
      <c r="D26" s="19">
        <v>-7</v>
      </c>
      <c r="E26" s="19">
        <v>-7</v>
      </c>
      <c r="F26" s="19">
        <v>-7</v>
      </c>
      <c r="G26" s="19">
        <v>-7</v>
      </c>
      <c r="H26" s="19">
        <v>-7</v>
      </c>
      <c r="I26" s="19">
        <v>-7</v>
      </c>
      <c r="J26" s="19">
        <v>-7</v>
      </c>
    </row>
    <row r="27" spans="1:13" x14ac:dyDescent="0.25">
      <c r="A27" s="7"/>
      <c r="C27" s="19">
        <f>SUM(C20,C23)</f>
        <v>0.9</v>
      </c>
      <c r="D27" s="19">
        <f>SUM(D20,D23)</f>
        <v>4</v>
      </c>
      <c r="E27" s="19">
        <f>SUM(E20,E23)</f>
        <v>5</v>
      </c>
      <c r="F27" s="19">
        <f>SUM(F20,F23)</f>
        <v>6</v>
      </c>
      <c r="G27" s="19">
        <f>SUM(G20,G23)</f>
        <v>7</v>
      </c>
      <c r="H27" s="19">
        <f>SUM(H20,H23)</f>
        <v>8</v>
      </c>
      <c r="I27" s="19">
        <f>SUM(I20,I23)</f>
        <v>8</v>
      </c>
      <c r="J27" s="19">
        <f>SUM(J20,J23)</f>
        <v>8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7"/>
      <c r="C28" s="19">
        <f>C27-C26</f>
        <v>2.9</v>
      </c>
      <c r="D28" s="19">
        <f>D27-D26</f>
        <v>11</v>
      </c>
      <c r="E28" s="19">
        <f>E27-E26</f>
        <v>12</v>
      </c>
      <c r="F28" s="19">
        <f>F27-F26</f>
        <v>13</v>
      </c>
      <c r="G28" s="19">
        <f>G27-G26</f>
        <v>14</v>
      </c>
      <c r="H28" s="19">
        <f>H27-H26</f>
        <v>15</v>
      </c>
      <c r="I28" s="19">
        <f>I27-I26</f>
        <v>15</v>
      </c>
      <c r="J28" s="19">
        <f>J27-J26</f>
        <v>15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635</v>
      </c>
      <c r="C29" s="10">
        <v>4</v>
      </c>
      <c r="D29" s="10">
        <v>17</v>
      </c>
      <c r="E29" s="10">
        <v>20</v>
      </c>
      <c r="F29" s="10">
        <v>22</v>
      </c>
      <c r="G29" s="10">
        <v>22</v>
      </c>
      <c r="H29" s="10">
        <v>25</v>
      </c>
      <c r="I29" s="10">
        <v>26</v>
      </c>
      <c r="J29" s="10">
        <v>28</v>
      </c>
    </row>
    <row r="30" spans="1:13" x14ac:dyDescent="0.25">
      <c r="A30" s="7"/>
      <c r="C30" s="10">
        <f>C26*B29</f>
        <v>0</v>
      </c>
      <c r="D30" s="10">
        <f>D26*B29</f>
        <v>0</v>
      </c>
      <c r="E30" s="10">
        <f>E26*B29</f>
        <v>0</v>
      </c>
      <c r="F30" s="10">
        <f>F26*B29</f>
        <v>0</v>
      </c>
      <c r="G30" s="10">
        <f>G26*B29</f>
        <v>0</v>
      </c>
      <c r="H30" s="10">
        <f>H26*B29</f>
        <v>0</v>
      </c>
      <c r="I30" s="10">
        <f>I26*B29</f>
        <v>0</v>
      </c>
      <c r="J30" s="1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 s="10">
        <f>C30-C29</f>
        <v>-4</v>
      </c>
      <c r="D31" s="10">
        <f>D30-D29</f>
        <v>-17</v>
      </c>
      <c r="E31" s="10">
        <f>E30-E29</f>
        <v>-20</v>
      </c>
      <c r="F31" s="10">
        <f>F30-F29</f>
        <v>-22</v>
      </c>
      <c r="G31" s="10">
        <f>G30-G29</f>
        <v>-22</v>
      </c>
      <c r="H31" s="10">
        <f>H30-H29</f>
        <v>-25</v>
      </c>
      <c r="I31" s="10">
        <f>I30-I29</f>
        <v>-26</v>
      </c>
      <c r="J31" s="10">
        <f>J30-J29</f>
        <v>-28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6" t="s">
        <v>636</v>
      </c>
    </row>
    <row r="33" spans="1:13" x14ac:dyDescent="0.25">
      <c r="A33" s="6"/>
      <c r="C33" s="60">
        <f>SUM(C26,C29)</f>
        <v>2</v>
      </c>
      <c r="D33" s="60">
        <f>SUM(D26,D29)</f>
        <v>10</v>
      </c>
      <c r="E33" s="60">
        <f>SUM(E26,E29)</f>
        <v>13</v>
      </c>
      <c r="F33" s="60">
        <f>SUM(F26,F29)</f>
        <v>15</v>
      </c>
      <c r="G33" s="60">
        <f>SUM(G26,G29)</f>
        <v>15</v>
      </c>
      <c r="H33" s="60">
        <f>SUM(H26,H29)</f>
        <v>18</v>
      </c>
      <c r="I33" s="60">
        <f>SUM(I26,I29)</f>
        <v>19</v>
      </c>
      <c r="J33" s="60">
        <f>SUM(J26,J29)</f>
        <v>21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6"/>
      <c r="C34" s="60">
        <f>C33-C32</f>
        <v>2</v>
      </c>
      <c r="D34" s="60">
        <f>D33-D32</f>
        <v>10</v>
      </c>
      <c r="E34" s="60">
        <f>E33-E32</f>
        <v>13</v>
      </c>
      <c r="F34" s="60">
        <f>F33-F32</f>
        <v>15</v>
      </c>
      <c r="G34" s="60">
        <f>G33-G32</f>
        <v>15</v>
      </c>
      <c r="H34" s="60">
        <f>H33-H32</f>
        <v>18</v>
      </c>
      <c r="I34" s="60">
        <f>I33-I32</f>
        <v>19</v>
      </c>
      <c r="J34" s="60">
        <f>J33-J32</f>
        <v>21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637</v>
      </c>
      <c r="D35" s="20">
        <v>1.2E-2</v>
      </c>
      <c r="E35" s="20">
        <v>2.9000000000000001E-2</v>
      </c>
      <c r="F35" s="20">
        <v>2.1000000000000001E-2</v>
      </c>
      <c r="G35" s="20">
        <v>1.4999999999999999E-2</v>
      </c>
      <c r="H35" s="20">
        <v>3.5999999999999997E-2</v>
      </c>
      <c r="I35" s="20">
        <v>3.5000000000000003E-2</v>
      </c>
      <c r="J35" s="20">
        <v>3.3000000000000002E-2</v>
      </c>
    </row>
    <row r="36" spans="1:13" x14ac:dyDescent="0.25">
      <c r="A36" s="7" t="s">
        <v>638</v>
      </c>
      <c r="C36" s="20">
        <v>0.32300000000000001</v>
      </c>
      <c r="D36" s="20">
        <v>0.31900000000000001</v>
      </c>
      <c r="E36" s="20">
        <v>0.34200000000000003</v>
      </c>
      <c r="F36" s="20">
        <v>0.35199999999999998</v>
      </c>
      <c r="G36" s="20">
        <v>0.35099999999999998</v>
      </c>
      <c r="H36" s="20">
        <v>0.36199999999999999</v>
      </c>
      <c r="I36" s="20">
        <v>0.371</v>
      </c>
      <c r="J36" s="20">
        <v>0.38100000000000001</v>
      </c>
    </row>
    <row r="37" spans="1:13" x14ac:dyDescent="0.25">
      <c r="A37" s="7"/>
      <c r="C37" s="20">
        <f>SUM(C32,C35)</f>
        <v>0</v>
      </c>
      <c r="D37" s="20">
        <f>SUM(D32,D35)</f>
        <v>1.2E-2</v>
      </c>
      <c r="E37" s="20">
        <f>SUM(E32,E35)</f>
        <v>2.9000000000000001E-2</v>
      </c>
      <c r="F37" s="20">
        <f>SUM(F32,F35)</f>
        <v>2.1000000000000001E-2</v>
      </c>
      <c r="G37" s="20">
        <f>SUM(G32,G35)</f>
        <v>1.4999999999999999E-2</v>
      </c>
      <c r="H37" s="20">
        <f>SUM(H32,H35)</f>
        <v>3.5999999999999997E-2</v>
      </c>
      <c r="I37" s="20">
        <f>SUM(I32,I35)</f>
        <v>3.5000000000000003E-2</v>
      </c>
      <c r="J37" s="20">
        <f>SUM(J32,J35)</f>
        <v>3.3000000000000002E-2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7"/>
      <c r="C38" s="20">
        <f>C37-C36</f>
        <v>-0.32300000000000001</v>
      </c>
      <c r="D38" s="20">
        <f>D37-D36</f>
        <v>-0.307</v>
      </c>
      <c r="E38" s="20">
        <f>E37-E36</f>
        <v>-0.313</v>
      </c>
      <c r="F38" s="20">
        <f>F37-F36</f>
        <v>-0.33099999999999996</v>
      </c>
      <c r="G38" s="20">
        <f>G37-G36</f>
        <v>-0.33599999999999997</v>
      </c>
      <c r="H38" s="20">
        <f>H37-H36</f>
        <v>-0.32600000000000001</v>
      </c>
      <c r="I38" s="20">
        <f>I37-I36</f>
        <v>-0.33599999999999997</v>
      </c>
      <c r="J38" s="20">
        <f>J37-J36</f>
        <v>-0.34799999999999998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631</v>
      </c>
      <c r="C39" s="20">
        <v>3.5999999999999997E-2</v>
      </c>
      <c r="D39" s="20">
        <v>3.4000000000000002E-2</v>
      </c>
      <c r="E39" s="20">
        <v>3.5000000000000003E-2</v>
      </c>
      <c r="F39" s="20">
        <v>0.05</v>
      </c>
      <c r="G39" s="20">
        <v>5.5E-2</v>
      </c>
      <c r="H39" s="20">
        <v>5.2999999999999999E-2</v>
      </c>
      <c r="I39" s="20">
        <v>5.0999999999999997E-2</v>
      </c>
      <c r="J39" s="20">
        <v>4.9000000000000002E-2</v>
      </c>
    </row>
    <row r="40" spans="1:13" x14ac:dyDescent="0.25">
      <c r="A40" s="7" t="s">
        <v>639</v>
      </c>
      <c r="C40" s="20">
        <v>-0.14000000000000001</v>
      </c>
      <c r="D40" s="20">
        <v>-0.14799999999999999</v>
      </c>
      <c r="E40" s="20">
        <v>-0.158</v>
      </c>
      <c r="F40" s="20">
        <v>-0.16300000000000001</v>
      </c>
      <c r="G40" s="20">
        <v>-0.16700000000000001</v>
      </c>
      <c r="H40" s="20">
        <v>-0.16700000000000001</v>
      </c>
      <c r="I40" s="20">
        <v>-0.16700000000000001</v>
      </c>
      <c r="J40" s="20">
        <v>-0.16700000000000001</v>
      </c>
    </row>
    <row r="41" spans="1:13" x14ac:dyDescent="0.25">
      <c r="A41" s="7"/>
      <c r="C41" s="20">
        <f>C36*C39</f>
        <v>1.1627999999999999E-2</v>
      </c>
      <c r="D41" s="20">
        <f>D36*D39</f>
        <v>1.0846000000000001E-2</v>
      </c>
      <c r="E41" s="20">
        <f>E36*E39</f>
        <v>1.1970000000000001E-2</v>
      </c>
      <c r="F41" s="20">
        <f>F36*F39</f>
        <v>1.7600000000000001E-2</v>
      </c>
      <c r="G41" s="20">
        <f>G36*G39</f>
        <v>1.9304999999999999E-2</v>
      </c>
      <c r="H41" s="20">
        <f>H36*H39</f>
        <v>1.9185999999999998E-2</v>
      </c>
      <c r="I41" s="20">
        <f>I36*I39</f>
        <v>1.8921E-2</v>
      </c>
      <c r="J41" s="20">
        <f>J36*J39</f>
        <v>1.8669000000000002E-2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7"/>
      <c r="C42" s="20">
        <f>C41-C40</f>
        <v>0.15162800000000001</v>
      </c>
      <c r="D42" s="20">
        <f>D41-D40</f>
        <v>0.15884599999999999</v>
      </c>
      <c r="E42" s="20">
        <f>E41-E40</f>
        <v>0.16997000000000001</v>
      </c>
      <c r="F42" s="20">
        <f>F41-F40</f>
        <v>0.18060000000000001</v>
      </c>
      <c r="G42" s="20">
        <f>G41-G40</f>
        <v>0.186305</v>
      </c>
      <c r="H42" s="20">
        <f>H41-H40</f>
        <v>0.18618600000000002</v>
      </c>
      <c r="I42" s="20">
        <f>I41-I40</f>
        <v>0.185921</v>
      </c>
      <c r="J42" s="20">
        <f>J41-J40</f>
        <v>0.185669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7" t="s">
        <v>640</v>
      </c>
      <c r="C43" s="20">
        <v>6.4000000000000001E-2</v>
      </c>
      <c r="D43" s="20">
        <v>6.2E-2</v>
      </c>
      <c r="E43" s="20">
        <v>0.06</v>
      </c>
      <c r="F43" s="20">
        <v>5.7000000000000002E-2</v>
      </c>
      <c r="G43" s="20">
        <v>5.5E-2</v>
      </c>
      <c r="H43" s="20">
        <v>5.2999999999999999E-2</v>
      </c>
      <c r="I43" s="20">
        <v>5.0999999999999997E-2</v>
      </c>
      <c r="J43" s="20">
        <v>0.05</v>
      </c>
    </row>
    <row r="44" spans="1:13" x14ac:dyDescent="0.25">
      <c r="A44" s="6" t="s">
        <v>664</v>
      </c>
    </row>
    <row r="45" spans="1:13" x14ac:dyDescent="0.25">
      <c r="A45" s="7" t="s">
        <v>642</v>
      </c>
      <c r="C45" s="40">
        <v>0.107</v>
      </c>
      <c r="D45" s="40">
        <v>0.53600000000000003</v>
      </c>
      <c r="E45" s="40">
        <v>0.96399999999999997</v>
      </c>
      <c r="F45" s="40">
        <v>1</v>
      </c>
      <c r="G45" s="40">
        <v>1</v>
      </c>
      <c r="H45" s="40">
        <v>1</v>
      </c>
      <c r="I45" s="40">
        <v>1</v>
      </c>
      <c r="J45" s="40">
        <v>1</v>
      </c>
    </row>
    <row r="46" spans="1:13" x14ac:dyDescent="0.25">
      <c r="A46" s="7" t="s">
        <v>643</v>
      </c>
      <c r="C46" s="10">
        <v>3</v>
      </c>
      <c r="D46" s="10">
        <v>62</v>
      </c>
      <c r="E46" s="10">
        <v>115</v>
      </c>
      <c r="F46" s="10">
        <v>122</v>
      </c>
      <c r="G46" s="10">
        <v>123</v>
      </c>
      <c r="H46" s="10">
        <v>128</v>
      </c>
      <c r="I46" s="10">
        <v>132</v>
      </c>
      <c r="J46" s="10">
        <v>137</v>
      </c>
    </row>
    <row r="47" spans="1:13" x14ac:dyDescent="0.25">
      <c r="A47" s="7" t="s">
        <v>644</v>
      </c>
      <c r="C47" s="19">
        <v>-15</v>
      </c>
      <c r="D47" s="19">
        <v>-63</v>
      </c>
      <c r="E47" s="19">
        <v>-63</v>
      </c>
      <c r="F47" s="19">
        <v>-63</v>
      </c>
      <c r="G47" s="19">
        <v>-64</v>
      </c>
      <c r="H47" s="19">
        <v>-65</v>
      </c>
      <c r="I47" s="19">
        <v>-67</v>
      </c>
      <c r="J47" s="19">
        <v>-68</v>
      </c>
    </row>
    <row r="48" spans="1:13" x14ac:dyDescent="0.25">
      <c r="A48" s="7" t="s">
        <v>645</v>
      </c>
      <c r="C48" s="19">
        <v>0</v>
      </c>
      <c r="D48" s="19">
        <v>-8</v>
      </c>
      <c r="E48" s="19">
        <v>-15</v>
      </c>
      <c r="F48" s="19">
        <v>-16</v>
      </c>
      <c r="G48" s="19">
        <v>-16</v>
      </c>
      <c r="H48" s="19">
        <v>-16</v>
      </c>
      <c r="I48" s="19">
        <v>-17</v>
      </c>
      <c r="J48" s="19">
        <v>-17</v>
      </c>
    </row>
    <row r="49" spans="1:10" x14ac:dyDescent="0.25">
      <c r="A49" s="7" t="s">
        <v>646</v>
      </c>
      <c r="C49" s="7" t="s">
        <v>90</v>
      </c>
      <c r="D49" s="7" t="s">
        <v>90</v>
      </c>
      <c r="E49" s="7" t="s">
        <v>90</v>
      </c>
      <c r="F49" s="7" t="s">
        <v>90</v>
      </c>
      <c r="G49" s="7" t="s">
        <v>90</v>
      </c>
      <c r="H49" s="7" t="s">
        <v>90</v>
      </c>
      <c r="I49" s="7" t="s">
        <v>90</v>
      </c>
      <c r="J49" s="7" t="s">
        <v>90</v>
      </c>
    </row>
    <row r="50" spans="1:10" x14ac:dyDescent="0.25">
      <c r="A50" s="6" t="s">
        <v>630</v>
      </c>
      <c r="C50" s="31">
        <v>-13</v>
      </c>
      <c r="D50" s="31">
        <v>-9</v>
      </c>
      <c r="E50" s="13">
        <v>37</v>
      </c>
      <c r="F50" s="13">
        <v>43</v>
      </c>
      <c r="G50" s="13">
        <v>43</v>
      </c>
      <c r="H50" s="13">
        <v>46</v>
      </c>
      <c r="I50" s="13">
        <v>49</v>
      </c>
      <c r="J50" s="13">
        <v>52</v>
      </c>
    </row>
    <row r="51" spans="1:10" x14ac:dyDescent="0.25">
      <c r="A51" s="11" t="s">
        <v>647</v>
      </c>
      <c r="C51" s="41">
        <v>22</v>
      </c>
      <c r="D51" s="41">
        <v>46</v>
      </c>
      <c r="E51" s="41">
        <v>4</v>
      </c>
      <c r="F51" s="11" t="s">
        <v>90</v>
      </c>
      <c r="G51" s="11" t="s">
        <v>90</v>
      </c>
      <c r="H51" s="11" t="s">
        <v>90</v>
      </c>
      <c r="I51" s="11" t="s">
        <v>90</v>
      </c>
      <c r="J51" s="11" t="s">
        <v>90</v>
      </c>
    </row>
    <row r="52" spans="1:10" x14ac:dyDescent="0.25">
      <c r="A52" s="7" t="s">
        <v>631</v>
      </c>
      <c r="C52" s="19">
        <v>0</v>
      </c>
      <c r="D52" s="19">
        <v>-2</v>
      </c>
      <c r="E52" s="19">
        <v>-4</v>
      </c>
      <c r="F52" s="19">
        <v>-6</v>
      </c>
      <c r="G52" s="19">
        <v>-7</v>
      </c>
      <c r="H52" s="19">
        <v>-7</v>
      </c>
      <c r="I52" s="19">
        <v>-7</v>
      </c>
      <c r="J52" s="19">
        <v>-7</v>
      </c>
    </row>
    <row r="53" spans="1:10" x14ac:dyDescent="0.25">
      <c r="A53" s="7"/>
      <c r="C53" s="19"/>
      <c r="D53" s="19"/>
      <c r="E53" s="19"/>
      <c r="F53" s="19"/>
      <c r="G53" s="19"/>
      <c r="H53" s="19"/>
      <c r="I53" s="19"/>
      <c r="J53" s="19"/>
    </row>
    <row r="54" spans="1:10" x14ac:dyDescent="0.25">
      <c r="A54" s="7"/>
      <c r="C54" s="19"/>
      <c r="D54" s="19"/>
      <c r="E54" s="19"/>
      <c r="F54" s="19"/>
      <c r="G54" s="19"/>
      <c r="H54" s="19"/>
      <c r="I54" s="19"/>
      <c r="J54" s="19"/>
    </row>
    <row r="55" spans="1:10" x14ac:dyDescent="0.25">
      <c r="A55" s="6" t="s">
        <v>209</v>
      </c>
      <c r="C55" s="31">
        <v>-13</v>
      </c>
      <c r="D55" s="31">
        <v>-12</v>
      </c>
      <c r="E55" s="13">
        <v>33</v>
      </c>
      <c r="F55" s="13">
        <v>37</v>
      </c>
      <c r="G55" s="13">
        <v>37</v>
      </c>
      <c r="H55" s="13">
        <v>39</v>
      </c>
      <c r="I55" s="13">
        <v>42</v>
      </c>
      <c r="J55" s="13">
        <v>45</v>
      </c>
    </row>
    <row r="56" spans="1:10" x14ac:dyDescent="0.25">
      <c r="A56" s="6"/>
      <c r="C56" s="31"/>
      <c r="D56" s="31"/>
      <c r="E56" s="13"/>
      <c r="F56" s="13"/>
      <c r="G56" s="13"/>
      <c r="H56" s="13"/>
      <c r="I56" s="13"/>
      <c r="J56" s="13"/>
    </row>
    <row r="57" spans="1:10" x14ac:dyDescent="0.25">
      <c r="A57" s="6"/>
      <c r="C57" s="31"/>
      <c r="D57" s="31"/>
      <c r="E57" s="13"/>
      <c r="F57" s="13"/>
      <c r="G57" s="13"/>
      <c r="H57" s="13"/>
      <c r="I57" s="13"/>
      <c r="J57" s="13"/>
    </row>
    <row r="58" spans="1:10" x14ac:dyDescent="0.25">
      <c r="A58" s="7" t="s">
        <v>212</v>
      </c>
      <c r="B58" s="20">
        <v>0.39500000000000002</v>
      </c>
      <c r="C58" s="10">
        <v>5</v>
      </c>
      <c r="D58" s="10">
        <v>5</v>
      </c>
      <c r="E58" s="19">
        <v>-13</v>
      </c>
      <c r="F58" s="19">
        <v>-15</v>
      </c>
      <c r="G58" s="19">
        <v>-14</v>
      </c>
      <c r="H58" s="19">
        <v>-16</v>
      </c>
      <c r="I58" s="19">
        <v>-17</v>
      </c>
      <c r="J58" s="19">
        <v>-18</v>
      </c>
    </row>
    <row r="59" spans="1:10" x14ac:dyDescent="0.25">
      <c r="A59" s="7"/>
      <c r="B59" s="20"/>
      <c r="C59" s="10"/>
      <c r="D59" s="10"/>
      <c r="E59" s="19"/>
      <c r="F59" s="19"/>
      <c r="G59" s="19"/>
      <c r="H59" s="19"/>
      <c r="I59" s="19"/>
      <c r="J59" s="19"/>
    </row>
    <row r="60" spans="1:10" x14ac:dyDescent="0.25">
      <c r="A60" s="7"/>
      <c r="B60" s="20"/>
      <c r="C60" s="10"/>
      <c r="D60" s="10"/>
      <c r="E60" s="19"/>
      <c r="F60" s="19"/>
      <c r="G60" s="19"/>
      <c r="H60" s="19"/>
      <c r="I60" s="19"/>
      <c r="J60" s="19"/>
    </row>
    <row r="61" spans="1:10" x14ac:dyDescent="0.25">
      <c r="A61" s="6" t="s">
        <v>213</v>
      </c>
      <c r="C61" s="31">
        <v>-8</v>
      </c>
      <c r="D61" s="31">
        <v>-7</v>
      </c>
      <c r="E61" s="13">
        <v>20</v>
      </c>
      <c r="F61" s="13">
        <v>22</v>
      </c>
      <c r="G61" s="13">
        <v>22</v>
      </c>
      <c r="H61" s="13">
        <v>24</v>
      </c>
      <c r="I61" s="13">
        <v>26</v>
      </c>
      <c r="J61" s="13">
        <v>27</v>
      </c>
    </row>
    <row r="62" spans="1:10" x14ac:dyDescent="0.25">
      <c r="A62" s="6"/>
      <c r="C62" s="31"/>
      <c r="D62" s="31"/>
      <c r="E62" s="13"/>
      <c r="F62" s="13"/>
      <c r="G62" s="13"/>
      <c r="H62" s="13"/>
      <c r="I62" s="13"/>
      <c r="J62" s="13"/>
    </row>
    <row r="63" spans="1:10" x14ac:dyDescent="0.25">
      <c r="A63" s="6"/>
      <c r="C63" s="31"/>
      <c r="D63" s="31"/>
      <c r="E63" s="13"/>
      <c r="F63" s="13"/>
      <c r="G63" s="13"/>
      <c r="H63" s="13"/>
      <c r="I63" s="13"/>
      <c r="J63" s="13"/>
    </row>
    <row r="64" spans="1:10" x14ac:dyDescent="0.25">
      <c r="A64" s="7" t="s">
        <v>111</v>
      </c>
      <c r="C64" s="10">
        <v>0</v>
      </c>
      <c r="D64" s="10">
        <v>2</v>
      </c>
      <c r="E64" s="10">
        <v>4</v>
      </c>
      <c r="F64" s="10">
        <v>6</v>
      </c>
      <c r="G64" s="10">
        <v>7</v>
      </c>
      <c r="H64" s="10">
        <v>7</v>
      </c>
      <c r="I64" s="10">
        <v>7</v>
      </c>
      <c r="J64" s="10">
        <v>7</v>
      </c>
    </row>
    <row r="65" spans="1:10" x14ac:dyDescent="0.25">
      <c r="A65" s="7"/>
      <c r="C65" s="10"/>
      <c r="D65" s="10"/>
      <c r="E65" s="10"/>
      <c r="F65" s="10"/>
      <c r="G65" s="10"/>
      <c r="H65" s="10"/>
      <c r="I65" s="10"/>
      <c r="J65" s="10"/>
    </row>
    <row r="66" spans="1:10" x14ac:dyDescent="0.25">
      <c r="A66" s="7"/>
      <c r="C66" s="10"/>
      <c r="D66" s="10"/>
      <c r="E66" s="10"/>
      <c r="F66" s="10"/>
      <c r="G66" s="10"/>
      <c r="H66" s="10"/>
      <c r="I66" s="10"/>
      <c r="J66" s="10"/>
    </row>
    <row r="67" spans="1:10" x14ac:dyDescent="0.25">
      <c r="A67" s="7" t="s">
        <v>634</v>
      </c>
      <c r="C67" s="10">
        <v>0</v>
      </c>
      <c r="D67" s="10">
        <v>7</v>
      </c>
      <c r="E67" s="10">
        <v>8</v>
      </c>
      <c r="F67" s="10">
        <v>0</v>
      </c>
      <c r="G67" s="10">
        <v>0</v>
      </c>
      <c r="H67" s="10">
        <v>1</v>
      </c>
      <c r="I67" s="10">
        <v>1</v>
      </c>
      <c r="J67" s="10">
        <v>1</v>
      </c>
    </row>
    <row r="68" spans="1:10" x14ac:dyDescent="0.25">
      <c r="A68" s="7" t="s">
        <v>113</v>
      </c>
      <c r="C68" s="19">
        <v>0</v>
      </c>
      <c r="D68" s="19">
        <v>-4</v>
      </c>
      <c r="E68" s="19">
        <v>-7</v>
      </c>
      <c r="F68" s="19">
        <v>-7</v>
      </c>
      <c r="G68" s="19">
        <v>-7</v>
      </c>
      <c r="H68" s="19">
        <v>-7</v>
      </c>
      <c r="I68" s="19">
        <v>-7</v>
      </c>
      <c r="J68" s="19">
        <v>-7</v>
      </c>
    </row>
    <row r="69" spans="1:10" x14ac:dyDescent="0.25">
      <c r="A69" s="6" t="s">
        <v>648</v>
      </c>
      <c r="C69" s="31">
        <v>-7</v>
      </c>
      <c r="D69" s="31">
        <v>-1</v>
      </c>
      <c r="E69" s="13">
        <v>25</v>
      </c>
      <c r="F69" s="13">
        <v>22</v>
      </c>
      <c r="G69" s="13">
        <v>22</v>
      </c>
      <c r="H69" s="13">
        <v>25</v>
      </c>
      <c r="I69" s="13">
        <v>26</v>
      </c>
      <c r="J69" s="13">
        <v>28</v>
      </c>
    </row>
    <row r="70" spans="1:10" x14ac:dyDescent="0.25">
      <c r="A70" s="6" t="s">
        <v>649</v>
      </c>
      <c r="C70" s="10">
        <v>4</v>
      </c>
      <c r="D70" s="10">
        <v>17</v>
      </c>
      <c r="E70" s="10">
        <v>20</v>
      </c>
      <c r="F70" s="10">
        <v>22</v>
      </c>
      <c r="G70" s="10">
        <v>22</v>
      </c>
      <c r="H70" s="10">
        <v>25</v>
      </c>
      <c r="I70" s="10">
        <v>26</v>
      </c>
      <c r="J70" s="10">
        <v>28</v>
      </c>
    </row>
    <row r="71" spans="1:10" x14ac:dyDescent="0.25">
      <c r="A71" s="6" t="s">
        <v>650</v>
      </c>
      <c r="C71" s="19">
        <v>-7</v>
      </c>
      <c r="D71" s="19">
        <v>-1</v>
      </c>
      <c r="E71" s="10">
        <v>25</v>
      </c>
      <c r="F71" s="10">
        <v>22</v>
      </c>
      <c r="G71" s="10">
        <v>22</v>
      </c>
      <c r="H71" s="10">
        <v>25</v>
      </c>
      <c r="I71" s="10">
        <v>26</v>
      </c>
      <c r="J71" s="10">
        <v>28</v>
      </c>
    </row>
    <row r="72" spans="1:10" x14ac:dyDescent="0.25">
      <c r="A72" s="6" t="s">
        <v>651</v>
      </c>
      <c r="C72" s="13">
        <v>11</v>
      </c>
      <c r="D72" s="13">
        <v>18</v>
      </c>
      <c r="E72" s="31">
        <v>-6</v>
      </c>
      <c r="F72" s="6" t="s">
        <v>90</v>
      </c>
      <c r="G72" s="6" t="s">
        <v>90</v>
      </c>
      <c r="H72" s="6" t="s">
        <v>90</v>
      </c>
      <c r="I72" s="6" t="s">
        <v>90</v>
      </c>
      <c r="J72" s="6" t="s">
        <v>90</v>
      </c>
    </row>
    <row r="73" spans="1:10" x14ac:dyDescent="0.25">
      <c r="A73" s="7" t="s">
        <v>115</v>
      </c>
      <c r="B73" s="20">
        <v>0.11</v>
      </c>
      <c r="C73" s="23">
        <v>0.98740000000000006</v>
      </c>
      <c r="D73" s="23">
        <v>0.92530000000000001</v>
      </c>
      <c r="E73" s="23">
        <v>0.83360000000000001</v>
      </c>
      <c r="F73" s="24">
        <v>0.751</v>
      </c>
      <c r="G73" s="23">
        <v>0.67659999999999998</v>
      </c>
      <c r="H73" s="23">
        <v>0.60950000000000004</v>
      </c>
      <c r="I73" s="23">
        <v>0.54910000000000003</v>
      </c>
      <c r="J73" s="23">
        <v>0.49469999999999997</v>
      </c>
    </row>
    <row r="74" spans="1:10" x14ac:dyDescent="0.25">
      <c r="A74" s="6" t="s">
        <v>116</v>
      </c>
      <c r="C74" s="13">
        <v>11</v>
      </c>
      <c r="D74" s="13">
        <v>17</v>
      </c>
      <c r="E74" s="31">
        <v>-5</v>
      </c>
      <c r="F74" s="6" t="s">
        <v>90</v>
      </c>
      <c r="G74" s="6" t="s">
        <v>90</v>
      </c>
      <c r="H74" s="6" t="s">
        <v>90</v>
      </c>
      <c r="I74" s="6" t="s">
        <v>90</v>
      </c>
      <c r="J74" s="6" t="s">
        <v>90</v>
      </c>
    </row>
    <row r="75" spans="1:10" x14ac:dyDescent="0.25">
      <c r="A75" s="7" t="s">
        <v>216</v>
      </c>
      <c r="C75" s="10">
        <v>23</v>
      </c>
      <c r="G75" s="7" t="s">
        <v>652</v>
      </c>
    </row>
    <row r="76" spans="1:10" x14ac:dyDescent="0.25">
      <c r="A76" s="7" t="s">
        <v>121</v>
      </c>
      <c r="B76" s="7" t="s">
        <v>288</v>
      </c>
      <c r="C76" s="10">
        <v>6</v>
      </c>
      <c r="E76" s="10">
        <v>30</v>
      </c>
      <c r="F76" s="15">
        <v>0.25</v>
      </c>
      <c r="G76" s="15">
        <v>0.33</v>
      </c>
      <c r="H76" s="15">
        <v>0.5</v>
      </c>
      <c r="I76" s="15">
        <v>0.75</v>
      </c>
    </row>
    <row r="77" spans="1:10" x14ac:dyDescent="0.25">
      <c r="A77" s="6" t="s">
        <v>219</v>
      </c>
      <c r="C77" s="13">
        <v>30</v>
      </c>
      <c r="E77" s="15">
        <v>0</v>
      </c>
      <c r="F77" s="10">
        <v>29</v>
      </c>
      <c r="G77" s="10">
        <v>29</v>
      </c>
      <c r="H77" s="10">
        <v>29</v>
      </c>
      <c r="I77" s="10">
        <v>29</v>
      </c>
    </row>
    <row r="78" spans="1:10" x14ac:dyDescent="0.25">
      <c r="E78" s="15">
        <v>0.05</v>
      </c>
      <c r="F78" s="10">
        <v>30</v>
      </c>
      <c r="G78" s="10">
        <v>30</v>
      </c>
      <c r="H78" s="10">
        <v>30</v>
      </c>
      <c r="I78" s="10">
        <v>30</v>
      </c>
    </row>
    <row r="79" spans="1:10" x14ac:dyDescent="0.25">
      <c r="D79" s="7" t="s">
        <v>653</v>
      </c>
      <c r="E79" s="15">
        <v>0.1</v>
      </c>
      <c r="F79" s="10">
        <v>35</v>
      </c>
      <c r="G79" s="10">
        <v>35</v>
      </c>
      <c r="H79" s="10">
        <v>35</v>
      </c>
      <c r="I79" s="10">
        <v>35</v>
      </c>
    </row>
    <row r="80" spans="1:10" x14ac:dyDescent="0.25">
      <c r="D80" s="7" t="s">
        <v>654</v>
      </c>
      <c r="E80" s="15">
        <v>0.15</v>
      </c>
      <c r="F80" s="10">
        <v>44</v>
      </c>
      <c r="G80" s="10">
        <v>44</v>
      </c>
      <c r="H80" s="10">
        <v>44</v>
      </c>
      <c r="I80" s="10">
        <v>44</v>
      </c>
    </row>
    <row r="81" spans="1:11" x14ac:dyDescent="0.25">
      <c r="E81" s="15">
        <v>0.2</v>
      </c>
      <c r="F81" s="10">
        <v>53</v>
      </c>
      <c r="G81" s="10">
        <v>53</v>
      </c>
      <c r="H81" s="10">
        <v>53</v>
      </c>
      <c r="I81" s="10">
        <v>53</v>
      </c>
    </row>
    <row r="82" spans="1:11" x14ac:dyDescent="0.25">
      <c r="A82" s="9" t="s">
        <v>221</v>
      </c>
    </row>
    <row r="83" spans="1:11" x14ac:dyDescent="0.25">
      <c r="A83" s="7" t="s">
        <v>655</v>
      </c>
      <c r="C83" s="20">
        <v>0.67700000000000005</v>
      </c>
      <c r="D83" s="20">
        <v>0.68100000000000005</v>
      </c>
      <c r="E83" s="20">
        <v>0.65800000000000003</v>
      </c>
      <c r="F83" s="20">
        <v>0.64800000000000002</v>
      </c>
      <c r="G83" s="20">
        <v>0.64900000000000002</v>
      </c>
      <c r="H83" s="20">
        <v>0.63800000000000001</v>
      </c>
      <c r="I83" s="20">
        <v>0.629</v>
      </c>
      <c r="J83" s="20">
        <v>0.61899999999999999</v>
      </c>
    </row>
    <row r="84" spans="1:11" x14ac:dyDescent="0.25">
      <c r="A84" s="7" t="s">
        <v>656</v>
      </c>
      <c r="C84" s="20">
        <v>0.8</v>
      </c>
      <c r="D84" s="20">
        <v>0.8</v>
      </c>
      <c r="E84" s="20">
        <v>0.8</v>
      </c>
      <c r="F84" s="20">
        <v>0.8</v>
      </c>
      <c r="G84" s="20">
        <v>0.8</v>
      </c>
      <c r="H84" s="20">
        <v>0.8</v>
      </c>
      <c r="I84" s="20">
        <v>0.8</v>
      </c>
      <c r="J84" s="20">
        <v>0.8</v>
      </c>
    </row>
    <row r="85" spans="1:11" x14ac:dyDescent="0.25">
      <c r="A85" s="7" t="s">
        <v>657</v>
      </c>
      <c r="C85" s="20">
        <v>0.2</v>
      </c>
      <c r="D85" s="20">
        <v>0.2</v>
      </c>
      <c r="E85" s="20">
        <v>0.2</v>
      </c>
      <c r="F85" s="20">
        <v>0.2</v>
      </c>
      <c r="G85" s="20">
        <v>0.2</v>
      </c>
      <c r="H85" s="20">
        <v>0.2</v>
      </c>
      <c r="I85" s="20">
        <v>0.2</v>
      </c>
      <c r="J85" s="20">
        <v>0.2</v>
      </c>
    </row>
    <row r="86" spans="1:11" x14ac:dyDescent="0.25">
      <c r="A86" s="7" t="s">
        <v>658</v>
      </c>
      <c r="B86" s="20">
        <v>0.05</v>
      </c>
      <c r="C86" s="7" t="s">
        <v>71</v>
      </c>
      <c r="D86" s="7" t="s">
        <v>71</v>
      </c>
      <c r="E86" s="7" t="s">
        <v>71</v>
      </c>
      <c r="F86" s="7" t="s">
        <v>71</v>
      </c>
      <c r="G86" s="7" t="s">
        <v>71</v>
      </c>
      <c r="H86" s="7" t="s">
        <v>71</v>
      </c>
      <c r="I86" s="7" t="s">
        <v>71</v>
      </c>
      <c r="J86" s="7" t="s">
        <v>71</v>
      </c>
    </row>
    <row r="87" spans="1:11" x14ac:dyDescent="0.25">
      <c r="A87" s="7" t="s">
        <v>631</v>
      </c>
      <c r="C87" s="20">
        <v>3.5999999999999997E-2</v>
      </c>
      <c r="D87" s="20">
        <v>3.4000000000000002E-2</v>
      </c>
      <c r="E87" s="20">
        <v>3.5000000000000003E-2</v>
      </c>
      <c r="F87" s="20">
        <v>0.05</v>
      </c>
      <c r="G87" s="20">
        <v>5.5E-2</v>
      </c>
      <c r="H87" s="20">
        <v>5.2999999999999999E-2</v>
      </c>
      <c r="I87" s="20">
        <v>5.0999999999999997E-2</v>
      </c>
      <c r="J87" s="20">
        <v>4.9000000000000002E-2</v>
      </c>
    </row>
    <row r="88" spans="1:11" x14ac:dyDescent="0.25">
      <c r="A88" s="7" t="s">
        <v>659</v>
      </c>
      <c r="C88" s="21">
        <v>-0.14000000000000001</v>
      </c>
      <c r="D88" s="20">
        <v>-0.14799999999999999</v>
      </c>
      <c r="E88" s="20">
        <v>-0.158</v>
      </c>
      <c r="F88" s="20">
        <v>-0.16300000000000001</v>
      </c>
      <c r="G88" s="20">
        <v>-0.16700000000000001</v>
      </c>
      <c r="H88" s="20">
        <v>-0.16700000000000001</v>
      </c>
      <c r="I88" s="20">
        <v>-0.16700000000000001</v>
      </c>
      <c r="J88" s="20">
        <v>-0.16700000000000001</v>
      </c>
    </row>
    <row r="89" spans="1:11" x14ac:dyDescent="0.25">
      <c r="A89" s="7" t="s">
        <v>660</v>
      </c>
      <c r="C89" s="20">
        <v>6.4000000000000001E-2</v>
      </c>
      <c r="D89" s="20">
        <v>6.2E-2</v>
      </c>
      <c r="E89" s="20">
        <v>0.06</v>
      </c>
      <c r="F89" s="20">
        <v>5.7000000000000002E-2</v>
      </c>
      <c r="G89" s="20">
        <v>5.5E-2</v>
      </c>
      <c r="H89" s="20">
        <v>5.2999999999999999E-2</v>
      </c>
      <c r="I89" s="20">
        <v>5.0999999999999997E-2</v>
      </c>
      <c r="J89" s="20">
        <v>0.05</v>
      </c>
    </row>
    <row r="90" spans="1:11" x14ac:dyDescent="0.25">
      <c r="A90" s="16" t="s">
        <v>127</v>
      </c>
    </row>
    <row r="91" spans="1:11" x14ac:dyDescent="0.25">
      <c r="A91" s="7" t="s">
        <v>661</v>
      </c>
    </row>
    <row r="92" spans="1:11" x14ac:dyDescent="0.25">
      <c r="A92" s="7" t="s">
        <v>291</v>
      </c>
    </row>
    <row r="93" spans="1:11" x14ac:dyDescent="0.25">
      <c r="A93" s="16" t="s">
        <v>61</v>
      </c>
    </row>
    <row r="94" spans="1:11" x14ac:dyDescent="0.25">
      <c r="A94" s="9" t="s">
        <v>62</v>
      </c>
      <c r="K94" s="2" t="s">
        <v>63</v>
      </c>
    </row>
    <row r="95" spans="1:11" x14ac:dyDescent="0.25">
      <c r="F95" s="5" t="s">
        <v>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2:M95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K2" s="7" t="s">
        <v>673</v>
      </c>
    </row>
    <row r="3" spans="1:13" x14ac:dyDescent="0.25">
      <c r="A3" s="6" t="s">
        <v>9</v>
      </c>
    </row>
    <row r="4" spans="1:13" x14ac:dyDescent="0.25">
      <c r="A4" s="6" t="s">
        <v>674</v>
      </c>
    </row>
    <row r="5" spans="1:13" x14ac:dyDescent="0.25">
      <c r="A5" s="6" t="s">
        <v>11</v>
      </c>
    </row>
    <row r="6" spans="1:13" x14ac:dyDescent="0.25">
      <c r="C6" s="9" t="s">
        <v>672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123</v>
      </c>
      <c r="C9" s="10">
        <v>31</v>
      </c>
      <c r="D9" s="10">
        <v>130</v>
      </c>
      <c r="E9" s="10">
        <v>133</v>
      </c>
      <c r="F9" s="10">
        <v>137</v>
      </c>
      <c r="G9" s="10">
        <v>140</v>
      </c>
      <c r="H9" s="10">
        <v>144</v>
      </c>
      <c r="I9" s="10">
        <v>148</v>
      </c>
      <c r="J9" s="10">
        <v>152</v>
      </c>
    </row>
    <row r="10" spans="1:13" x14ac:dyDescent="0.25">
      <c r="A10" s="7" t="s">
        <v>629</v>
      </c>
      <c r="C10" s="19">
        <v>-21</v>
      </c>
      <c r="D10" s="19">
        <v>-87</v>
      </c>
      <c r="E10" s="19">
        <v>-86</v>
      </c>
      <c r="F10" s="19">
        <v>-86</v>
      </c>
      <c r="G10" s="19">
        <v>-86</v>
      </c>
      <c r="H10" s="19">
        <v>-87</v>
      </c>
      <c r="I10" s="19">
        <v>-89</v>
      </c>
      <c r="J10" s="19">
        <v>-90</v>
      </c>
    </row>
    <row r="11" spans="1:13" x14ac:dyDescent="0.25">
      <c r="A11" s="7"/>
      <c r="C11" s="19">
        <f>SUM(C8:C9)</f>
        <v>31</v>
      </c>
      <c r="D11" s="19">
        <f>SUM(D8:D9)</f>
        <v>130</v>
      </c>
      <c r="E11" s="19">
        <f>SUM(E8:E9)</f>
        <v>133</v>
      </c>
      <c r="F11" s="19">
        <f>SUM(F8:F9)</f>
        <v>137</v>
      </c>
      <c r="G11" s="19">
        <f>SUM(G8:G9)</f>
        <v>140</v>
      </c>
      <c r="H11" s="19">
        <f>SUM(H8:H9)</f>
        <v>144</v>
      </c>
      <c r="I11" s="19">
        <f>SUM(I8:I9)</f>
        <v>148</v>
      </c>
      <c r="J11" s="19">
        <f>SUM(J8:J9)</f>
        <v>152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C12" s="19">
        <f>C11-C10</f>
        <v>52</v>
      </c>
      <c r="D12" s="19">
        <f>D11-D10</f>
        <v>217</v>
      </c>
      <c r="E12" s="19">
        <f>E11-E10</f>
        <v>219</v>
      </c>
      <c r="F12" s="19">
        <f>F11-F10</f>
        <v>223</v>
      </c>
      <c r="G12" s="19">
        <f>G11-G10</f>
        <v>226</v>
      </c>
      <c r="H12" s="19">
        <f>H11-H10</f>
        <v>231</v>
      </c>
      <c r="I12" s="19">
        <f>I11-I10</f>
        <v>237</v>
      </c>
      <c r="J12" s="19">
        <f>J11-J10</f>
        <v>242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630</v>
      </c>
      <c r="C13" s="10">
        <v>10</v>
      </c>
      <c r="D13" s="10">
        <v>43</v>
      </c>
      <c r="E13" s="10">
        <v>48</v>
      </c>
      <c r="F13" s="10">
        <v>51</v>
      </c>
      <c r="G13" s="10">
        <v>54</v>
      </c>
      <c r="H13" s="10">
        <v>57</v>
      </c>
      <c r="I13" s="10">
        <v>59</v>
      </c>
      <c r="J13" s="10">
        <v>62</v>
      </c>
    </row>
    <row r="14" spans="1:13" x14ac:dyDescent="0.25">
      <c r="A14" s="7" t="s">
        <v>631</v>
      </c>
      <c r="C14" s="19">
        <v>-1</v>
      </c>
      <c r="D14" s="19">
        <v>-4</v>
      </c>
      <c r="E14" s="19">
        <v>-5</v>
      </c>
      <c r="F14" s="19">
        <v>-7</v>
      </c>
      <c r="G14" s="19">
        <v>-8</v>
      </c>
      <c r="H14" s="19">
        <v>-8</v>
      </c>
      <c r="I14" s="19">
        <v>-7</v>
      </c>
      <c r="J14" s="19">
        <v>-7</v>
      </c>
    </row>
    <row r="15" spans="1:13" x14ac:dyDescent="0.25">
      <c r="A15" s="7"/>
      <c r="C15" s="19">
        <f>C10*C13</f>
        <v>-210</v>
      </c>
      <c r="D15" s="19">
        <f>D10*D13</f>
        <v>-3741</v>
      </c>
      <c r="E15" s="19">
        <f>E10*E13</f>
        <v>-4128</v>
      </c>
      <c r="F15" s="19">
        <f>F10*F13</f>
        <v>-4386</v>
      </c>
      <c r="G15" s="19">
        <f>G10*G13</f>
        <v>-4644</v>
      </c>
      <c r="H15" s="19">
        <f>H10*H13</f>
        <v>-4959</v>
      </c>
      <c r="I15" s="19">
        <f>I10*I13</f>
        <v>-5251</v>
      </c>
      <c r="J15" s="19">
        <f>J10*J13</f>
        <v>-5580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C16" s="19">
        <f>C15-C14</f>
        <v>-209</v>
      </c>
      <c r="D16" s="19">
        <f>D15-D14</f>
        <v>-3737</v>
      </c>
      <c r="E16" s="19">
        <f>E15-E14</f>
        <v>-4123</v>
      </c>
      <c r="F16" s="19">
        <f>F15-F14</f>
        <v>-4379</v>
      </c>
      <c r="G16" s="19">
        <f>G15-G14</f>
        <v>-4636</v>
      </c>
      <c r="H16" s="19">
        <f>H15-H14</f>
        <v>-4951</v>
      </c>
      <c r="I16" s="19">
        <f>I15-I14</f>
        <v>-5244</v>
      </c>
      <c r="J16" s="19">
        <f>J15-J14</f>
        <v>-5573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209</v>
      </c>
      <c r="C17" s="10">
        <v>9</v>
      </c>
      <c r="D17" s="10">
        <v>39</v>
      </c>
      <c r="E17" s="10">
        <v>43</v>
      </c>
      <c r="F17" s="10">
        <v>44</v>
      </c>
      <c r="G17" s="10">
        <v>46</v>
      </c>
      <c r="H17" s="10">
        <v>49</v>
      </c>
      <c r="I17" s="10">
        <v>52</v>
      </c>
      <c r="J17" s="10">
        <v>54</v>
      </c>
    </row>
    <row r="18" spans="1:13" x14ac:dyDescent="0.25">
      <c r="A18" s="7" t="s">
        <v>632</v>
      </c>
      <c r="B18" s="20">
        <v>0.39500000000000002</v>
      </c>
      <c r="C18" s="19">
        <v>-4</v>
      </c>
      <c r="D18" s="19">
        <v>-15</v>
      </c>
      <c r="E18" s="19">
        <v>-17</v>
      </c>
      <c r="F18" s="19">
        <v>-17</v>
      </c>
      <c r="G18" s="19">
        <v>-18</v>
      </c>
      <c r="H18" s="19">
        <v>-19</v>
      </c>
      <c r="I18" s="19">
        <v>-20</v>
      </c>
      <c r="J18" s="19">
        <v>-22</v>
      </c>
    </row>
    <row r="19" spans="1:13" x14ac:dyDescent="0.25">
      <c r="A19" s="7" t="s">
        <v>633</v>
      </c>
      <c r="C19" s="10">
        <v>5</v>
      </c>
      <c r="D19" s="10">
        <v>24</v>
      </c>
      <c r="E19" s="10">
        <v>26</v>
      </c>
      <c r="F19" s="10">
        <v>26</v>
      </c>
      <c r="G19" s="10">
        <v>28</v>
      </c>
      <c r="H19" s="10">
        <v>30</v>
      </c>
      <c r="I19" s="10">
        <v>31</v>
      </c>
      <c r="J19" s="10">
        <v>33</v>
      </c>
    </row>
    <row r="20" spans="1:13" x14ac:dyDescent="0.25">
      <c r="A20" s="7" t="s">
        <v>111</v>
      </c>
      <c r="C20" s="10">
        <v>1</v>
      </c>
      <c r="D20" s="10">
        <v>4</v>
      </c>
      <c r="E20" s="10">
        <v>5</v>
      </c>
      <c r="F20" s="10">
        <v>7</v>
      </c>
      <c r="G20" s="10">
        <v>8</v>
      </c>
      <c r="H20" s="10">
        <v>8</v>
      </c>
      <c r="I20" s="10">
        <v>7</v>
      </c>
      <c r="J20" s="10">
        <v>7</v>
      </c>
    </row>
    <row r="21" spans="1:13" x14ac:dyDescent="0.25">
      <c r="A21" s="7"/>
      <c r="C21" s="10">
        <f>SUM(C18,C19)</f>
        <v>1</v>
      </c>
      <c r="D21" s="10">
        <f>SUM(D18,D19)</f>
        <v>9</v>
      </c>
      <c r="E21" s="10">
        <f>SUM(E18,E19)</f>
        <v>9</v>
      </c>
      <c r="F21" s="10">
        <f>SUM(F18,F19)</f>
        <v>9</v>
      </c>
      <c r="G21" s="10">
        <f>SUM(G18,G19)</f>
        <v>10</v>
      </c>
      <c r="H21" s="10">
        <f>SUM(H18,H19)</f>
        <v>11</v>
      </c>
      <c r="I21" s="10">
        <f>SUM(I18,I19)</f>
        <v>11</v>
      </c>
      <c r="J21" s="10">
        <f>SUM(J18,J19)</f>
        <v>11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7"/>
      <c r="C22" s="10">
        <f>C21-C20</f>
        <v>0</v>
      </c>
      <c r="D22" s="10">
        <f>D21-D20</f>
        <v>5</v>
      </c>
      <c r="E22" s="10">
        <f>E21-E20</f>
        <v>4</v>
      </c>
      <c r="F22" s="10">
        <f>F21-F20</f>
        <v>2</v>
      </c>
      <c r="G22" s="10">
        <f>G21-G20</f>
        <v>2</v>
      </c>
      <c r="H22" s="10">
        <f>H21-H20</f>
        <v>3</v>
      </c>
      <c r="I22" s="10">
        <f>I21-I20</f>
        <v>4</v>
      </c>
      <c r="J22" s="10">
        <f>J21-J20</f>
        <v>4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634</v>
      </c>
      <c r="C23" s="10">
        <v>1</v>
      </c>
      <c r="D23" s="10">
        <v>1</v>
      </c>
      <c r="E23" s="10">
        <v>1</v>
      </c>
      <c r="F23" s="10">
        <v>1</v>
      </c>
      <c r="G23" s="10">
        <v>1</v>
      </c>
      <c r="H23" s="10">
        <v>1</v>
      </c>
      <c r="I23" s="10">
        <v>1</v>
      </c>
      <c r="J23" s="10">
        <v>1</v>
      </c>
    </row>
    <row r="24" spans="1:13" x14ac:dyDescent="0.25">
      <c r="A24" s="7"/>
      <c r="C24" s="10">
        <f>C10*B23</f>
        <v>0</v>
      </c>
      <c r="D24" s="10">
        <f>D10*B23</f>
        <v>0</v>
      </c>
      <c r="E24" s="10">
        <f>E10*B23</f>
        <v>0</v>
      </c>
      <c r="F24" s="10">
        <f>F10*B23</f>
        <v>0</v>
      </c>
      <c r="G24" s="10">
        <f>G10*B23</f>
        <v>0</v>
      </c>
      <c r="H24" s="10">
        <f>H10*B23</f>
        <v>0</v>
      </c>
      <c r="I24" s="10">
        <f>I10*B23</f>
        <v>0</v>
      </c>
      <c r="J24" s="10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 s="10">
        <f>C24-C23</f>
        <v>-1</v>
      </c>
      <c r="D25" s="10">
        <f>D24-D23</f>
        <v>-1</v>
      </c>
      <c r="E25" s="10">
        <f>E24-E23</f>
        <v>-1</v>
      </c>
      <c r="F25" s="10">
        <f>F24-F23</f>
        <v>-1</v>
      </c>
      <c r="G25" s="10">
        <f>G24-G23</f>
        <v>-1</v>
      </c>
      <c r="H25" s="10">
        <f>H24-H23</f>
        <v>-1</v>
      </c>
      <c r="I25" s="10">
        <f>I24-I23</f>
        <v>-1</v>
      </c>
      <c r="J25" s="10">
        <f>J24-J23</f>
        <v>-1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7" t="s">
        <v>113</v>
      </c>
      <c r="C26" s="19">
        <v>-2</v>
      </c>
      <c r="D26" s="19">
        <v>-8</v>
      </c>
      <c r="E26" s="19">
        <v>-8</v>
      </c>
      <c r="F26" s="19">
        <v>-8</v>
      </c>
      <c r="G26" s="19">
        <v>-8</v>
      </c>
      <c r="H26" s="19">
        <v>-8</v>
      </c>
      <c r="I26" s="19">
        <v>-8</v>
      </c>
      <c r="J26" s="19">
        <v>-8</v>
      </c>
    </row>
    <row r="27" spans="1:13" x14ac:dyDescent="0.25">
      <c r="A27" s="7"/>
      <c r="C27" s="19">
        <f>SUM(C20,C23)</f>
        <v>2</v>
      </c>
      <c r="D27" s="19">
        <f>SUM(D20,D23)</f>
        <v>5</v>
      </c>
      <c r="E27" s="19">
        <f>SUM(E20,E23)</f>
        <v>6</v>
      </c>
      <c r="F27" s="19">
        <f>SUM(F20,F23)</f>
        <v>8</v>
      </c>
      <c r="G27" s="19">
        <f>SUM(G20,G23)</f>
        <v>9</v>
      </c>
      <c r="H27" s="19">
        <f>SUM(H20,H23)</f>
        <v>9</v>
      </c>
      <c r="I27" s="19">
        <f>SUM(I20,I23)</f>
        <v>8</v>
      </c>
      <c r="J27" s="19">
        <f>SUM(J20,J23)</f>
        <v>8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7"/>
      <c r="C28" s="19">
        <f>C27-C26</f>
        <v>4</v>
      </c>
      <c r="D28" s="19">
        <f>D27-D26</f>
        <v>13</v>
      </c>
      <c r="E28" s="19">
        <f>E27-E26</f>
        <v>14</v>
      </c>
      <c r="F28" s="19">
        <f>F27-F26</f>
        <v>16</v>
      </c>
      <c r="G28" s="19">
        <f>G27-G26</f>
        <v>17</v>
      </c>
      <c r="H28" s="19">
        <f>H27-H26</f>
        <v>17</v>
      </c>
      <c r="I28" s="19">
        <f>I27-I26</f>
        <v>16</v>
      </c>
      <c r="J28" s="19">
        <f>J27-J26</f>
        <v>16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635</v>
      </c>
      <c r="C29" s="10">
        <v>6</v>
      </c>
      <c r="D29" s="10">
        <v>21</v>
      </c>
      <c r="E29" s="10">
        <v>23</v>
      </c>
      <c r="F29" s="10">
        <v>27</v>
      </c>
      <c r="G29" s="10">
        <v>29</v>
      </c>
      <c r="H29" s="10">
        <v>31</v>
      </c>
      <c r="I29" s="10">
        <v>32</v>
      </c>
      <c r="J29" s="10">
        <v>34</v>
      </c>
    </row>
    <row r="30" spans="1:13" x14ac:dyDescent="0.25">
      <c r="A30" s="7"/>
      <c r="C30" s="10">
        <f>C26*B29</f>
        <v>0</v>
      </c>
      <c r="D30" s="10">
        <f>D26*B29</f>
        <v>0</v>
      </c>
      <c r="E30" s="10">
        <f>E26*B29</f>
        <v>0</v>
      </c>
      <c r="F30" s="10">
        <f>F26*B29</f>
        <v>0</v>
      </c>
      <c r="G30" s="10">
        <f>G26*B29</f>
        <v>0</v>
      </c>
      <c r="H30" s="10">
        <f>H26*B29</f>
        <v>0</v>
      </c>
      <c r="I30" s="10">
        <f>I26*B29</f>
        <v>0</v>
      </c>
      <c r="J30" s="1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 s="10">
        <f>C30-C29</f>
        <v>-6</v>
      </c>
      <c r="D31" s="10">
        <f>D30-D29</f>
        <v>-21</v>
      </c>
      <c r="E31" s="10">
        <f>E30-E29</f>
        <v>-23</v>
      </c>
      <c r="F31" s="10">
        <f>F30-F29</f>
        <v>-27</v>
      </c>
      <c r="G31" s="10">
        <f>G30-G29</f>
        <v>-29</v>
      </c>
      <c r="H31" s="10">
        <f>H30-H29</f>
        <v>-31</v>
      </c>
      <c r="I31" s="10">
        <f>I30-I29</f>
        <v>-32</v>
      </c>
      <c r="J31" s="10">
        <f>J30-J29</f>
        <v>-34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6" t="s">
        <v>636</v>
      </c>
    </row>
    <row r="33" spans="1:13" x14ac:dyDescent="0.25">
      <c r="A33" s="6"/>
      <c r="C33" s="60">
        <f>SUM(C26,C29)</f>
        <v>4</v>
      </c>
      <c r="D33" s="60">
        <f>SUM(D26,D29)</f>
        <v>13</v>
      </c>
      <c r="E33" s="60">
        <f>SUM(E26,E29)</f>
        <v>15</v>
      </c>
      <c r="F33" s="60">
        <f>SUM(F26,F29)</f>
        <v>19</v>
      </c>
      <c r="G33" s="60">
        <f>SUM(G26,G29)</f>
        <v>21</v>
      </c>
      <c r="H33" s="60">
        <f>SUM(H26,H29)</f>
        <v>23</v>
      </c>
      <c r="I33" s="60">
        <f>SUM(I26,I29)</f>
        <v>24</v>
      </c>
      <c r="J33" s="60">
        <f>SUM(J26,J29)</f>
        <v>26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6"/>
      <c r="C34" s="60">
        <f>C33-C32</f>
        <v>4</v>
      </c>
      <c r="D34" s="60">
        <f>D33-D32</f>
        <v>13</v>
      </c>
      <c r="E34" s="60">
        <f>E33-E32</f>
        <v>15</v>
      </c>
      <c r="F34" s="60">
        <f>F33-F32</f>
        <v>19</v>
      </c>
      <c r="G34" s="60">
        <f>G33-G32</f>
        <v>21</v>
      </c>
      <c r="H34" s="60">
        <f>H33-H32</f>
        <v>23</v>
      </c>
      <c r="I34" s="60">
        <f>I33-I32</f>
        <v>24</v>
      </c>
      <c r="J34" s="60">
        <f>J33-J32</f>
        <v>26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637</v>
      </c>
      <c r="D35" s="20">
        <v>2.4E-2</v>
      </c>
      <c r="E35" s="20">
        <v>2.4E-2</v>
      </c>
      <c r="F35" s="20">
        <v>2.5000000000000001E-2</v>
      </c>
      <c r="G35" s="20">
        <v>2.5999999999999999E-2</v>
      </c>
      <c r="H35" s="20">
        <v>2.5999999999999999E-2</v>
      </c>
      <c r="I35" s="20">
        <v>2.7E-2</v>
      </c>
      <c r="J35" s="20">
        <v>2.8000000000000001E-2</v>
      </c>
    </row>
    <row r="36" spans="1:13" x14ac:dyDescent="0.25">
      <c r="A36" s="7" t="s">
        <v>638</v>
      </c>
      <c r="C36" s="20">
        <v>0.32400000000000001</v>
      </c>
      <c r="D36" s="20">
        <v>0.33300000000000002</v>
      </c>
      <c r="E36" s="20">
        <v>0.35699999999999998</v>
      </c>
      <c r="F36" s="20">
        <v>0.371</v>
      </c>
      <c r="G36" s="20">
        <v>0.38300000000000001</v>
      </c>
      <c r="H36" s="20">
        <v>0.39300000000000002</v>
      </c>
      <c r="I36" s="20">
        <v>0.4</v>
      </c>
      <c r="J36" s="20">
        <v>0.40799999999999997</v>
      </c>
    </row>
    <row r="37" spans="1:13" x14ac:dyDescent="0.25">
      <c r="A37" s="7"/>
      <c r="C37" s="20">
        <f>SUM(C32,C35)</f>
        <v>0</v>
      </c>
      <c r="D37" s="20">
        <f>SUM(D32,D35)</f>
        <v>2.4E-2</v>
      </c>
      <c r="E37" s="20">
        <f>SUM(E32,E35)</f>
        <v>2.4E-2</v>
      </c>
      <c r="F37" s="20">
        <f>SUM(F32,F35)</f>
        <v>2.5000000000000001E-2</v>
      </c>
      <c r="G37" s="20">
        <f>SUM(G32,G35)</f>
        <v>2.5999999999999999E-2</v>
      </c>
      <c r="H37" s="20">
        <f>SUM(H32,H35)</f>
        <v>2.5999999999999999E-2</v>
      </c>
      <c r="I37" s="20">
        <f>SUM(I32,I35)</f>
        <v>2.7E-2</v>
      </c>
      <c r="J37" s="20">
        <f>SUM(J32,J35)</f>
        <v>2.8000000000000001E-2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7"/>
      <c r="C38" s="20">
        <f>C37-C36</f>
        <v>-0.32400000000000001</v>
      </c>
      <c r="D38" s="20">
        <f>D37-D36</f>
        <v>-0.309</v>
      </c>
      <c r="E38" s="20">
        <f>E37-E36</f>
        <v>-0.33299999999999996</v>
      </c>
      <c r="F38" s="20">
        <f>F37-F36</f>
        <v>-0.34599999999999997</v>
      </c>
      <c r="G38" s="20">
        <f>G37-G36</f>
        <v>-0.35699999999999998</v>
      </c>
      <c r="H38" s="20">
        <f>H37-H36</f>
        <v>-0.36699999999999999</v>
      </c>
      <c r="I38" s="20">
        <f>I37-I36</f>
        <v>-0.373</v>
      </c>
      <c r="J38" s="20">
        <f>J37-J36</f>
        <v>-0.37999999999999995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631</v>
      </c>
      <c r="C39" s="20">
        <v>3.5999999999999997E-2</v>
      </c>
      <c r="D39" s="20">
        <v>3.4000000000000002E-2</v>
      </c>
      <c r="E39" s="20">
        <v>3.5000000000000003E-2</v>
      </c>
      <c r="F39" s="20">
        <v>0.05</v>
      </c>
      <c r="G39" s="20">
        <v>5.5E-2</v>
      </c>
      <c r="H39" s="20">
        <v>5.2999999999999999E-2</v>
      </c>
      <c r="I39" s="20">
        <v>5.0999999999999997E-2</v>
      </c>
      <c r="J39" s="20">
        <v>4.9000000000000002E-2</v>
      </c>
    </row>
    <row r="40" spans="1:13" x14ac:dyDescent="0.25">
      <c r="A40" s="7" t="s">
        <v>639</v>
      </c>
      <c r="C40" s="20">
        <v>-0.27100000000000002</v>
      </c>
      <c r="D40" s="20">
        <v>-0.28199999999999997</v>
      </c>
      <c r="E40" s="20">
        <v>-0.29099999999999998</v>
      </c>
      <c r="F40" s="20">
        <v>-0.29899999999999999</v>
      </c>
      <c r="G40" s="20">
        <v>-0.30599999999999999</v>
      </c>
      <c r="H40" s="20">
        <v>-0.30599999999999999</v>
      </c>
      <c r="I40" s="20">
        <v>-0.30599999999999999</v>
      </c>
      <c r="J40" s="20">
        <v>-0.30599999999999999</v>
      </c>
    </row>
    <row r="41" spans="1:13" x14ac:dyDescent="0.25">
      <c r="A41" s="7"/>
      <c r="C41" s="20">
        <f>C36*C39</f>
        <v>1.1663999999999999E-2</v>
      </c>
      <c r="D41" s="20">
        <f>D36*D39</f>
        <v>1.1322000000000002E-2</v>
      </c>
      <c r="E41" s="20">
        <f>E36*E39</f>
        <v>1.2495000000000001E-2</v>
      </c>
      <c r="F41" s="20">
        <f>F36*F39</f>
        <v>1.8550000000000001E-2</v>
      </c>
      <c r="G41" s="20">
        <f>G36*G39</f>
        <v>2.1065E-2</v>
      </c>
      <c r="H41" s="20">
        <f>H36*H39</f>
        <v>2.0829E-2</v>
      </c>
      <c r="I41" s="20">
        <f>I36*I39</f>
        <v>2.0400000000000001E-2</v>
      </c>
      <c r="J41" s="20">
        <f>J36*J39</f>
        <v>1.9991999999999999E-2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7"/>
      <c r="C42" s="20">
        <f>C41-C40</f>
        <v>0.28266400000000003</v>
      </c>
      <c r="D42" s="20">
        <f>D41-D40</f>
        <v>0.29332199999999997</v>
      </c>
      <c r="E42" s="20">
        <f>E41-E40</f>
        <v>0.30349499999999996</v>
      </c>
      <c r="F42" s="20">
        <f>F41-F40</f>
        <v>0.31755</v>
      </c>
      <c r="G42" s="20">
        <f>G41-G40</f>
        <v>0.32706499999999999</v>
      </c>
      <c r="H42" s="20">
        <f>H41-H40</f>
        <v>0.32682899999999998</v>
      </c>
      <c r="I42" s="20">
        <f>I41-I40</f>
        <v>0.32640000000000002</v>
      </c>
      <c r="J42" s="20">
        <f>J41-J40</f>
        <v>0.325992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7" t="s">
        <v>640</v>
      </c>
      <c r="C43" s="20">
        <v>6.4000000000000001E-2</v>
      </c>
      <c r="D43" s="20">
        <v>6.2E-2</v>
      </c>
      <c r="E43" s="20">
        <v>0.06</v>
      </c>
      <c r="F43" s="20">
        <v>5.7000000000000002E-2</v>
      </c>
      <c r="G43" s="20">
        <v>5.5E-2</v>
      </c>
      <c r="H43" s="20">
        <v>5.2999999999999999E-2</v>
      </c>
      <c r="I43" s="20">
        <v>5.0999999999999997E-2</v>
      </c>
      <c r="J43" s="20">
        <v>0.05</v>
      </c>
    </row>
    <row r="44" spans="1:13" x14ac:dyDescent="0.25">
      <c r="A44" s="6" t="s">
        <v>664</v>
      </c>
    </row>
    <row r="45" spans="1:13" x14ac:dyDescent="0.25">
      <c r="A45" s="7" t="s">
        <v>642</v>
      </c>
      <c r="C45" s="40">
        <v>0.107</v>
      </c>
      <c r="D45" s="40">
        <v>0.53600000000000003</v>
      </c>
      <c r="E45" s="40">
        <v>0.96399999999999997</v>
      </c>
      <c r="F45" s="40">
        <v>1</v>
      </c>
      <c r="G45" s="40">
        <v>1</v>
      </c>
      <c r="H45" s="40">
        <v>1</v>
      </c>
      <c r="I45" s="40">
        <v>1</v>
      </c>
      <c r="J45" s="40">
        <v>1</v>
      </c>
    </row>
    <row r="46" spans="1:13" x14ac:dyDescent="0.25">
      <c r="A46" s="7" t="s">
        <v>643</v>
      </c>
      <c r="C46" s="10">
        <v>3</v>
      </c>
      <c r="D46" s="10">
        <v>70</v>
      </c>
      <c r="E46" s="10">
        <v>128</v>
      </c>
      <c r="F46" s="10">
        <v>137</v>
      </c>
      <c r="G46" s="10">
        <v>140</v>
      </c>
      <c r="H46" s="10">
        <v>144</v>
      </c>
      <c r="I46" s="10">
        <v>148</v>
      </c>
      <c r="J46" s="10">
        <v>152</v>
      </c>
    </row>
    <row r="47" spans="1:13" x14ac:dyDescent="0.25">
      <c r="A47" s="7" t="s">
        <v>644</v>
      </c>
      <c r="C47" s="19">
        <v>-18</v>
      </c>
      <c r="D47" s="19">
        <v>-74</v>
      </c>
      <c r="E47" s="19">
        <v>-73</v>
      </c>
      <c r="F47" s="19">
        <v>-73</v>
      </c>
      <c r="G47" s="19">
        <v>-73</v>
      </c>
      <c r="H47" s="19">
        <v>-74</v>
      </c>
      <c r="I47" s="19">
        <v>-75</v>
      </c>
      <c r="J47" s="19">
        <v>-76</v>
      </c>
    </row>
    <row r="48" spans="1:13" x14ac:dyDescent="0.25">
      <c r="A48" s="7" t="s">
        <v>645</v>
      </c>
      <c r="C48" s="19">
        <v>0</v>
      </c>
      <c r="D48" s="19">
        <v>-7</v>
      </c>
      <c r="E48" s="19">
        <v>-12</v>
      </c>
      <c r="F48" s="19">
        <v>-13</v>
      </c>
      <c r="G48" s="19">
        <v>-13</v>
      </c>
      <c r="H48" s="19">
        <v>-13</v>
      </c>
      <c r="I48" s="19">
        <v>-13</v>
      </c>
      <c r="J48" s="19">
        <v>-13</v>
      </c>
    </row>
    <row r="49" spans="1:10" x14ac:dyDescent="0.25">
      <c r="A49" s="7" t="s">
        <v>646</v>
      </c>
      <c r="C49" s="7" t="s">
        <v>90</v>
      </c>
      <c r="D49" s="7" t="s">
        <v>90</v>
      </c>
      <c r="E49" s="7" t="s">
        <v>90</v>
      </c>
      <c r="F49" s="7" t="s">
        <v>90</v>
      </c>
      <c r="G49" s="7" t="s">
        <v>90</v>
      </c>
      <c r="H49" s="7" t="s">
        <v>90</v>
      </c>
      <c r="I49" s="7" t="s">
        <v>90</v>
      </c>
      <c r="J49" s="7" t="s">
        <v>90</v>
      </c>
    </row>
    <row r="50" spans="1:10" x14ac:dyDescent="0.25">
      <c r="A50" s="6" t="s">
        <v>630</v>
      </c>
      <c r="C50" s="31">
        <v>-15</v>
      </c>
      <c r="D50" s="31">
        <v>-11</v>
      </c>
      <c r="E50" s="13">
        <v>43</v>
      </c>
      <c r="F50" s="13">
        <v>51</v>
      </c>
      <c r="G50" s="13">
        <v>54</v>
      </c>
      <c r="H50" s="13">
        <v>57</v>
      </c>
      <c r="I50" s="13">
        <v>59</v>
      </c>
      <c r="J50" s="13">
        <v>62</v>
      </c>
    </row>
    <row r="51" spans="1:10" x14ac:dyDescent="0.25">
      <c r="A51" s="11" t="s">
        <v>647</v>
      </c>
      <c r="C51" s="41">
        <v>25</v>
      </c>
      <c r="D51" s="41">
        <v>54</v>
      </c>
      <c r="E51" s="41">
        <v>4</v>
      </c>
      <c r="F51" s="11" t="s">
        <v>90</v>
      </c>
      <c r="G51" s="11" t="s">
        <v>90</v>
      </c>
      <c r="H51" s="11" t="s">
        <v>90</v>
      </c>
      <c r="I51" s="11" t="s">
        <v>90</v>
      </c>
      <c r="J51" s="11" t="s">
        <v>90</v>
      </c>
    </row>
    <row r="52" spans="1:10" x14ac:dyDescent="0.25">
      <c r="A52" s="7" t="s">
        <v>631</v>
      </c>
      <c r="C52" s="19">
        <v>0</v>
      </c>
      <c r="D52" s="19">
        <v>-2</v>
      </c>
      <c r="E52" s="19">
        <v>-4</v>
      </c>
      <c r="F52" s="19">
        <v>-7</v>
      </c>
      <c r="G52" s="19">
        <v>-8</v>
      </c>
      <c r="H52" s="19">
        <v>-8</v>
      </c>
      <c r="I52" s="19">
        <v>-7</v>
      </c>
      <c r="J52" s="19">
        <v>-7</v>
      </c>
    </row>
    <row r="53" spans="1:10" x14ac:dyDescent="0.25">
      <c r="A53" s="7"/>
      <c r="C53" s="19"/>
      <c r="D53" s="19"/>
      <c r="E53" s="19"/>
      <c r="F53" s="19"/>
      <c r="G53" s="19"/>
      <c r="H53" s="19"/>
      <c r="I53" s="19"/>
      <c r="J53" s="19"/>
    </row>
    <row r="54" spans="1:10" x14ac:dyDescent="0.25">
      <c r="A54" s="7"/>
      <c r="C54" s="19"/>
      <c r="D54" s="19"/>
      <c r="E54" s="19"/>
      <c r="F54" s="19"/>
      <c r="G54" s="19"/>
      <c r="H54" s="19"/>
      <c r="I54" s="19"/>
      <c r="J54" s="19"/>
    </row>
    <row r="55" spans="1:10" x14ac:dyDescent="0.25">
      <c r="A55" s="6" t="s">
        <v>209</v>
      </c>
      <c r="C55" s="31">
        <v>-15</v>
      </c>
      <c r="D55" s="31">
        <v>-13</v>
      </c>
      <c r="E55" s="13">
        <v>39</v>
      </c>
      <c r="F55" s="13">
        <v>44</v>
      </c>
      <c r="G55" s="13">
        <v>46</v>
      </c>
      <c r="H55" s="13">
        <v>49</v>
      </c>
      <c r="I55" s="13">
        <v>52</v>
      </c>
      <c r="J55" s="13">
        <v>54</v>
      </c>
    </row>
    <row r="56" spans="1:10" x14ac:dyDescent="0.25">
      <c r="A56" s="6"/>
      <c r="C56" s="31"/>
      <c r="D56" s="31"/>
      <c r="E56" s="13"/>
      <c r="F56" s="13"/>
      <c r="G56" s="13"/>
      <c r="H56" s="13"/>
      <c r="I56" s="13"/>
      <c r="J56" s="13"/>
    </row>
    <row r="57" spans="1:10" x14ac:dyDescent="0.25">
      <c r="A57" s="6"/>
      <c r="C57" s="31"/>
      <c r="D57" s="31"/>
      <c r="E57" s="13"/>
      <c r="F57" s="13"/>
      <c r="G57" s="13"/>
      <c r="H57" s="13"/>
      <c r="I57" s="13"/>
      <c r="J57" s="13"/>
    </row>
    <row r="58" spans="1:10" x14ac:dyDescent="0.25">
      <c r="A58" s="7" t="s">
        <v>212</v>
      </c>
      <c r="B58" s="20">
        <v>0.39500000000000002</v>
      </c>
      <c r="C58" s="10">
        <v>6</v>
      </c>
      <c r="D58" s="10">
        <v>5</v>
      </c>
      <c r="E58" s="19">
        <v>-15</v>
      </c>
      <c r="F58" s="19">
        <v>-17</v>
      </c>
      <c r="G58" s="19">
        <v>-18</v>
      </c>
      <c r="H58" s="19">
        <v>-19</v>
      </c>
      <c r="I58" s="19">
        <v>-20</v>
      </c>
      <c r="J58" s="19">
        <v>-22</v>
      </c>
    </row>
    <row r="59" spans="1:10" x14ac:dyDescent="0.25">
      <c r="A59" s="7"/>
      <c r="B59" s="20"/>
      <c r="C59" s="10"/>
      <c r="D59" s="10"/>
      <c r="E59" s="19"/>
      <c r="F59" s="19"/>
      <c r="G59" s="19"/>
      <c r="H59" s="19"/>
      <c r="I59" s="19"/>
      <c r="J59" s="19"/>
    </row>
    <row r="60" spans="1:10" x14ac:dyDescent="0.25">
      <c r="A60" s="7"/>
      <c r="B60" s="20"/>
      <c r="C60" s="10"/>
      <c r="D60" s="10"/>
      <c r="E60" s="19"/>
      <c r="F60" s="19"/>
      <c r="G60" s="19"/>
      <c r="H60" s="19"/>
      <c r="I60" s="19"/>
      <c r="J60" s="19"/>
    </row>
    <row r="61" spans="1:10" x14ac:dyDescent="0.25">
      <c r="A61" s="6" t="s">
        <v>213</v>
      </c>
      <c r="C61" s="31">
        <v>-9</v>
      </c>
      <c r="D61" s="31">
        <v>-8</v>
      </c>
      <c r="E61" s="13">
        <v>23</v>
      </c>
      <c r="F61" s="13">
        <v>26</v>
      </c>
      <c r="G61" s="13">
        <v>28</v>
      </c>
      <c r="H61" s="13">
        <v>30</v>
      </c>
      <c r="I61" s="13">
        <v>31</v>
      </c>
      <c r="J61" s="13">
        <v>33</v>
      </c>
    </row>
    <row r="62" spans="1:10" x14ac:dyDescent="0.25">
      <c r="A62" s="6"/>
      <c r="C62" s="31"/>
      <c r="D62" s="31"/>
      <c r="E62" s="13"/>
      <c r="F62" s="13"/>
      <c r="G62" s="13"/>
      <c r="H62" s="13"/>
      <c r="I62" s="13"/>
      <c r="J62" s="13"/>
    </row>
    <row r="63" spans="1:10" x14ac:dyDescent="0.25">
      <c r="A63" s="6"/>
      <c r="C63" s="31"/>
      <c r="D63" s="31"/>
      <c r="E63" s="13"/>
      <c r="F63" s="13"/>
      <c r="G63" s="13"/>
      <c r="H63" s="13"/>
      <c r="I63" s="13"/>
      <c r="J63" s="13"/>
    </row>
    <row r="64" spans="1:10" x14ac:dyDescent="0.25">
      <c r="A64" s="7" t="s">
        <v>111</v>
      </c>
      <c r="C64" s="10">
        <v>0</v>
      </c>
      <c r="D64" s="10">
        <v>2</v>
      </c>
      <c r="E64" s="10">
        <v>4</v>
      </c>
      <c r="F64" s="10">
        <v>7</v>
      </c>
      <c r="G64" s="10">
        <v>8</v>
      </c>
      <c r="H64" s="10">
        <v>8</v>
      </c>
      <c r="I64" s="10">
        <v>7</v>
      </c>
      <c r="J64" s="10">
        <v>7</v>
      </c>
    </row>
    <row r="65" spans="1:10" x14ac:dyDescent="0.25">
      <c r="A65" s="7"/>
      <c r="C65" s="10"/>
      <c r="D65" s="10"/>
      <c r="E65" s="10"/>
      <c r="F65" s="10"/>
      <c r="G65" s="10"/>
      <c r="H65" s="10"/>
      <c r="I65" s="10"/>
      <c r="J65" s="10"/>
    </row>
    <row r="66" spans="1:10" x14ac:dyDescent="0.25">
      <c r="A66" s="7"/>
      <c r="C66" s="10"/>
      <c r="D66" s="10"/>
      <c r="E66" s="10"/>
      <c r="F66" s="10"/>
      <c r="G66" s="10"/>
      <c r="H66" s="10"/>
      <c r="I66" s="10"/>
      <c r="J66" s="10"/>
    </row>
    <row r="67" spans="1:10" x14ac:dyDescent="0.25">
      <c r="A67" s="7" t="s">
        <v>634</v>
      </c>
      <c r="C67" s="10">
        <v>1</v>
      </c>
      <c r="D67" s="10">
        <v>16</v>
      </c>
      <c r="E67" s="10">
        <v>17</v>
      </c>
      <c r="F67" s="10">
        <v>1</v>
      </c>
      <c r="G67" s="10">
        <v>1</v>
      </c>
      <c r="H67" s="10">
        <v>1</v>
      </c>
      <c r="I67" s="10">
        <v>1</v>
      </c>
      <c r="J67" s="10">
        <v>1</v>
      </c>
    </row>
    <row r="68" spans="1:10" x14ac:dyDescent="0.25">
      <c r="A68" s="7" t="s">
        <v>113</v>
      </c>
      <c r="C68" s="19">
        <v>0</v>
      </c>
      <c r="D68" s="19">
        <v>-4</v>
      </c>
      <c r="E68" s="19">
        <v>-8</v>
      </c>
      <c r="F68" s="19">
        <v>-8</v>
      </c>
      <c r="G68" s="19">
        <v>-8</v>
      </c>
      <c r="H68" s="19">
        <v>-8</v>
      </c>
      <c r="I68" s="19">
        <v>-8</v>
      </c>
      <c r="J68" s="19">
        <v>-8</v>
      </c>
    </row>
    <row r="69" spans="1:10" x14ac:dyDescent="0.25">
      <c r="A69" s="6" t="s">
        <v>648</v>
      </c>
      <c r="C69" s="31">
        <v>-8</v>
      </c>
      <c r="D69" s="13">
        <v>6</v>
      </c>
      <c r="E69" s="13">
        <v>37</v>
      </c>
      <c r="F69" s="13">
        <v>27</v>
      </c>
      <c r="G69" s="13">
        <v>29</v>
      </c>
      <c r="H69" s="13">
        <v>31</v>
      </c>
      <c r="I69" s="13">
        <v>32</v>
      </c>
      <c r="J69" s="13">
        <v>34</v>
      </c>
    </row>
    <row r="70" spans="1:10" x14ac:dyDescent="0.25">
      <c r="A70" s="6" t="s">
        <v>649</v>
      </c>
      <c r="C70" s="10">
        <v>6</v>
      </c>
      <c r="D70" s="10">
        <v>21</v>
      </c>
      <c r="E70" s="10">
        <v>23</v>
      </c>
      <c r="F70" s="10">
        <v>27</v>
      </c>
      <c r="G70" s="10">
        <v>29</v>
      </c>
      <c r="H70" s="10">
        <v>31</v>
      </c>
      <c r="I70" s="10">
        <v>32</v>
      </c>
      <c r="J70" s="10">
        <v>34</v>
      </c>
    </row>
    <row r="71" spans="1:10" x14ac:dyDescent="0.25">
      <c r="A71" s="6" t="s">
        <v>650</v>
      </c>
      <c r="C71" s="19">
        <v>-8</v>
      </c>
      <c r="D71" s="10">
        <v>6</v>
      </c>
      <c r="E71" s="10">
        <v>37</v>
      </c>
      <c r="F71" s="10">
        <v>27</v>
      </c>
      <c r="G71" s="10">
        <v>29</v>
      </c>
      <c r="H71" s="10">
        <v>31</v>
      </c>
      <c r="I71" s="10">
        <v>32</v>
      </c>
      <c r="J71" s="10">
        <v>34</v>
      </c>
    </row>
    <row r="72" spans="1:10" x14ac:dyDescent="0.25">
      <c r="A72" s="6" t="s">
        <v>651</v>
      </c>
      <c r="C72" s="13">
        <v>14</v>
      </c>
      <c r="D72" s="13">
        <v>15</v>
      </c>
      <c r="E72" s="31">
        <v>-14</v>
      </c>
      <c r="F72" s="6" t="s">
        <v>90</v>
      </c>
      <c r="G72" s="6" t="s">
        <v>90</v>
      </c>
      <c r="H72" s="6" t="s">
        <v>90</v>
      </c>
      <c r="I72" s="6" t="s">
        <v>90</v>
      </c>
      <c r="J72" s="6" t="s">
        <v>90</v>
      </c>
    </row>
    <row r="73" spans="1:10" x14ac:dyDescent="0.25">
      <c r="A73" s="7" t="s">
        <v>115</v>
      </c>
      <c r="B73" s="20">
        <v>0.11</v>
      </c>
      <c r="C73" s="23">
        <v>0.98740000000000006</v>
      </c>
      <c r="D73" s="23">
        <v>0.92530000000000001</v>
      </c>
      <c r="E73" s="23">
        <v>0.83360000000000001</v>
      </c>
      <c r="F73" s="24">
        <v>0.751</v>
      </c>
      <c r="G73" s="23">
        <v>0.67659999999999998</v>
      </c>
      <c r="H73" s="23">
        <v>0.60950000000000004</v>
      </c>
      <c r="I73" s="23">
        <v>0.54910000000000003</v>
      </c>
      <c r="J73" s="23">
        <v>0.49469999999999997</v>
      </c>
    </row>
    <row r="74" spans="1:10" x14ac:dyDescent="0.25">
      <c r="A74" s="6" t="s">
        <v>116</v>
      </c>
      <c r="C74" s="13">
        <v>14</v>
      </c>
      <c r="D74" s="13">
        <v>14</v>
      </c>
      <c r="E74" s="31">
        <v>-11</v>
      </c>
      <c r="F74" s="6" t="s">
        <v>90</v>
      </c>
      <c r="G74" s="6" t="s">
        <v>90</v>
      </c>
      <c r="H74" s="6" t="s">
        <v>90</v>
      </c>
      <c r="I74" s="6" t="s">
        <v>90</v>
      </c>
      <c r="J74" s="6" t="s">
        <v>90</v>
      </c>
    </row>
    <row r="75" spans="1:10" x14ac:dyDescent="0.25">
      <c r="A75" s="7" t="s">
        <v>216</v>
      </c>
      <c r="C75" s="10">
        <v>16</v>
      </c>
      <c r="G75" s="7" t="s">
        <v>652</v>
      </c>
    </row>
    <row r="76" spans="1:10" x14ac:dyDescent="0.25">
      <c r="A76" s="7" t="s">
        <v>121</v>
      </c>
      <c r="B76" s="7" t="s">
        <v>288</v>
      </c>
      <c r="C76" s="10">
        <v>4</v>
      </c>
      <c r="E76" s="10">
        <v>20</v>
      </c>
      <c r="F76" s="15">
        <v>0.25</v>
      </c>
      <c r="G76" s="15">
        <v>0.33</v>
      </c>
      <c r="H76" s="15">
        <v>0.5</v>
      </c>
      <c r="I76" s="15">
        <v>0.75</v>
      </c>
    </row>
    <row r="77" spans="1:10" x14ac:dyDescent="0.25">
      <c r="A77" s="6" t="s">
        <v>219</v>
      </c>
      <c r="C77" s="13">
        <v>20</v>
      </c>
      <c r="E77" s="15">
        <v>0</v>
      </c>
      <c r="F77" s="10">
        <v>20</v>
      </c>
      <c r="G77" s="10">
        <v>20</v>
      </c>
      <c r="H77" s="10">
        <v>20</v>
      </c>
      <c r="I77" s="10">
        <v>20</v>
      </c>
    </row>
    <row r="78" spans="1:10" x14ac:dyDescent="0.25">
      <c r="E78" s="15">
        <v>0.05</v>
      </c>
      <c r="F78" s="10">
        <v>21</v>
      </c>
      <c r="G78" s="10">
        <v>21</v>
      </c>
      <c r="H78" s="10">
        <v>21</v>
      </c>
      <c r="I78" s="10">
        <v>21</v>
      </c>
    </row>
    <row r="79" spans="1:10" x14ac:dyDescent="0.25">
      <c r="D79" s="7" t="s">
        <v>653</v>
      </c>
      <c r="E79" s="15">
        <v>0.1</v>
      </c>
      <c r="F79" s="10">
        <v>27</v>
      </c>
      <c r="G79" s="10">
        <v>27</v>
      </c>
      <c r="H79" s="10">
        <v>27</v>
      </c>
      <c r="I79" s="10">
        <v>27</v>
      </c>
    </row>
    <row r="80" spans="1:10" x14ac:dyDescent="0.25">
      <c r="D80" s="7" t="s">
        <v>654</v>
      </c>
      <c r="E80" s="15">
        <v>0.15</v>
      </c>
      <c r="F80" s="10">
        <v>37</v>
      </c>
      <c r="G80" s="10">
        <v>37</v>
      </c>
      <c r="H80" s="10">
        <v>37</v>
      </c>
      <c r="I80" s="10">
        <v>37</v>
      </c>
    </row>
    <row r="81" spans="1:11" x14ac:dyDescent="0.25">
      <c r="E81" s="15">
        <v>0.2</v>
      </c>
      <c r="F81" s="10">
        <v>47</v>
      </c>
      <c r="G81" s="10">
        <v>47</v>
      </c>
      <c r="H81" s="10">
        <v>47</v>
      </c>
      <c r="I81" s="10">
        <v>47</v>
      </c>
    </row>
    <row r="82" spans="1:11" x14ac:dyDescent="0.25">
      <c r="A82" s="9" t="s">
        <v>221</v>
      </c>
    </row>
    <row r="83" spans="1:11" x14ac:dyDescent="0.25">
      <c r="A83" s="7" t="s">
        <v>655</v>
      </c>
      <c r="C83" s="20">
        <v>0.67600000000000005</v>
      </c>
      <c r="D83" s="20">
        <v>0.66700000000000004</v>
      </c>
      <c r="E83" s="20">
        <v>0.64300000000000002</v>
      </c>
      <c r="F83" s="20">
        <v>0.629</v>
      </c>
      <c r="G83" s="20">
        <v>0.61699999999999999</v>
      </c>
      <c r="H83" s="20">
        <v>0.60699999999999998</v>
      </c>
      <c r="I83" s="20">
        <v>0.6</v>
      </c>
      <c r="J83" s="20">
        <v>0.59199999999999997</v>
      </c>
    </row>
    <row r="84" spans="1:11" x14ac:dyDescent="0.25">
      <c r="A84" s="7" t="s">
        <v>656</v>
      </c>
      <c r="C84" s="20">
        <v>0.85</v>
      </c>
      <c r="D84" s="20">
        <v>0.85</v>
      </c>
      <c r="E84" s="20">
        <v>0.85</v>
      </c>
      <c r="F84" s="20">
        <v>0.85</v>
      </c>
      <c r="G84" s="20">
        <v>0.85</v>
      </c>
      <c r="H84" s="20">
        <v>0.85</v>
      </c>
      <c r="I84" s="20">
        <v>0.85</v>
      </c>
      <c r="J84" s="20">
        <v>0.85</v>
      </c>
    </row>
    <row r="85" spans="1:11" x14ac:dyDescent="0.25">
      <c r="A85" s="7" t="s">
        <v>657</v>
      </c>
      <c r="C85" s="20">
        <v>0.15</v>
      </c>
      <c r="D85" s="20">
        <v>0.15</v>
      </c>
      <c r="E85" s="20">
        <v>0.15</v>
      </c>
      <c r="F85" s="20">
        <v>0.15</v>
      </c>
      <c r="G85" s="20">
        <v>0.15</v>
      </c>
      <c r="H85" s="20">
        <v>0.15</v>
      </c>
      <c r="I85" s="20">
        <v>0.15</v>
      </c>
      <c r="J85" s="20">
        <v>0.15</v>
      </c>
    </row>
    <row r="86" spans="1:11" x14ac:dyDescent="0.25">
      <c r="A86" s="7" t="s">
        <v>658</v>
      </c>
      <c r="B86" s="20">
        <v>0.05</v>
      </c>
      <c r="C86" s="7" t="s">
        <v>71</v>
      </c>
      <c r="D86" s="7" t="s">
        <v>71</v>
      </c>
      <c r="E86" s="7" t="s">
        <v>71</v>
      </c>
      <c r="F86" s="7" t="s">
        <v>71</v>
      </c>
      <c r="G86" s="7" t="s">
        <v>71</v>
      </c>
      <c r="H86" s="7" t="s">
        <v>71</v>
      </c>
      <c r="I86" s="7" t="s">
        <v>71</v>
      </c>
      <c r="J86" s="7" t="s">
        <v>71</v>
      </c>
    </row>
    <row r="87" spans="1:11" x14ac:dyDescent="0.25">
      <c r="A87" s="7" t="s">
        <v>631</v>
      </c>
      <c r="C87" s="20">
        <v>3.5999999999999997E-2</v>
      </c>
      <c r="D87" s="20">
        <v>3.4000000000000002E-2</v>
      </c>
      <c r="E87" s="20">
        <v>3.5000000000000003E-2</v>
      </c>
      <c r="F87" s="20">
        <v>0.05</v>
      </c>
      <c r="G87" s="20">
        <v>5.5E-2</v>
      </c>
      <c r="H87" s="20">
        <v>5.2999999999999999E-2</v>
      </c>
      <c r="I87" s="20">
        <v>5.0999999999999997E-2</v>
      </c>
      <c r="J87" s="20">
        <v>4.9000000000000002E-2</v>
      </c>
    </row>
    <row r="88" spans="1:11" x14ac:dyDescent="0.25">
      <c r="A88" s="7" t="s">
        <v>659</v>
      </c>
      <c r="C88" s="20">
        <v>-0.27100000000000002</v>
      </c>
      <c r="D88" s="20">
        <v>-0.28199999999999997</v>
      </c>
      <c r="E88" s="20">
        <v>-0.29099999999999998</v>
      </c>
      <c r="F88" s="20">
        <v>-0.29899999999999999</v>
      </c>
      <c r="G88" s="20">
        <v>-0.30599999999999999</v>
      </c>
      <c r="H88" s="20">
        <v>-0.30599999999999999</v>
      </c>
      <c r="I88" s="20">
        <v>-0.30599999999999999</v>
      </c>
      <c r="J88" s="20">
        <v>-0.30599999999999999</v>
      </c>
    </row>
    <row r="89" spans="1:11" x14ac:dyDescent="0.25">
      <c r="A89" s="7" t="s">
        <v>660</v>
      </c>
      <c r="C89" s="20">
        <v>6.4000000000000001E-2</v>
      </c>
      <c r="D89" s="20">
        <v>6.2E-2</v>
      </c>
      <c r="E89" s="20">
        <v>0.06</v>
      </c>
      <c r="F89" s="20">
        <v>5.7000000000000002E-2</v>
      </c>
      <c r="G89" s="20">
        <v>5.5E-2</v>
      </c>
      <c r="H89" s="20">
        <v>5.2999999999999999E-2</v>
      </c>
      <c r="I89" s="20">
        <v>5.0999999999999997E-2</v>
      </c>
      <c r="J89" s="20">
        <v>0.05</v>
      </c>
    </row>
    <row r="90" spans="1:11" x14ac:dyDescent="0.25">
      <c r="A90" s="16" t="s">
        <v>127</v>
      </c>
    </row>
    <row r="91" spans="1:11" x14ac:dyDescent="0.25">
      <c r="A91" s="7" t="s">
        <v>661</v>
      </c>
    </row>
    <row r="92" spans="1:11" x14ac:dyDescent="0.25">
      <c r="A92" s="7" t="s">
        <v>291</v>
      </c>
    </row>
    <row r="93" spans="1:11" x14ac:dyDescent="0.25">
      <c r="A93" s="16" t="s">
        <v>61</v>
      </c>
    </row>
    <row r="94" spans="1:11" x14ac:dyDescent="0.25">
      <c r="A94" s="9" t="s">
        <v>62</v>
      </c>
      <c r="K94" s="2" t="s">
        <v>63</v>
      </c>
    </row>
    <row r="95" spans="1:11" x14ac:dyDescent="0.25">
      <c r="F95" s="5" t="s">
        <v>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2:M95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6" t="s">
        <v>1</v>
      </c>
      <c r="K2" s="7" t="s">
        <v>675</v>
      </c>
    </row>
    <row r="3" spans="1:13" x14ac:dyDescent="0.25">
      <c r="A3" s="6" t="s">
        <v>9</v>
      </c>
    </row>
    <row r="4" spans="1:13" x14ac:dyDescent="0.25">
      <c r="A4" s="6" t="s">
        <v>676</v>
      </c>
    </row>
    <row r="5" spans="1:13" x14ac:dyDescent="0.25">
      <c r="A5" s="6" t="s">
        <v>11</v>
      </c>
    </row>
    <row r="6" spans="1:13" x14ac:dyDescent="0.25">
      <c r="C6" s="9" t="s">
        <v>672</v>
      </c>
      <c r="G6" s="9" t="s">
        <v>96</v>
      </c>
    </row>
    <row r="7" spans="1:13" x14ac:dyDescent="0.25">
      <c r="A7" s="8" t="s">
        <v>12</v>
      </c>
      <c r="B7" s="16" t="s">
        <v>127</v>
      </c>
      <c r="C7" s="9" t="s">
        <v>97</v>
      </c>
      <c r="D7" s="9" t="s">
        <v>98</v>
      </c>
      <c r="E7" s="9" t="s">
        <v>99</v>
      </c>
      <c r="F7" s="9" t="s">
        <v>100</v>
      </c>
      <c r="G7" s="9" t="s">
        <v>101</v>
      </c>
      <c r="H7" s="9" t="s">
        <v>102</v>
      </c>
      <c r="I7" s="9" t="s">
        <v>103</v>
      </c>
      <c r="J7" s="9" t="s">
        <v>104</v>
      </c>
    </row>
    <row r="8" spans="1:13" x14ac:dyDescent="0.25">
      <c r="A8" s="6" t="s">
        <v>627</v>
      </c>
    </row>
    <row r="9" spans="1:13" x14ac:dyDescent="0.25">
      <c r="A9" s="7" t="s">
        <v>628</v>
      </c>
      <c r="B9" s="10">
        <v>9</v>
      </c>
      <c r="C9" s="10">
        <v>2</v>
      </c>
      <c r="D9" s="23">
        <v>8.8000000000000007</v>
      </c>
      <c r="E9" s="10">
        <v>9</v>
      </c>
      <c r="F9" s="10">
        <v>9</v>
      </c>
      <c r="G9" s="10">
        <v>10</v>
      </c>
      <c r="H9" s="10">
        <v>11</v>
      </c>
      <c r="I9" s="10">
        <v>11</v>
      </c>
      <c r="J9" s="10">
        <v>12</v>
      </c>
    </row>
    <row r="10" spans="1:13" x14ac:dyDescent="0.25">
      <c r="A10" s="7" t="s">
        <v>629</v>
      </c>
      <c r="C10" s="19">
        <v>-2</v>
      </c>
      <c r="D10" s="19">
        <v>-7</v>
      </c>
      <c r="E10" s="19">
        <v>-7</v>
      </c>
      <c r="F10" s="19">
        <v>-7</v>
      </c>
      <c r="G10" s="19">
        <v>-8</v>
      </c>
      <c r="H10" s="19">
        <v>-8</v>
      </c>
      <c r="I10" s="19">
        <v>-8</v>
      </c>
      <c r="J10" s="19">
        <v>-9</v>
      </c>
    </row>
    <row r="11" spans="1:13" x14ac:dyDescent="0.25">
      <c r="A11" s="7"/>
      <c r="C11" s="19">
        <f>SUM(C8:C9)</f>
        <v>2</v>
      </c>
      <c r="D11" s="19">
        <f>SUM(D8:D9)</f>
        <v>8.8000000000000007</v>
      </c>
      <c r="E11" s="19">
        <f>SUM(E8:E9)</f>
        <v>9</v>
      </c>
      <c r="F11" s="19">
        <f>SUM(F8:F9)</f>
        <v>9</v>
      </c>
      <c r="G11" s="19">
        <f>SUM(G8:G9)</f>
        <v>10</v>
      </c>
      <c r="H11" s="19">
        <f>SUM(H8:H9)</f>
        <v>11</v>
      </c>
      <c r="I11" s="19">
        <f>SUM(I8:I9)</f>
        <v>11</v>
      </c>
      <c r="J11" s="19">
        <f>SUM(J8:J9)</f>
        <v>12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C12" s="19">
        <f>C11-C10</f>
        <v>4</v>
      </c>
      <c r="D12" s="19">
        <f>D11-D10</f>
        <v>15.8</v>
      </c>
      <c r="E12" s="19">
        <f>E11-E10</f>
        <v>16</v>
      </c>
      <c r="F12" s="19">
        <f>F11-F10</f>
        <v>16</v>
      </c>
      <c r="G12" s="19">
        <f>G11-G10</f>
        <v>18</v>
      </c>
      <c r="H12" s="19">
        <f>H11-H10</f>
        <v>19</v>
      </c>
      <c r="I12" s="19">
        <f>I11-I10</f>
        <v>19</v>
      </c>
      <c r="J12" s="19">
        <f>J11-J10</f>
        <v>21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630</v>
      </c>
      <c r="C13" s="10">
        <v>0</v>
      </c>
      <c r="D13" s="10">
        <v>2</v>
      </c>
      <c r="E13" s="10">
        <v>2</v>
      </c>
      <c r="F13" s="10">
        <v>2</v>
      </c>
      <c r="G13" s="10">
        <v>2</v>
      </c>
      <c r="H13" s="10">
        <v>3</v>
      </c>
      <c r="I13" s="10">
        <v>3</v>
      </c>
      <c r="J13" s="10">
        <v>3</v>
      </c>
    </row>
    <row r="14" spans="1:13" x14ac:dyDescent="0.25">
      <c r="A14" s="7" t="s">
        <v>631</v>
      </c>
      <c r="C14" s="19">
        <v>0</v>
      </c>
      <c r="D14" s="19">
        <v>0</v>
      </c>
      <c r="E14" s="19">
        <v>0</v>
      </c>
      <c r="F14" s="19">
        <v>0</v>
      </c>
      <c r="G14" s="19">
        <v>-1</v>
      </c>
      <c r="H14" s="19">
        <v>-1</v>
      </c>
      <c r="I14" s="19">
        <v>-1</v>
      </c>
      <c r="J14" s="19">
        <v>-1</v>
      </c>
    </row>
    <row r="15" spans="1:13" x14ac:dyDescent="0.25">
      <c r="A15" s="7"/>
      <c r="C15" s="19">
        <f>C10*C13</f>
        <v>0</v>
      </c>
      <c r="D15" s="19">
        <f>D10*D13</f>
        <v>-14</v>
      </c>
      <c r="E15" s="19">
        <f>E10*E13</f>
        <v>-14</v>
      </c>
      <c r="F15" s="19">
        <f>F10*F13</f>
        <v>-14</v>
      </c>
      <c r="G15" s="19">
        <f>G10*G13</f>
        <v>-16</v>
      </c>
      <c r="H15" s="19">
        <f>H10*H13</f>
        <v>-24</v>
      </c>
      <c r="I15" s="19">
        <f>I10*I13</f>
        <v>-24</v>
      </c>
      <c r="J15" s="19">
        <f>J10*J13</f>
        <v>-27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C16" s="19">
        <f>C15-C14</f>
        <v>0</v>
      </c>
      <c r="D16" s="19">
        <f>D15-D14</f>
        <v>-14</v>
      </c>
      <c r="E16" s="19">
        <f>E15-E14</f>
        <v>-14</v>
      </c>
      <c r="F16" s="19">
        <f>F15-F14</f>
        <v>-14</v>
      </c>
      <c r="G16" s="19">
        <f>G15-G14</f>
        <v>-15</v>
      </c>
      <c r="H16" s="19">
        <f>H15-H14</f>
        <v>-23</v>
      </c>
      <c r="I16" s="19">
        <f>I15-I14</f>
        <v>-23</v>
      </c>
      <c r="J16" s="19">
        <f>J15-J14</f>
        <v>-26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209</v>
      </c>
      <c r="C17" s="10">
        <v>0</v>
      </c>
      <c r="D17" s="10">
        <v>1</v>
      </c>
      <c r="E17" s="10">
        <v>2</v>
      </c>
      <c r="F17" s="10">
        <v>2</v>
      </c>
      <c r="G17" s="10">
        <v>2</v>
      </c>
      <c r="H17" s="10">
        <v>2</v>
      </c>
      <c r="I17" s="10">
        <v>2</v>
      </c>
      <c r="J17" s="10">
        <v>2</v>
      </c>
    </row>
    <row r="18" spans="1:13" x14ac:dyDescent="0.25">
      <c r="A18" s="7" t="s">
        <v>632</v>
      </c>
      <c r="B18" s="20">
        <v>0.39500000000000002</v>
      </c>
      <c r="C18" s="19">
        <v>0</v>
      </c>
      <c r="D18" s="19">
        <v>-1</v>
      </c>
      <c r="E18" s="19">
        <v>-1</v>
      </c>
      <c r="F18" s="19">
        <v>-1</v>
      </c>
      <c r="G18" s="19">
        <v>-1</v>
      </c>
      <c r="H18" s="19">
        <v>-1</v>
      </c>
      <c r="I18" s="19">
        <v>-1</v>
      </c>
      <c r="J18" s="19">
        <v>-1</v>
      </c>
    </row>
    <row r="19" spans="1:13" x14ac:dyDescent="0.25">
      <c r="A19" s="7" t="s">
        <v>633</v>
      </c>
      <c r="C19" s="10">
        <v>0</v>
      </c>
      <c r="D19" s="10">
        <v>1</v>
      </c>
      <c r="E19" s="10">
        <v>1</v>
      </c>
      <c r="F19" s="10">
        <v>1</v>
      </c>
      <c r="G19" s="10">
        <v>1</v>
      </c>
      <c r="H19" s="10">
        <v>1</v>
      </c>
      <c r="I19" s="10">
        <v>1</v>
      </c>
      <c r="J19" s="10">
        <v>1</v>
      </c>
    </row>
    <row r="20" spans="1:13" x14ac:dyDescent="0.25">
      <c r="A20" s="7" t="s">
        <v>111</v>
      </c>
      <c r="C20" s="10">
        <v>0</v>
      </c>
      <c r="D20" s="10">
        <v>0</v>
      </c>
      <c r="E20" s="10">
        <v>0</v>
      </c>
      <c r="F20" s="10">
        <v>0</v>
      </c>
      <c r="G20" s="10">
        <v>1</v>
      </c>
      <c r="H20" s="10">
        <v>1</v>
      </c>
      <c r="I20" s="10">
        <v>1</v>
      </c>
      <c r="J20" s="10">
        <v>1</v>
      </c>
    </row>
    <row r="21" spans="1:13" x14ac:dyDescent="0.25">
      <c r="A21" s="7"/>
      <c r="C21" s="10">
        <f>SUM(C18,C19)</f>
        <v>0</v>
      </c>
      <c r="D21" s="10">
        <f>SUM(D18,D19)</f>
        <v>0</v>
      </c>
      <c r="E21" s="10">
        <f>SUM(E18,E19)</f>
        <v>0</v>
      </c>
      <c r="F21" s="10">
        <f>SUM(F18,F19)</f>
        <v>0</v>
      </c>
      <c r="G21" s="10">
        <f>SUM(G18,G19)</f>
        <v>0</v>
      </c>
      <c r="H21" s="10">
        <f>SUM(H18,H19)</f>
        <v>0</v>
      </c>
      <c r="I21" s="10">
        <f>SUM(I18,I19)</f>
        <v>0</v>
      </c>
      <c r="J21" s="10">
        <f>SUM(J18,J19)</f>
        <v>0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7"/>
      <c r="C22" s="10">
        <f>C21-C20</f>
        <v>0</v>
      </c>
      <c r="D22" s="10">
        <f>D21-D20</f>
        <v>0</v>
      </c>
      <c r="E22" s="10">
        <f>E21-E20</f>
        <v>0</v>
      </c>
      <c r="F22" s="10">
        <f>F21-F20</f>
        <v>0</v>
      </c>
      <c r="G22" s="10">
        <f>G21-G20</f>
        <v>-1</v>
      </c>
      <c r="H22" s="10">
        <f>H21-H20</f>
        <v>-1</v>
      </c>
      <c r="I22" s="10">
        <f>I21-I20</f>
        <v>-1</v>
      </c>
      <c r="J22" s="10">
        <f>J21-J20</f>
        <v>-1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634</v>
      </c>
      <c r="C23" s="21">
        <v>0</v>
      </c>
      <c r="D23" s="19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</row>
    <row r="24" spans="1:13" x14ac:dyDescent="0.25">
      <c r="A24" s="7"/>
      <c r="C24" s="21">
        <f>C10*B23</f>
        <v>0</v>
      </c>
      <c r="D24" s="19">
        <f>D10*B23</f>
        <v>0</v>
      </c>
      <c r="E24" s="10">
        <f>E10*B23</f>
        <v>0</v>
      </c>
      <c r="F24" s="10">
        <f>F10*B23</f>
        <v>0</v>
      </c>
      <c r="G24" s="10">
        <f>G10*B23</f>
        <v>0</v>
      </c>
      <c r="H24" s="10">
        <f>H10*B23</f>
        <v>0</v>
      </c>
      <c r="I24" s="10">
        <f>I10*B23</f>
        <v>0</v>
      </c>
      <c r="J24" s="10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 s="21">
        <f>C24-C23</f>
        <v>0</v>
      </c>
      <c r="D25" s="19">
        <f>D24-D23</f>
        <v>0</v>
      </c>
      <c r="E25" s="10">
        <f>E24-E23</f>
        <v>0</v>
      </c>
      <c r="F25" s="10">
        <f>F24-F23</f>
        <v>0</v>
      </c>
      <c r="G25" s="10">
        <f>G24-G23</f>
        <v>0</v>
      </c>
      <c r="H25" s="10">
        <f>H24-H23</f>
        <v>0</v>
      </c>
      <c r="I25" s="10">
        <f>I24-I23</f>
        <v>0</v>
      </c>
      <c r="J25" s="10">
        <f>J24-J23</f>
        <v>0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7" t="s">
        <v>113</v>
      </c>
      <c r="C26" s="19">
        <v>0</v>
      </c>
      <c r="D26" s="19">
        <v>-1</v>
      </c>
      <c r="E26" s="19">
        <v>-1</v>
      </c>
      <c r="F26" s="19">
        <v>-1</v>
      </c>
      <c r="G26" s="19">
        <v>-1</v>
      </c>
      <c r="H26" s="19">
        <v>-1</v>
      </c>
      <c r="I26" s="19">
        <v>-1</v>
      </c>
      <c r="J26" s="19">
        <v>-1</v>
      </c>
    </row>
    <row r="27" spans="1:13" x14ac:dyDescent="0.25">
      <c r="A27" s="7"/>
      <c r="C27" s="19">
        <f>SUM(C20,C23)</f>
        <v>0</v>
      </c>
      <c r="D27" s="19">
        <f>SUM(D20,D23)</f>
        <v>0</v>
      </c>
      <c r="E27" s="19">
        <f>SUM(E20,E23)</f>
        <v>0</v>
      </c>
      <c r="F27" s="19">
        <f>SUM(F20,F23)</f>
        <v>0</v>
      </c>
      <c r="G27" s="19">
        <f>SUM(G20,G23)</f>
        <v>1</v>
      </c>
      <c r="H27" s="19">
        <f>SUM(H20,H23)</f>
        <v>1</v>
      </c>
      <c r="I27" s="19">
        <f>SUM(I20,I23)</f>
        <v>1</v>
      </c>
      <c r="J27" s="19">
        <f>SUM(J20,J23)</f>
        <v>1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7"/>
      <c r="C28" s="19">
        <f>C27-C26</f>
        <v>0</v>
      </c>
      <c r="D28" s="19">
        <f>D27-D26</f>
        <v>1</v>
      </c>
      <c r="E28" s="19">
        <f>E27-E26</f>
        <v>1</v>
      </c>
      <c r="F28" s="19">
        <f>F27-F26</f>
        <v>1</v>
      </c>
      <c r="G28" s="19">
        <f>G27-G26</f>
        <v>2</v>
      </c>
      <c r="H28" s="19">
        <f>H27-H26</f>
        <v>2</v>
      </c>
      <c r="I28" s="19">
        <f>I27-I26</f>
        <v>2</v>
      </c>
      <c r="J28" s="19">
        <f>J27-J26</f>
        <v>2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635</v>
      </c>
      <c r="C29" s="10">
        <v>0</v>
      </c>
      <c r="D29" s="10">
        <v>1</v>
      </c>
      <c r="E29" s="10">
        <v>1</v>
      </c>
      <c r="F29" s="10">
        <v>1</v>
      </c>
      <c r="G29" s="10">
        <v>1</v>
      </c>
      <c r="H29" s="10">
        <v>1</v>
      </c>
      <c r="I29" s="10">
        <v>1</v>
      </c>
      <c r="J29" s="10">
        <v>2</v>
      </c>
    </row>
    <row r="30" spans="1:13" x14ac:dyDescent="0.25">
      <c r="A30" s="7"/>
      <c r="C30" s="10">
        <f>C26*B29</f>
        <v>0</v>
      </c>
      <c r="D30" s="10">
        <f>D26*B29</f>
        <v>0</v>
      </c>
      <c r="E30" s="10">
        <f>E26*B29</f>
        <v>0</v>
      </c>
      <c r="F30" s="10">
        <f>F26*B29</f>
        <v>0</v>
      </c>
      <c r="G30" s="10">
        <f>G26*B29</f>
        <v>0</v>
      </c>
      <c r="H30" s="10">
        <f>H26*B29</f>
        <v>0</v>
      </c>
      <c r="I30" s="10">
        <f>I26*B29</f>
        <v>0</v>
      </c>
      <c r="J30" s="1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 s="10">
        <f>C30-C29</f>
        <v>0</v>
      </c>
      <c r="D31" s="10">
        <f>D30-D29</f>
        <v>-1</v>
      </c>
      <c r="E31" s="10">
        <f>E30-E29</f>
        <v>-1</v>
      </c>
      <c r="F31" s="10">
        <f>F30-F29</f>
        <v>-1</v>
      </c>
      <c r="G31" s="10">
        <f>G30-G29</f>
        <v>-1</v>
      </c>
      <c r="H31" s="10">
        <f>H30-H29</f>
        <v>-1</v>
      </c>
      <c r="I31" s="10">
        <f>I30-I29</f>
        <v>-1</v>
      </c>
      <c r="J31" s="10">
        <f>J30-J29</f>
        <v>-2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6" t="s">
        <v>636</v>
      </c>
    </row>
    <row r="33" spans="1:13" x14ac:dyDescent="0.25">
      <c r="A33" s="6"/>
      <c r="C33" s="60">
        <f>SUM(C26,C29)</f>
        <v>0</v>
      </c>
      <c r="D33" s="60">
        <f>SUM(D26,D29)</f>
        <v>0</v>
      </c>
      <c r="E33" s="60">
        <f>SUM(E26,E29)</f>
        <v>0</v>
      </c>
      <c r="F33" s="60">
        <f>SUM(F26,F29)</f>
        <v>0</v>
      </c>
      <c r="G33" s="60">
        <f>SUM(G26,G29)</f>
        <v>0</v>
      </c>
      <c r="H33" s="60">
        <f>SUM(H26,H29)</f>
        <v>0</v>
      </c>
      <c r="I33" s="60">
        <f>SUM(I26,I29)</f>
        <v>0</v>
      </c>
      <c r="J33" s="60">
        <f>SUM(J26,J29)</f>
        <v>1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6"/>
      <c r="C34" s="60">
        <f>C33-C32</f>
        <v>0</v>
      </c>
      <c r="D34" s="60">
        <f>D33-D32</f>
        <v>0</v>
      </c>
      <c r="E34" s="60">
        <f>E33-E32</f>
        <v>0</v>
      </c>
      <c r="F34" s="60">
        <f>F33-F32</f>
        <v>0</v>
      </c>
      <c r="G34" s="60">
        <f>G33-G32</f>
        <v>0</v>
      </c>
      <c r="H34" s="60">
        <f>H33-H32</f>
        <v>0</v>
      </c>
      <c r="I34" s="60">
        <f>I33-I32</f>
        <v>0</v>
      </c>
      <c r="J34" s="60">
        <f>J33-J32</f>
        <v>1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637</v>
      </c>
      <c r="D35" s="20">
        <v>-2E-3</v>
      </c>
      <c r="E35" s="20">
        <v>2.3E-2</v>
      </c>
      <c r="F35" s="20">
        <v>1.4E-2</v>
      </c>
      <c r="G35" s="20">
        <v>7.9000000000000001E-2</v>
      </c>
      <c r="H35" s="20">
        <v>7.1999999999999995E-2</v>
      </c>
      <c r="I35" s="20">
        <v>4.5999999999999999E-2</v>
      </c>
      <c r="J35" s="20">
        <v>4.5999999999999999E-2</v>
      </c>
    </row>
    <row r="36" spans="1:13" x14ac:dyDescent="0.25">
      <c r="A36" s="7" t="s">
        <v>638</v>
      </c>
      <c r="C36" s="20">
        <v>0.20300000000000001</v>
      </c>
      <c r="D36" s="20">
        <v>0.19600000000000001</v>
      </c>
      <c r="E36" s="20">
        <v>0.215</v>
      </c>
      <c r="F36" s="20">
        <v>0.22700000000000001</v>
      </c>
      <c r="G36" s="20">
        <v>0.22700000000000001</v>
      </c>
      <c r="H36" s="20">
        <v>0.23799999999999999</v>
      </c>
      <c r="I36" s="20">
        <v>0.249</v>
      </c>
      <c r="J36" s="20">
        <v>0.26</v>
      </c>
    </row>
    <row r="37" spans="1:13" x14ac:dyDescent="0.25">
      <c r="A37" s="7"/>
      <c r="C37" s="20">
        <f>SUM(C32,C35)</f>
        <v>0</v>
      </c>
      <c r="D37" s="20">
        <f>SUM(D32,D35)</f>
        <v>-2E-3</v>
      </c>
      <c r="E37" s="20">
        <f>SUM(E32,E35)</f>
        <v>2.3E-2</v>
      </c>
      <c r="F37" s="20">
        <f>SUM(F32,F35)</f>
        <v>1.4E-2</v>
      </c>
      <c r="G37" s="20">
        <f>SUM(G32,G35)</f>
        <v>7.9000000000000001E-2</v>
      </c>
      <c r="H37" s="20">
        <f>SUM(H32,H35)</f>
        <v>7.1999999999999995E-2</v>
      </c>
      <c r="I37" s="20">
        <f>SUM(I32,I35)</f>
        <v>4.5999999999999999E-2</v>
      </c>
      <c r="J37" s="20">
        <f>SUM(J32,J35)</f>
        <v>4.5999999999999999E-2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7"/>
      <c r="C38" s="20">
        <f>C37-C36</f>
        <v>-0.20300000000000001</v>
      </c>
      <c r="D38" s="20">
        <f>D37-D36</f>
        <v>-0.19800000000000001</v>
      </c>
      <c r="E38" s="20">
        <f>E37-E36</f>
        <v>-0.192</v>
      </c>
      <c r="F38" s="20">
        <f>F37-F36</f>
        <v>-0.21299999999999999</v>
      </c>
      <c r="G38" s="20">
        <f>G37-G36</f>
        <v>-0.14800000000000002</v>
      </c>
      <c r="H38" s="20">
        <f>H37-H36</f>
        <v>-0.16599999999999998</v>
      </c>
      <c r="I38" s="20">
        <f>I37-I36</f>
        <v>-0.20300000000000001</v>
      </c>
      <c r="J38" s="20">
        <f>J37-J36</f>
        <v>-0.21400000000000002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631</v>
      </c>
      <c r="C39" s="20">
        <v>3.5999999999999997E-2</v>
      </c>
      <c r="D39" s="20">
        <v>3.4000000000000002E-2</v>
      </c>
      <c r="E39" s="20">
        <v>3.5000000000000003E-2</v>
      </c>
      <c r="F39" s="20">
        <v>0.05</v>
      </c>
      <c r="G39" s="20">
        <v>5.5E-2</v>
      </c>
      <c r="H39" s="20">
        <v>5.2999999999999999E-2</v>
      </c>
      <c r="I39" s="20">
        <v>5.0999999999999997E-2</v>
      </c>
      <c r="J39" s="20">
        <v>4.9000000000000002E-2</v>
      </c>
    </row>
    <row r="40" spans="1:13" x14ac:dyDescent="0.25">
      <c r="A40" s="7" t="s">
        <v>639</v>
      </c>
      <c r="C40" s="20">
        <v>-0.14000000000000001</v>
      </c>
      <c r="D40" s="20">
        <v>-0.14799999999999999</v>
      </c>
      <c r="E40" s="20">
        <v>-0.158</v>
      </c>
      <c r="F40" s="20">
        <v>-0.16300000000000001</v>
      </c>
      <c r="G40" s="20">
        <v>-0.16700000000000001</v>
      </c>
      <c r="H40" s="20">
        <v>-0.16700000000000001</v>
      </c>
      <c r="I40" s="20">
        <v>-0.16700000000000001</v>
      </c>
      <c r="J40" s="20">
        <v>-0.16700000000000001</v>
      </c>
    </row>
    <row r="41" spans="1:13" x14ac:dyDescent="0.25">
      <c r="A41" s="7"/>
      <c r="C41" s="20">
        <f>C36*C39</f>
        <v>7.3080000000000003E-3</v>
      </c>
      <c r="D41" s="20">
        <f>D36*D39</f>
        <v>6.6640000000000007E-3</v>
      </c>
      <c r="E41" s="20">
        <f>E36*E39</f>
        <v>7.5250000000000004E-3</v>
      </c>
      <c r="F41" s="20">
        <f>F36*F39</f>
        <v>1.1350000000000001E-2</v>
      </c>
      <c r="G41" s="20">
        <f>G36*G39</f>
        <v>1.2485000000000001E-2</v>
      </c>
      <c r="H41" s="20">
        <f>H36*H39</f>
        <v>1.2613999999999998E-2</v>
      </c>
      <c r="I41" s="20">
        <f>I36*I39</f>
        <v>1.2698999999999998E-2</v>
      </c>
      <c r="J41" s="20">
        <f>J36*J39</f>
        <v>1.2740000000000001E-2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7"/>
      <c r="C42" s="20">
        <f>C41-C40</f>
        <v>0.14730800000000002</v>
      </c>
      <c r="D42" s="20">
        <f>D41-D40</f>
        <v>0.154664</v>
      </c>
      <c r="E42" s="20">
        <f>E41-E40</f>
        <v>0.16552500000000001</v>
      </c>
      <c r="F42" s="20">
        <f>F41-F40</f>
        <v>0.17435</v>
      </c>
      <c r="G42" s="20">
        <f>G41-G40</f>
        <v>0.17948500000000001</v>
      </c>
      <c r="H42" s="20">
        <f>H41-H40</f>
        <v>0.179614</v>
      </c>
      <c r="I42" s="20">
        <f>I41-I40</f>
        <v>0.179699</v>
      </c>
      <c r="J42" s="20">
        <f>J41-J40</f>
        <v>0.17974000000000001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7" t="s">
        <v>640</v>
      </c>
      <c r="C43" s="20">
        <v>6.4000000000000001E-2</v>
      </c>
      <c r="D43" s="20">
        <v>6.2E-2</v>
      </c>
      <c r="E43" s="20">
        <v>0.06</v>
      </c>
      <c r="F43" s="20">
        <v>5.7000000000000002E-2</v>
      </c>
      <c r="G43" s="20">
        <v>5.5E-2</v>
      </c>
      <c r="H43" s="20">
        <v>5.2999999999999999E-2</v>
      </c>
      <c r="I43" s="20">
        <v>5.0999999999999997E-2</v>
      </c>
      <c r="J43" s="20">
        <v>0.05</v>
      </c>
    </row>
    <row r="44" spans="1:13" x14ac:dyDescent="0.25">
      <c r="A44" s="6" t="s">
        <v>664</v>
      </c>
    </row>
    <row r="45" spans="1:13" x14ac:dyDescent="0.25">
      <c r="A45" s="7" t="s">
        <v>642</v>
      </c>
      <c r="C45" s="40">
        <v>0.107</v>
      </c>
      <c r="D45" s="40">
        <v>0.53600000000000003</v>
      </c>
      <c r="E45" s="40">
        <v>0.96399999999999997</v>
      </c>
      <c r="F45" s="40">
        <v>1</v>
      </c>
      <c r="G45" s="40">
        <v>1</v>
      </c>
      <c r="H45" s="40">
        <v>1</v>
      </c>
      <c r="I45" s="40">
        <v>1</v>
      </c>
      <c r="J45" s="40">
        <v>1</v>
      </c>
    </row>
    <row r="46" spans="1:13" x14ac:dyDescent="0.25">
      <c r="A46" s="7" t="s">
        <v>643</v>
      </c>
      <c r="C46" s="10">
        <v>0</v>
      </c>
      <c r="D46" s="10">
        <v>5</v>
      </c>
      <c r="E46" s="10">
        <v>9</v>
      </c>
      <c r="F46" s="10">
        <v>9</v>
      </c>
      <c r="G46" s="10">
        <v>10</v>
      </c>
      <c r="H46" s="10">
        <v>11</v>
      </c>
      <c r="I46" s="10">
        <v>11</v>
      </c>
      <c r="J46" s="10">
        <v>12</v>
      </c>
    </row>
    <row r="47" spans="1:13" x14ac:dyDescent="0.25">
      <c r="A47" s="7" t="s">
        <v>644</v>
      </c>
      <c r="C47" s="19">
        <v>-1</v>
      </c>
      <c r="D47" s="19">
        <v>-6</v>
      </c>
      <c r="E47" s="19">
        <v>-6</v>
      </c>
      <c r="F47" s="19">
        <v>-6</v>
      </c>
      <c r="G47" s="19">
        <v>-6</v>
      </c>
      <c r="H47" s="19">
        <v>-6</v>
      </c>
      <c r="I47" s="19">
        <v>-7</v>
      </c>
      <c r="J47" s="19">
        <v>-7</v>
      </c>
    </row>
    <row r="48" spans="1:13" x14ac:dyDescent="0.25">
      <c r="A48" s="7" t="s">
        <v>645</v>
      </c>
      <c r="C48" s="19">
        <v>0</v>
      </c>
      <c r="D48" s="19">
        <v>-1</v>
      </c>
      <c r="E48" s="19">
        <v>-1</v>
      </c>
      <c r="F48" s="19">
        <v>-1</v>
      </c>
      <c r="G48" s="19">
        <v>-2</v>
      </c>
      <c r="H48" s="19">
        <v>-2</v>
      </c>
      <c r="I48" s="19">
        <v>-2</v>
      </c>
      <c r="J48" s="19">
        <v>-2</v>
      </c>
    </row>
    <row r="49" spans="1:10" x14ac:dyDescent="0.25">
      <c r="A49" s="7" t="s">
        <v>646</v>
      </c>
      <c r="C49" s="7" t="s">
        <v>90</v>
      </c>
      <c r="D49" s="7" t="s">
        <v>90</v>
      </c>
      <c r="E49" s="7" t="s">
        <v>90</v>
      </c>
      <c r="F49" s="7" t="s">
        <v>90</v>
      </c>
      <c r="G49" s="7" t="s">
        <v>90</v>
      </c>
      <c r="H49" s="7" t="s">
        <v>90</v>
      </c>
      <c r="I49" s="7" t="s">
        <v>90</v>
      </c>
      <c r="J49" s="7" t="s">
        <v>90</v>
      </c>
    </row>
    <row r="50" spans="1:10" x14ac:dyDescent="0.25">
      <c r="A50" s="6" t="s">
        <v>630</v>
      </c>
      <c r="C50" s="31">
        <v>-1</v>
      </c>
      <c r="D50" s="31">
        <v>-2</v>
      </c>
      <c r="E50" s="13">
        <v>2</v>
      </c>
      <c r="F50" s="13">
        <v>2</v>
      </c>
      <c r="G50" s="13">
        <v>2</v>
      </c>
      <c r="H50" s="13">
        <v>3</v>
      </c>
      <c r="I50" s="13">
        <v>3</v>
      </c>
      <c r="J50" s="13">
        <v>3</v>
      </c>
    </row>
    <row r="51" spans="1:10" x14ac:dyDescent="0.25">
      <c r="A51" s="11" t="s">
        <v>647</v>
      </c>
      <c r="C51" s="41">
        <v>2</v>
      </c>
      <c r="D51" s="41">
        <v>3</v>
      </c>
      <c r="E51" s="41">
        <v>0</v>
      </c>
      <c r="F51" s="11" t="s">
        <v>90</v>
      </c>
      <c r="G51" s="11" t="s">
        <v>90</v>
      </c>
      <c r="H51" s="11" t="s">
        <v>90</v>
      </c>
      <c r="I51" s="11" t="s">
        <v>90</v>
      </c>
      <c r="J51" s="11" t="s">
        <v>90</v>
      </c>
    </row>
    <row r="52" spans="1:10" x14ac:dyDescent="0.25">
      <c r="A52" s="7" t="s">
        <v>631</v>
      </c>
      <c r="C52" s="19">
        <v>0</v>
      </c>
      <c r="D52" s="19">
        <v>0</v>
      </c>
      <c r="E52" s="19">
        <v>0</v>
      </c>
      <c r="F52" s="19">
        <v>0</v>
      </c>
      <c r="G52" s="19">
        <v>-1</v>
      </c>
      <c r="H52" s="19">
        <v>-1</v>
      </c>
      <c r="I52" s="19">
        <v>-1</v>
      </c>
      <c r="J52" s="19">
        <v>-1</v>
      </c>
    </row>
    <row r="53" spans="1:10" x14ac:dyDescent="0.25">
      <c r="A53" s="7"/>
      <c r="C53" s="19"/>
      <c r="D53" s="19"/>
      <c r="E53" s="19"/>
      <c r="F53" s="19"/>
      <c r="G53" s="19"/>
      <c r="H53" s="19"/>
      <c r="I53" s="19"/>
      <c r="J53" s="19"/>
    </row>
    <row r="54" spans="1:10" x14ac:dyDescent="0.25">
      <c r="A54" s="7"/>
      <c r="C54" s="19"/>
      <c r="D54" s="19"/>
      <c r="E54" s="19"/>
      <c r="F54" s="19"/>
      <c r="G54" s="19"/>
      <c r="H54" s="19"/>
      <c r="I54" s="19"/>
      <c r="J54" s="19"/>
    </row>
    <row r="55" spans="1:10" x14ac:dyDescent="0.25">
      <c r="A55" s="6" t="s">
        <v>209</v>
      </c>
      <c r="C55" s="31">
        <v>-1</v>
      </c>
      <c r="D55" s="31">
        <v>-2</v>
      </c>
      <c r="E55" s="13">
        <v>1</v>
      </c>
      <c r="F55" s="13">
        <v>2</v>
      </c>
      <c r="G55" s="13">
        <v>2</v>
      </c>
      <c r="H55" s="13">
        <v>2</v>
      </c>
      <c r="I55" s="13">
        <v>2</v>
      </c>
      <c r="J55" s="13">
        <v>2</v>
      </c>
    </row>
    <row r="56" spans="1:10" x14ac:dyDescent="0.25">
      <c r="A56" s="6"/>
      <c r="C56" s="31"/>
      <c r="D56" s="31"/>
      <c r="E56" s="13"/>
      <c r="F56" s="13"/>
      <c r="G56" s="13"/>
      <c r="H56" s="13"/>
      <c r="I56" s="13"/>
      <c r="J56" s="13"/>
    </row>
    <row r="57" spans="1:10" x14ac:dyDescent="0.25">
      <c r="A57" s="6"/>
      <c r="C57" s="31"/>
      <c r="D57" s="31"/>
      <c r="E57" s="13"/>
      <c r="F57" s="13"/>
      <c r="G57" s="13"/>
      <c r="H57" s="13"/>
      <c r="I57" s="13"/>
      <c r="J57" s="13"/>
    </row>
    <row r="58" spans="1:10" x14ac:dyDescent="0.25">
      <c r="A58" s="7" t="s">
        <v>212</v>
      </c>
      <c r="B58" s="20">
        <v>0.39500000000000002</v>
      </c>
      <c r="C58" s="10">
        <v>0</v>
      </c>
      <c r="D58" s="10">
        <v>1</v>
      </c>
      <c r="E58" s="19">
        <v>-1</v>
      </c>
      <c r="F58" s="19">
        <v>-1</v>
      </c>
      <c r="G58" s="19">
        <v>-1</v>
      </c>
      <c r="H58" s="19">
        <v>-1</v>
      </c>
      <c r="I58" s="19">
        <v>-1</v>
      </c>
      <c r="J58" s="19">
        <v>-1</v>
      </c>
    </row>
    <row r="59" spans="1:10" x14ac:dyDescent="0.25">
      <c r="A59" s="7"/>
      <c r="B59" s="20"/>
      <c r="C59" s="10"/>
      <c r="D59" s="10"/>
      <c r="E59" s="19"/>
      <c r="F59" s="19"/>
      <c r="G59" s="19"/>
      <c r="H59" s="19"/>
      <c r="I59" s="19"/>
      <c r="J59" s="19"/>
    </row>
    <row r="60" spans="1:10" x14ac:dyDescent="0.25">
      <c r="A60" s="7"/>
      <c r="B60" s="20"/>
      <c r="C60" s="10"/>
      <c r="D60" s="10"/>
      <c r="E60" s="19"/>
      <c r="F60" s="19"/>
      <c r="G60" s="19"/>
      <c r="H60" s="19"/>
      <c r="I60" s="19"/>
      <c r="J60" s="19"/>
    </row>
    <row r="61" spans="1:10" x14ac:dyDescent="0.25">
      <c r="A61" s="6" t="s">
        <v>213</v>
      </c>
      <c r="C61" s="31">
        <v>-1</v>
      </c>
      <c r="D61" s="31">
        <v>-1</v>
      </c>
      <c r="E61" s="13">
        <v>1</v>
      </c>
      <c r="F61" s="13">
        <v>1</v>
      </c>
      <c r="G61" s="13">
        <v>1</v>
      </c>
      <c r="H61" s="13">
        <v>1</v>
      </c>
      <c r="I61" s="13">
        <v>1</v>
      </c>
      <c r="J61" s="13">
        <v>1</v>
      </c>
    </row>
    <row r="62" spans="1:10" x14ac:dyDescent="0.25">
      <c r="A62" s="6"/>
      <c r="C62" s="31"/>
      <c r="D62" s="31"/>
      <c r="E62" s="13"/>
      <c r="F62" s="13"/>
      <c r="G62" s="13"/>
      <c r="H62" s="13"/>
      <c r="I62" s="13"/>
      <c r="J62" s="13"/>
    </row>
    <row r="63" spans="1:10" x14ac:dyDescent="0.25">
      <c r="A63" s="6"/>
      <c r="C63" s="31"/>
      <c r="D63" s="31"/>
      <c r="E63" s="13"/>
      <c r="F63" s="13"/>
      <c r="G63" s="13"/>
      <c r="H63" s="13"/>
      <c r="I63" s="13"/>
      <c r="J63" s="13"/>
    </row>
    <row r="64" spans="1:10" x14ac:dyDescent="0.25">
      <c r="A64" s="7" t="s">
        <v>111</v>
      </c>
      <c r="C64" s="10">
        <v>0</v>
      </c>
      <c r="D64" s="10">
        <v>0</v>
      </c>
      <c r="E64" s="10">
        <v>0</v>
      </c>
      <c r="F64" s="10">
        <v>0</v>
      </c>
      <c r="G64" s="10">
        <v>1</v>
      </c>
      <c r="H64" s="10">
        <v>1</v>
      </c>
      <c r="I64" s="10">
        <v>1</v>
      </c>
      <c r="J64" s="10">
        <v>1</v>
      </c>
    </row>
    <row r="65" spans="1:10" x14ac:dyDescent="0.25">
      <c r="A65" s="7"/>
      <c r="C65" s="10"/>
      <c r="D65" s="10"/>
      <c r="E65" s="10"/>
      <c r="F65" s="10"/>
      <c r="G65" s="10"/>
      <c r="H65" s="10"/>
      <c r="I65" s="10"/>
      <c r="J65" s="10"/>
    </row>
    <row r="66" spans="1:10" x14ac:dyDescent="0.25">
      <c r="A66" s="7"/>
      <c r="C66" s="10"/>
      <c r="D66" s="10"/>
      <c r="E66" s="10"/>
      <c r="F66" s="10"/>
      <c r="G66" s="10"/>
      <c r="H66" s="10"/>
      <c r="I66" s="10"/>
      <c r="J66" s="10"/>
    </row>
    <row r="67" spans="1:10" x14ac:dyDescent="0.25">
      <c r="A67" s="7" t="s">
        <v>634</v>
      </c>
      <c r="C67" s="10">
        <v>0</v>
      </c>
      <c r="D67" s="10">
        <v>1</v>
      </c>
      <c r="E67" s="10">
        <v>1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</row>
    <row r="68" spans="1:10" x14ac:dyDescent="0.25">
      <c r="A68" s="7" t="s">
        <v>113</v>
      </c>
      <c r="C68" s="19">
        <v>0</v>
      </c>
      <c r="D68" s="19">
        <v>0</v>
      </c>
      <c r="E68" s="19">
        <v>-1</v>
      </c>
      <c r="F68" s="19">
        <v>-1</v>
      </c>
      <c r="G68" s="19">
        <v>-1</v>
      </c>
      <c r="H68" s="19">
        <v>-1</v>
      </c>
      <c r="I68" s="19">
        <v>-1</v>
      </c>
      <c r="J68" s="19">
        <v>-1</v>
      </c>
    </row>
    <row r="69" spans="1:10" x14ac:dyDescent="0.25">
      <c r="A69" s="6" t="s">
        <v>648</v>
      </c>
      <c r="C69" s="31">
        <v>-1</v>
      </c>
      <c r="D69" s="31">
        <v>-1</v>
      </c>
      <c r="E69" s="13">
        <v>1</v>
      </c>
      <c r="F69" s="13">
        <v>1</v>
      </c>
      <c r="G69" s="13">
        <v>1</v>
      </c>
      <c r="H69" s="13">
        <v>1</v>
      </c>
      <c r="I69" s="13">
        <v>1</v>
      </c>
      <c r="J69" s="13">
        <v>2</v>
      </c>
    </row>
    <row r="70" spans="1:10" x14ac:dyDescent="0.25">
      <c r="A70" s="6" t="s">
        <v>649</v>
      </c>
      <c r="C70" s="10">
        <v>0</v>
      </c>
      <c r="D70" s="10">
        <v>1</v>
      </c>
      <c r="E70" s="10">
        <v>1</v>
      </c>
      <c r="F70" s="10">
        <v>1</v>
      </c>
      <c r="G70" s="10">
        <v>1</v>
      </c>
      <c r="H70" s="10">
        <v>1</v>
      </c>
      <c r="I70" s="10">
        <v>1</v>
      </c>
      <c r="J70" s="10">
        <v>2</v>
      </c>
    </row>
    <row r="71" spans="1:10" x14ac:dyDescent="0.25">
      <c r="A71" s="6" t="s">
        <v>650</v>
      </c>
      <c r="C71" s="19">
        <v>-1</v>
      </c>
      <c r="D71" s="19">
        <v>-1</v>
      </c>
      <c r="E71" s="10">
        <v>1</v>
      </c>
      <c r="F71" s="10">
        <v>1</v>
      </c>
      <c r="G71" s="10">
        <v>1</v>
      </c>
      <c r="H71" s="10">
        <v>1</v>
      </c>
      <c r="I71" s="10">
        <v>1</v>
      </c>
      <c r="J71" s="10">
        <v>2</v>
      </c>
    </row>
    <row r="72" spans="1:10" x14ac:dyDescent="0.25">
      <c r="A72" s="6" t="s">
        <v>651</v>
      </c>
      <c r="C72" s="13">
        <v>1</v>
      </c>
      <c r="D72" s="13">
        <v>1</v>
      </c>
      <c r="E72" s="31">
        <v>0</v>
      </c>
      <c r="F72" s="6" t="s">
        <v>90</v>
      </c>
      <c r="G72" s="6" t="s">
        <v>90</v>
      </c>
      <c r="H72" s="6" t="s">
        <v>90</v>
      </c>
      <c r="I72" s="6" t="s">
        <v>90</v>
      </c>
      <c r="J72" s="6" t="s">
        <v>90</v>
      </c>
    </row>
    <row r="73" spans="1:10" x14ac:dyDescent="0.25">
      <c r="A73" s="7" t="s">
        <v>115</v>
      </c>
      <c r="B73" s="20">
        <v>0.11</v>
      </c>
      <c r="C73" s="23">
        <v>0.98740000000000006</v>
      </c>
      <c r="D73" s="23">
        <v>0.92530000000000001</v>
      </c>
      <c r="E73" s="23">
        <v>0.83360000000000001</v>
      </c>
      <c r="F73" s="24">
        <v>0.751</v>
      </c>
      <c r="G73" s="23">
        <v>0.67659999999999998</v>
      </c>
      <c r="H73" s="23">
        <v>0.60950000000000004</v>
      </c>
      <c r="I73" s="23">
        <v>0.54910000000000003</v>
      </c>
      <c r="J73" s="23">
        <v>0.49469999999999997</v>
      </c>
    </row>
    <row r="74" spans="1:10" x14ac:dyDescent="0.25">
      <c r="A74" s="6" t="s">
        <v>116</v>
      </c>
      <c r="C74" s="13">
        <v>1</v>
      </c>
      <c r="D74" s="13">
        <v>1</v>
      </c>
      <c r="E74" s="31">
        <v>0</v>
      </c>
      <c r="F74" s="6" t="s">
        <v>90</v>
      </c>
      <c r="G74" s="6" t="s">
        <v>90</v>
      </c>
      <c r="H74" s="6" t="s">
        <v>90</v>
      </c>
      <c r="I74" s="6" t="s">
        <v>90</v>
      </c>
      <c r="J74" s="6" t="s">
        <v>90</v>
      </c>
    </row>
    <row r="75" spans="1:10" x14ac:dyDescent="0.25">
      <c r="A75" s="7" t="s">
        <v>216</v>
      </c>
      <c r="C75" s="10">
        <v>2</v>
      </c>
      <c r="G75" s="7" t="s">
        <v>652</v>
      </c>
    </row>
    <row r="76" spans="1:10" x14ac:dyDescent="0.25">
      <c r="A76" s="7" t="s">
        <v>121</v>
      </c>
      <c r="B76" s="7" t="s">
        <v>288</v>
      </c>
      <c r="C76" s="10">
        <v>0</v>
      </c>
      <c r="E76" s="10">
        <v>2</v>
      </c>
      <c r="F76" s="15">
        <v>0.25</v>
      </c>
      <c r="G76" s="15">
        <v>0.33</v>
      </c>
      <c r="H76" s="15">
        <v>0.5</v>
      </c>
      <c r="I76" s="15">
        <v>0.75</v>
      </c>
    </row>
    <row r="77" spans="1:10" x14ac:dyDescent="0.25">
      <c r="A77" s="6" t="s">
        <v>665</v>
      </c>
      <c r="C77" s="13">
        <v>2</v>
      </c>
      <c r="E77" s="15">
        <v>0</v>
      </c>
      <c r="F77" s="10">
        <v>2</v>
      </c>
      <c r="G77" s="10">
        <v>2</v>
      </c>
      <c r="H77" s="10">
        <v>2</v>
      </c>
      <c r="I77" s="10">
        <v>2</v>
      </c>
    </row>
    <row r="78" spans="1:10" x14ac:dyDescent="0.25">
      <c r="E78" s="15">
        <v>0.05</v>
      </c>
      <c r="F78" s="10">
        <v>2</v>
      </c>
      <c r="G78" s="10">
        <v>2</v>
      </c>
      <c r="H78" s="10">
        <v>2</v>
      </c>
      <c r="I78" s="10">
        <v>2</v>
      </c>
    </row>
    <row r="79" spans="1:10" x14ac:dyDescent="0.25">
      <c r="D79" s="7" t="s">
        <v>653</v>
      </c>
      <c r="E79" s="15">
        <v>0.1</v>
      </c>
      <c r="F79" s="10">
        <v>3</v>
      </c>
      <c r="G79" s="10">
        <v>3</v>
      </c>
      <c r="H79" s="10">
        <v>3</v>
      </c>
      <c r="I79" s="10">
        <v>3</v>
      </c>
    </row>
    <row r="80" spans="1:10" x14ac:dyDescent="0.25">
      <c r="D80" s="7" t="s">
        <v>654</v>
      </c>
      <c r="E80" s="15">
        <v>0.15</v>
      </c>
      <c r="F80" s="10">
        <v>3</v>
      </c>
      <c r="G80" s="10">
        <v>3</v>
      </c>
      <c r="H80" s="10">
        <v>3</v>
      </c>
      <c r="I80" s="10">
        <v>3</v>
      </c>
    </row>
    <row r="81" spans="1:11" x14ac:dyDescent="0.25">
      <c r="E81" s="15">
        <v>0.2</v>
      </c>
      <c r="F81" s="10">
        <v>4</v>
      </c>
      <c r="G81" s="10">
        <v>4</v>
      </c>
      <c r="H81" s="10">
        <v>4</v>
      </c>
      <c r="I81" s="10">
        <v>4</v>
      </c>
    </row>
    <row r="82" spans="1:11" x14ac:dyDescent="0.25">
      <c r="A82" s="9" t="s">
        <v>221</v>
      </c>
    </row>
    <row r="83" spans="1:11" x14ac:dyDescent="0.25">
      <c r="A83" s="7" t="s">
        <v>655</v>
      </c>
      <c r="C83" s="20">
        <v>0.79700000000000004</v>
      </c>
      <c r="D83" s="20">
        <v>0.80400000000000005</v>
      </c>
      <c r="E83" s="20">
        <v>0.78500000000000003</v>
      </c>
      <c r="F83" s="20">
        <v>0.77300000000000002</v>
      </c>
      <c r="G83" s="20">
        <v>0.77300000000000002</v>
      </c>
      <c r="H83" s="20">
        <v>0.76200000000000001</v>
      </c>
      <c r="I83" s="20">
        <v>0.751</v>
      </c>
      <c r="J83" s="20">
        <v>0.74</v>
      </c>
    </row>
    <row r="84" spans="1:11" x14ac:dyDescent="0.25">
      <c r="A84" s="7" t="s">
        <v>656</v>
      </c>
      <c r="C84" s="20">
        <v>0.8</v>
      </c>
      <c r="D84" s="20">
        <v>0.8</v>
      </c>
      <c r="E84" s="20">
        <v>0.8</v>
      </c>
      <c r="F84" s="20">
        <v>0.8</v>
      </c>
      <c r="G84" s="20">
        <v>0.8</v>
      </c>
      <c r="H84" s="20">
        <v>0.8</v>
      </c>
      <c r="I84" s="20">
        <v>0.8</v>
      </c>
      <c r="J84" s="20">
        <v>0.8</v>
      </c>
    </row>
    <row r="85" spans="1:11" x14ac:dyDescent="0.25">
      <c r="A85" s="7" t="s">
        <v>657</v>
      </c>
      <c r="C85" s="20">
        <v>0.2</v>
      </c>
      <c r="D85" s="20">
        <v>0.2</v>
      </c>
      <c r="E85" s="20">
        <v>0.2</v>
      </c>
      <c r="F85" s="20">
        <v>0.2</v>
      </c>
      <c r="G85" s="20">
        <v>0.2</v>
      </c>
      <c r="H85" s="20">
        <v>0.2</v>
      </c>
      <c r="I85" s="20">
        <v>0.2</v>
      </c>
      <c r="J85" s="20">
        <v>0.2</v>
      </c>
    </row>
    <row r="86" spans="1:11" x14ac:dyDescent="0.25">
      <c r="A86" s="7" t="s">
        <v>658</v>
      </c>
      <c r="B86" s="20">
        <v>0.05</v>
      </c>
      <c r="C86" s="7" t="s">
        <v>71</v>
      </c>
      <c r="D86" s="7" t="s">
        <v>71</v>
      </c>
      <c r="E86" s="7" t="s">
        <v>71</v>
      </c>
      <c r="F86" s="7" t="s">
        <v>71</v>
      </c>
      <c r="G86" s="7" t="s">
        <v>71</v>
      </c>
      <c r="H86" s="7" t="s">
        <v>71</v>
      </c>
      <c r="I86" s="7" t="s">
        <v>71</v>
      </c>
      <c r="J86" s="7" t="s">
        <v>71</v>
      </c>
    </row>
    <row r="87" spans="1:11" x14ac:dyDescent="0.25">
      <c r="A87" s="7" t="s">
        <v>631</v>
      </c>
      <c r="C87" s="20">
        <v>3.5999999999999997E-2</v>
      </c>
      <c r="D87" s="20">
        <v>3.4000000000000002E-2</v>
      </c>
      <c r="E87" s="20">
        <v>3.5000000000000003E-2</v>
      </c>
      <c r="F87" s="20">
        <v>0.05</v>
      </c>
      <c r="G87" s="20">
        <v>5.5E-2</v>
      </c>
      <c r="H87" s="20">
        <v>5.2999999999999999E-2</v>
      </c>
      <c r="I87" s="20">
        <v>5.0999999999999997E-2</v>
      </c>
      <c r="J87" s="20">
        <v>4.9000000000000002E-2</v>
      </c>
    </row>
    <row r="88" spans="1:11" x14ac:dyDescent="0.25">
      <c r="A88" s="7" t="s">
        <v>659</v>
      </c>
      <c r="C88" s="21">
        <v>-0.14000000000000001</v>
      </c>
      <c r="D88" s="20">
        <v>-0.14799999999999999</v>
      </c>
      <c r="E88" s="20">
        <v>-0.158</v>
      </c>
      <c r="F88" s="20">
        <v>-0.16300000000000001</v>
      </c>
      <c r="G88" s="20">
        <v>-0.16700000000000001</v>
      </c>
      <c r="H88" s="20">
        <v>-0.16700000000000001</v>
      </c>
      <c r="I88" s="20">
        <v>-0.16700000000000001</v>
      </c>
      <c r="J88" s="20">
        <v>-0.16700000000000001</v>
      </c>
    </row>
    <row r="89" spans="1:11" x14ac:dyDescent="0.25">
      <c r="A89" s="7" t="s">
        <v>660</v>
      </c>
      <c r="C89" s="20">
        <v>6.4000000000000001E-2</v>
      </c>
      <c r="D89" s="20">
        <v>6.2E-2</v>
      </c>
      <c r="E89" s="20">
        <v>0.06</v>
      </c>
      <c r="F89" s="20">
        <v>5.7000000000000002E-2</v>
      </c>
      <c r="G89" s="20">
        <v>5.5E-2</v>
      </c>
      <c r="H89" s="20">
        <v>5.2999999999999999E-2</v>
      </c>
      <c r="I89" s="20">
        <v>5.0999999999999997E-2</v>
      </c>
      <c r="J89" s="20">
        <v>0.05</v>
      </c>
    </row>
    <row r="90" spans="1:11" x14ac:dyDescent="0.25">
      <c r="A90" s="16" t="s">
        <v>127</v>
      </c>
    </row>
    <row r="91" spans="1:11" x14ac:dyDescent="0.25">
      <c r="A91" s="7" t="s">
        <v>661</v>
      </c>
    </row>
    <row r="92" spans="1:11" x14ac:dyDescent="0.25">
      <c r="A92" s="7" t="s">
        <v>291</v>
      </c>
    </row>
    <row r="93" spans="1:11" x14ac:dyDescent="0.25">
      <c r="A93" s="16" t="s">
        <v>61</v>
      </c>
    </row>
    <row r="94" spans="1:11" x14ac:dyDescent="0.25">
      <c r="A94" s="9" t="s">
        <v>62</v>
      </c>
      <c r="K94" s="2" t="s">
        <v>63</v>
      </c>
    </row>
    <row r="95" spans="1:11" x14ac:dyDescent="0.25">
      <c r="F95" s="5" t="s">
        <v>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2:N47"/>
  <sheetViews>
    <sheetView workbookViewId="0"/>
  </sheetViews>
  <sheetFormatPr defaultRowHeight="15" x14ac:dyDescent="0.25"/>
  <cols>
    <col min="1" max="1" width="75" bestFit="1" customWidth="1"/>
  </cols>
  <sheetData>
    <row r="2" spans="1:14" x14ac:dyDescent="0.25">
      <c r="A2" s="6" t="s">
        <v>1</v>
      </c>
      <c r="N2" s="7" t="s">
        <v>677</v>
      </c>
    </row>
    <row r="3" spans="1:14" x14ac:dyDescent="0.25">
      <c r="A3" s="6" t="s">
        <v>9</v>
      </c>
    </row>
    <row r="4" spans="1:14" x14ac:dyDescent="0.25">
      <c r="A4" s="6" t="s">
        <v>678</v>
      </c>
    </row>
    <row r="5" spans="1:14" x14ac:dyDescent="0.25">
      <c r="A5" s="6" t="s">
        <v>11</v>
      </c>
    </row>
    <row r="6" spans="1:14" x14ac:dyDescent="0.25">
      <c r="C6" s="9" t="s">
        <v>95</v>
      </c>
      <c r="H6" s="9" t="s">
        <v>96</v>
      </c>
    </row>
    <row r="7" spans="1:14" x14ac:dyDescent="0.25">
      <c r="A7" s="8" t="s">
        <v>12</v>
      </c>
      <c r="C7" s="9" t="s">
        <v>97</v>
      </c>
      <c r="D7" s="9" t="s">
        <v>98</v>
      </c>
      <c r="E7" s="9" t="s">
        <v>99</v>
      </c>
      <c r="G7" s="9" t="s">
        <v>100</v>
      </c>
      <c r="H7" s="9" t="s">
        <v>101</v>
      </c>
      <c r="I7" s="9" t="s">
        <v>102</v>
      </c>
      <c r="J7" s="9" t="s">
        <v>103</v>
      </c>
      <c r="K7" s="9" t="s">
        <v>104</v>
      </c>
      <c r="L7" s="9" t="s">
        <v>200</v>
      </c>
      <c r="M7" s="9" t="s">
        <v>201</v>
      </c>
    </row>
    <row r="8" spans="1:14" x14ac:dyDescent="0.25">
      <c r="A8" s="7" t="s">
        <v>679</v>
      </c>
      <c r="B8" s="43" t="s">
        <v>90</v>
      </c>
    </row>
    <row r="9" spans="1:14" x14ac:dyDescent="0.25">
      <c r="A9" s="7" t="s">
        <v>680</v>
      </c>
      <c r="B9" s="43" t="s">
        <v>90</v>
      </c>
    </row>
    <row r="10" spans="1:14" x14ac:dyDescent="0.25">
      <c r="A10" s="7" t="s">
        <v>681</v>
      </c>
      <c r="C10" s="10">
        <v>237</v>
      </c>
      <c r="D10" s="14">
        <v>1000</v>
      </c>
      <c r="E10" s="14">
        <v>1037</v>
      </c>
      <c r="G10" s="14">
        <v>1079</v>
      </c>
      <c r="H10" s="14">
        <v>1119</v>
      </c>
      <c r="I10" s="14">
        <v>1166</v>
      </c>
      <c r="J10" s="14">
        <v>1217</v>
      </c>
      <c r="K10" s="14">
        <v>1271</v>
      </c>
      <c r="L10" s="14">
        <v>1309</v>
      </c>
      <c r="M10" s="14">
        <v>1348</v>
      </c>
    </row>
    <row r="11" spans="1:14" x14ac:dyDescent="0.25">
      <c r="A11" s="7"/>
      <c r="C11" s="10">
        <f>SUM(C8:C9)</f>
        <v>0</v>
      </c>
      <c r="D11" s="14">
        <f>SUM(D8:D9)</f>
        <v>0</v>
      </c>
      <c r="E11" s="14">
        <f>SUM(E8:E9)</f>
        <v>0</v>
      </c>
      <c r="F11">
        <f>SUM(F8:F9)</f>
        <v>0</v>
      </c>
      <c r="G11" s="14">
        <f>SUM(G8:G9)</f>
        <v>0</v>
      </c>
      <c r="H11" s="14">
        <f>SUM(H8:H9)</f>
        <v>0</v>
      </c>
      <c r="I11" s="14">
        <f>SUM(I8:I9)</f>
        <v>0</v>
      </c>
      <c r="J11" s="14">
        <f>SUM(J8:J9)</f>
        <v>0</v>
      </c>
      <c r="K11" s="14">
        <f>SUM(K8:K9)</f>
        <v>0</v>
      </c>
      <c r="L11" s="14">
        <f>SUM(L8:L9)</f>
        <v>0</v>
      </c>
      <c r="M11" s="14">
        <f>SUM(M8:M9)</f>
        <v>0</v>
      </c>
    </row>
    <row r="12" spans="1:14" x14ac:dyDescent="0.25">
      <c r="A12" s="7"/>
      <c r="C12" s="10">
        <f>C11-C10</f>
        <v>-237</v>
      </c>
      <c r="D12" s="14">
        <f>D11-D10</f>
        <v>-1000</v>
      </c>
      <c r="E12" s="14">
        <f>E11-E10</f>
        <v>-1037</v>
      </c>
      <c r="F12">
        <f>F11-F10</f>
        <v>0</v>
      </c>
      <c r="G12" s="14">
        <f>G11-G10</f>
        <v>-1079</v>
      </c>
      <c r="H12" s="14">
        <f>H11-H10</f>
        <v>-1119</v>
      </c>
      <c r="I12" s="14">
        <f>I11-I10</f>
        <v>-1166</v>
      </c>
      <c r="J12" s="14">
        <f>J11-J10</f>
        <v>-1217</v>
      </c>
      <c r="K12" s="14">
        <f>K11-K10</f>
        <v>-1271</v>
      </c>
      <c r="L12" s="14">
        <f>L11-L10</f>
        <v>-1309</v>
      </c>
      <c r="M12" s="14">
        <f>M11-M10</f>
        <v>-1348</v>
      </c>
    </row>
    <row r="13" spans="1:14" x14ac:dyDescent="0.25">
      <c r="A13" s="7" t="s">
        <v>682</v>
      </c>
      <c r="C13" s="20">
        <v>1</v>
      </c>
      <c r="D13" s="20">
        <v>1</v>
      </c>
      <c r="E13" s="20">
        <v>1</v>
      </c>
      <c r="G13" s="20">
        <v>1</v>
      </c>
      <c r="H13" s="20">
        <v>1</v>
      </c>
      <c r="I13" s="20">
        <v>1</v>
      </c>
      <c r="J13" s="20">
        <v>1</v>
      </c>
      <c r="K13" s="20">
        <v>1</v>
      </c>
      <c r="L13" s="20">
        <v>1</v>
      </c>
      <c r="M13" s="20">
        <v>1.125</v>
      </c>
    </row>
    <row r="14" spans="1:14" x14ac:dyDescent="0.25">
      <c r="A14" s="6" t="s">
        <v>683</v>
      </c>
      <c r="C14" s="13">
        <v>237</v>
      </c>
      <c r="D14" s="12">
        <v>1000</v>
      </c>
      <c r="E14" s="12">
        <v>1037</v>
      </c>
      <c r="G14" s="12">
        <v>1079</v>
      </c>
      <c r="H14" s="12">
        <v>1119</v>
      </c>
      <c r="I14" s="12">
        <v>1166</v>
      </c>
      <c r="J14" s="12">
        <v>1217</v>
      </c>
      <c r="K14" s="12">
        <v>1271</v>
      </c>
      <c r="L14" s="12">
        <v>1309</v>
      </c>
      <c r="M14" s="12">
        <v>1348</v>
      </c>
    </row>
    <row r="15" spans="1:14" x14ac:dyDescent="0.25">
      <c r="A15" s="6"/>
      <c r="C15" s="13">
        <f>C10*C13</f>
        <v>237</v>
      </c>
      <c r="D15" s="12">
        <f>D10*D13</f>
        <v>1000</v>
      </c>
      <c r="E15" s="12">
        <f>E10*E13</f>
        <v>1037</v>
      </c>
      <c r="F15">
        <f>F10*F13</f>
        <v>0</v>
      </c>
      <c r="G15" s="12">
        <f>G10*G13</f>
        <v>1079</v>
      </c>
      <c r="H15" s="12">
        <f>H10*H13</f>
        <v>1119</v>
      </c>
      <c r="I15" s="12">
        <f>I10*I13</f>
        <v>1166</v>
      </c>
      <c r="J15" s="12">
        <f>J10*J13</f>
        <v>1217</v>
      </c>
      <c r="K15" s="12">
        <f>K10*K13</f>
        <v>1271</v>
      </c>
      <c r="L15" s="12">
        <f>L10*L13</f>
        <v>1309</v>
      </c>
      <c r="M15" s="12">
        <f>M10*M13</f>
        <v>1516.5</v>
      </c>
    </row>
    <row r="16" spans="1:14" x14ac:dyDescent="0.25">
      <c r="A16" s="6"/>
      <c r="C16" s="13">
        <f>C15-C14</f>
        <v>0</v>
      </c>
      <c r="D16" s="12">
        <f>D15-D14</f>
        <v>0</v>
      </c>
      <c r="E16" s="12">
        <f>E15-E14</f>
        <v>0</v>
      </c>
      <c r="F16">
        <f>F15-F14</f>
        <v>0</v>
      </c>
      <c r="G16" s="12">
        <f>G15-G14</f>
        <v>0</v>
      </c>
      <c r="H16" s="12">
        <f>H15-H14</f>
        <v>0</v>
      </c>
      <c r="I16" s="12">
        <f>I15-I14</f>
        <v>0</v>
      </c>
      <c r="J16" s="12">
        <f>J15-J14</f>
        <v>0</v>
      </c>
      <c r="K16" s="12">
        <f>K15-K14</f>
        <v>0</v>
      </c>
      <c r="L16" s="12">
        <f>L15-L14</f>
        <v>0</v>
      </c>
      <c r="M16" s="12">
        <f>M15-M14</f>
        <v>168.5</v>
      </c>
    </row>
    <row r="17" spans="1:13" x14ac:dyDescent="0.25">
      <c r="A17" s="7" t="s">
        <v>314</v>
      </c>
      <c r="B17" s="20">
        <v>1.4999999999999999E-2</v>
      </c>
      <c r="C17" s="10">
        <v>4</v>
      </c>
      <c r="D17" s="10">
        <v>15</v>
      </c>
      <c r="E17" s="10">
        <v>16</v>
      </c>
      <c r="G17" s="10">
        <v>16</v>
      </c>
      <c r="H17" s="10">
        <v>17</v>
      </c>
      <c r="I17" s="10">
        <v>17</v>
      </c>
      <c r="J17" s="10">
        <v>18</v>
      </c>
      <c r="K17" s="10">
        <v>19</v>
      </c>
      <c r="L17" s="10">
        <v>20</v>
      </c>
      <c r="M17" s="10">
        <v>20</v>
      </c>
    </row>
    <row r="18" spans="1:13" x14ac:dyDescent="0.25">
      <c r="A18" s="6" t="s">
        <v>315</v>
      </c>
      <c r="C18" s="10">
        <v>4</v>
      </c>
      <c r="D18" s="10">
        <v>15</v>
      </c>
      <c r="E18" s="10">
        <v>16</v>
      </c>
      <c r="G18" s="10">
        <v>16</v>
      </c>
      <c r="H18" s="10">
        <v>17</v>
      </c>
      <c r="I18" s="10">
        <v>17</v>
      </c>
      <c r="J18" s="10">
        <v>18</v>
      </c>
      <c r="K18" s="10">
        <v>19</v>
      </c>
      <c r="L18" s="10">
        <v>20</v>
      </c>
      <c r="M18" s="10">
        <v>20</v>
      </c>
    </row>
    <row r="19" spans="1:13" x14ac:dyDescent="0.25">
      <c r="A19" s="7" t="s">
        <v>109</v>
      </c>
      <c r="B19" s="20">
        <v>0.218</v>
      </c>
      <c r="C19" s="19">
        <v>-1</v>
      </c>
      <c r="D19" s="19">
        <v>-3</v>
      </c>
      <c r="E19" s="19">
        <v>-3</v>
      </c>
      <c r="G19" s="19">
        <v>-4</v>
      </c>
      <c r="H19" s="19">
        <v>-4</v>
      </c>
      <c r="I19" s="19">
        <v>-4</v>
      </c>
      <c r="J19" s="19">
        <v>-4</v>
      </c>
      <c r="K19" s="19">
        <v>-4</v>
      </c>
      <c r="L19" s="19">
        <v>-4</v>
      </c>
      <c r="M19" s="19">
        <v>-4</v>
      </c>
    </row>
    <row r="20" spans="1:13" x14ac:dyDescent="0.25">
      <c r="A20" s="6" t="s">
        <v>316</v>
      </c>
      <c r="C20" s="13">
        <v>3</v>
      </c>
      <c r="D20" s="13">
        <v>12</v>
      </c>
      <c r="E20" s="13">
        <v>12</v>
      </c>
      <c r="G20" s="13">
        <v>13</v>
      </c>
      <c r="H20" s="13">
        <v>13</v>
      </c>
      <c r="I20" s="13">
        <v>14</v>
      </c>
      <c r="J20" s="13">
        <v>14</v>
      </c>
      <c r="K20" s="13">
        <v>15</v>
      </c>
      <c r="L20" s="13">
        <v>15</v>
      </c>
      <c r="M20" s="13">
        <v>16</v>
      </c>
    </row>
    <row r="21" spans="1:13" x14ac:dyDescent="0.25">
      <c r="A21" s="6"/>
      <c r="C21" s="13">
        <f>SUM(C18,C19)</f>
        <v>3</v>
      </c>
      <c r="D21" s="13">
        <f>SUM(D18,D19)</f>
        <v>12</v>
      </c>
      <c r="E21" s="13">
        <f>SUM(E18,E19)</f>
        <v>13</v>
      </c>
      <c r="F21">
        <f>SUM(F18,F19)</f>
        <v>0</v>
      </c>
      <c r="G21" s="13">
        <f>SUM(G18,G19)</f>
        <v>12</v>
      </c>
      <c r="H21" s="13">
        <f>SUM(H18,H19)</f>
        <v>13</v>
      </c>
      <c r="I21" s="13">
        <f>SUM(I18,I19)</f>
        <v>13</v>
      </c>
      <c r="J21" s="13">
        <f>SUM(J18,J19)</f>
        <v>14</v>
      </c>
      <c r="K21" s="13">
        <f>SUM(K18,K19)</f>
        <v>15</v>
      </c>
      <c r="L21" s="13">
        <f>SUM(L18,L19)</f>
        <v>16</v>
      </c>
      <c r="M21" s="13">
        <f>SUM(M18,M19)</f>
        <v>16</v>
      </c>
    </row>
    <row r="22" spans="1:13" x14ac:dyDescent="0.25">
      <c r="A22" s="6"/>
      <c r="C22" s="13">
        <f>C21-C20</f>
        <v>0</v>
      </c>
      <c r="D22" s="13">
        <f>D21-D20</f>
        <v>0</v>
      </c>
      <c r="E22" s="13">
        <f>E21-E20</f>
        <v>1</v>
      </c>
      <c r="F22">
        <f>F21-F20</f>
        <v>0</v>
      </c>
      <c r="G22" s="13">
        <f>G21-G20</f>
        <v>-1</v>
      </c>
      <c r="H22" s="13">
        <f>H21-H20</f>
        <v>0</v>
      </c>
      <c r="I22" s="13">
        <f>I21-I20</f>
        <v>-1</v>
      </c>
      <c r="J22" s="13">
        <f>J21-J20</f>
        <v>0</v>
      </c>
      <c r="K22" s="13">
        <f>K21-K20</f>
        <v>0</v>
      </c>
      <c r="L22" s="13">
        <f>L21-L20</f>
        <v>1</v>
      </c>
      <c r="M22" s="13">
        <f>M21-M20</f>
        <v>0</v>
      </c>
    </row>
    <row r="23" spans="1:13" x14ac:dyDescent="0.25">
      <c r="A23" s="7" t="s">
        <v>115</v>
      </c>
      <c r="B23" s="20">
        <v>0.11</v>
      </c>
      <c r="C23" s="23">
        <v>0.98740000000000006</v>
      </c>
      <c r="D23" s="23">
        <v>0.92530000000000001</v>
      </c>
      <c r="E23" s="23">
        <v>0.83360000000000001</v>
      </c>
      <c r="G23" s="24">
        <v>0.751</v>
      </c>
      <c r="H23" s="23">
        <v>0.67659999999999998</v>
      </c>
      <c r="I23" s="23">
        <v>0.60950000000000004</v>
      </c>
      <c r="J23" s="23">
        <v>0.54910000000000003</v>
      </c>
      <c r="K23" s="23">
        <v>0.49469999999999997</v>
      </c>
      <c r="L23" s="23">
        <v>0.44569999999999999</v>
      </c>
      <c r="M23" s="23">
        <v>0.40150000000000002</v>
      </c>
    </row>
    <row r="24" spans="1:13" x14ac:dyDescent="0.25">
      <c r="A24" s="7"/>
      <c r="B24" s="20"/>
      <c r="C24" s="23">
        <f>C10*B23</f>
        <v>26.07</v>
      </c>
      <c r="D24" s="23">
        <f>D10*B23</f>
        <v>110</v>
      </c>
      <c r="E24" s="23">
        <f>E10*B23</f>
        <v>114.07000000000001</v>
      </c>
      <c r="F24">
        <f>F10*B23</f>
        <v>0</v>
      </c>
      <c r="G24" s="24">
        <f>G10*B23</f>
        <v>118.69</v>
      </c>
      <c r="H24" s="23">
        <f>H10*B23</f>
        <v>123.09</v>
      </c>
      <c r="I24" s="23">
        <f>I10*B23</f>
        <v>128.26</v>
      </c>
      <c r="J24" s="23">
        <f>J10*B23</f>
        <v>133.87</v>
      </c>
      <c r="K24" s="23">
        <f>K10*B23</f>
        <v>139.81</v>
      </c>
      <c r="L24" s="23">
        <f>L10*B23</f>
        <v>143.99</v>
      </c>
      <c r="M24" s="23">
        <f>M10*B23</f>
        <v>148.28</v>
      </c>
    </row>
    <row r="25" spans="1:13" x14ac:dyDescent="0.25">
      <c r="A25" s="7"/>
      <c r="B25" s="20"/>
      <c r="C25" s="23">
        <f>C24-C23</f>
        <v>25.082599999999999</v>
      </c>
      <c r="D25" s="23">
        <f>D24-D23</f>
        <v>109.07470000000001</v>
      </c>
      <c r="E25" s="23">
        <f>E24-E23</f>
        <v>113.2364</v>
      </c>
      <c r="F25">
        <f>F24-F23</f>
        <v>0</v>
      </c>
      <c r="G25" s="24">
        <f>G24-G23</f>
        <v>117.93899999999999</v>
      </c>
      <c r="H25" s="23">
        <f>H24-H23</f>
        <v>122.41340000000001</v>
      </c>
      <c r="I25" s="23">
        <f>I24-I23</f>
        <v>127.65049999999999</v>
      </c>
      <c r="J25" s="23">
        <f>J24-J23</f>
        <v>133.32089999999999</v>
      </c>
      <c r="K25" s="23">
        <f>K24-K23</f>
        <v>139.31530000000001</v>
      </c>
      <c r="L25" s="23">
        <f>L24-L23</f>
        <v>143.54430000000002</v>
      </c>
      <c r="M25" s="23">
        <f>M24-M23</f>
        <v>147.8785</v>
      </c>
    </row>
    <row r="26" spans="1:13" x14ac:dyDescent="0.25">
      <c r="A26" s="6" t="s">
        <v>317</v>
      </c>
      <c r="C26" s="10">
        <v>3</v>
      </c>
      <c r="D26" s="10">
        <v>11</v>
      </c>
      <c r="E26" s="10">
        <v>10</v>
      </c>
      <c r="G26" s="10">
        <v>9</v>
      </c>
      <c r="H26" s="10">
        <v>9</v>
      </c>
      <c r="I26" s="10">
        <v>8</v>
      </c>
      <c r="J26" s="10">
        <v>8</v>
      </c>
      <c r="K26" s="10">
        <v>7</v>
      </c>
      <c r="L26" s="10">
        <v>7</v>
      </c>
      <c r="M26" s="10">
        <v>6</v>
      </c>
    </row>
    <row r="27" spans="1:13" x14ac:dyDescent="0.25">
      <c r="A27" s="6"/>
      <c r="C27" s="10">
        <f>SUM(C20,C23)</f>
        <v>3.9874000000000001</v>
      </c>
      <c r="D27" s="10">
        <f>SUM(D20,D23)</f>
        <v>12.9253</v>
      </c>
      <c r="E27" s="10">
        <f>SUM(E20,E23)</f>
        <v>12.833600000000001</v>
      </c>
      <c r="F27">
        <f>SUM(F20,F23)</f>
        <v>0</v>
      </c>
      <c r="G27" s="10">
        <f>SUM(G20,G23)</f>
        <v>13.750999999999999</v>
      </c>
      <c r="H27" s="10">
        <f>SUM(H20,H23)</f>
        <v>13.676600000000001</v>
      </c>
      <c r="I27" s="10">
        <f>SUM(I20,I23)</f>
        <v>14.609500000000001</v>
      </c>
      <c r="J27" s="10">
        <f>SUM(J20,J23)</f>
        <v>14.549099999999999</v>
      </c>
      <c r="K27" s="10">
        <f>SUM(K20,K23)</f>
        <v>15.4947</v>
      </c>
      <c r="L27" s="10">
        <f>SUM(L20,L23)</f>
        <v>15.4457</v>
      </c>
      <c r="M27" s="10">
        <f>SUM(M20,M23)</f>
        <v>16.401499999999999</v>
      </c>
    </row>
    <row r="28" spans="1:13" x14ac:dyDescent="0.25">
      <c r="A28" s="6"/>
      <c r="C28" s="10">
        <f>C27-C26</f>
        <v>0.98740000000000006</v>
      </c>
      <c r="D28" s="10">
        <f>D27-D26</f>
        <v>1.9253</v>
      </c>
      <c r="E28" s="10">
        <f>E27-E26</f>
        <v>2.8336000000000006</v>
      </c>
      <c r="F28">
        <f>F27-F26</f>
        <v>0</v>
      </c>
      <c r="G28" s="10">
        <f>G27-G26</f>
        <v>4.7509999999999994</v>
      </c>
      <c r="H28" s="10">
        <f>H27-H26</f>
        <v>4.6766000000000005</v>
      </c>
      <c r="I28" s="10">
        <f>I27-I26</f>
        <v>6.6095000000000006</v>
      </c>
      <c r="J28" s="10">
        <f>J27-J26</f>
        <v>6.5490999999999993</v>
      </c>
      <c r="K28" s="10">
        <f>K27-K26</f>
        <v>8.4946999999999999</v>
      </c>
      <c r="L28" s="10">
        <f>L27-L26</f>
        <v>8.4457000000000004</v>
      </c>
      <c r="M28" s="10">
        <f>M27-M26</f>
        <v>10.401499999999999</v>
      </c>
    </row>
    <row r="29" spans="1:13" x14ac:dyDescent="0.25">
      <c r="A29" s="7" t="s">
        <v>216</v>
      </c>
      <c r="C29" s="10">
        <v>122</v>
      </c>
      <c r="I29" s="7" t="s">
        <v>684</v>
      </c>
    </row>
    <row r="30" spans="1:13" x14ac:dyDescent="0.25">
      <c r="A30" s="7"/>
      <c r="C30" s="10">
        <f>C26*B29</f>
        <v>0</v>
      </c>
      <c r="D30">
        <f>D26*B29</f>
        <v>0</v>
      </c>
      <c r="E30">
        <f>E26*B29</f>
        <v>0</v>
      </c>
      <c r="F30">
        <f>F26*B29</f>
        <v>0</v>
      </c>
      <c r="G30">
        <f>G26*B29</f>
        <v>0</v>
      </c>
      <c r="H30">
        <f>H26*B29</f>
        <v>0</v>
      </c>
      <c r="I30" s="7" t="s">
        <v>891</v>
      </c>
      <c r="J3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 s="10">
        <f>C30-C29</f>
        <v>-122</v>
      </c>
      <c r="D31">
        <f>D30-D29</f>
        <v>0</v>
      </c>
      <c r="E31">
        <f>E30-E29</f>
        <v>0</v>
      </c>
      <c r="F31">
        <f>F30-F29</f>
        <v>0</v>
      </c>
      <c r="G31">
        <f>G30-G29</f>
        <v>0</v>
      </c>
      <c r="H31">
        <f>H30-H29</f>
        <v>0</v>
      </c>
      <c r="I31" s="7" t="s">
        <v>892</v>
      </c>
      <c r="J31">
        <f>J30-J29</f>
        <v>0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7" t="s">
        <v>685</v>
      </c>
      <c r="C32" s="10">
        <v>5</v>
      </c>
      <c r="G32" s="10">
        <v>140</v>
      </c>
      <c r="H32" s="20">
        <v>0.01</v>
      </c>
      <c r="I32" s="20">
        <v>1.2999999999999999E-2</v>
      </c>
      <c r="J32" s="20">
        <v>1.4999999999999999E-2</v>
      </c>
    </row>
    <row r="33" spans="1:14" x14ac:dyDescent="0.25">
      <c r="A33" s="7"/>
      <c r="C33" s="10">
        <f>SUM(C26,C29)</f>
        <v>125</v>
      </c>
      <c r="D33" s="58">
        <f>SUM(D26,D29)</f>
        <v>11</v>
      </c>
      <c r="E33" s="58">
        <f>SUM(E26,E29)</f>
        <v>10</v>
      </c>
      <c r="F33">
        <f>SUM(F26,F29)</f>
        <v>0</v>
      </c>
      <c r="G33" s="10">
        <f>SUM(G26,G29)</f>
        <v>9</v>
      </c>
      <c r="H33" s="20">
        <f>SUM(H26,H29)</f>
        <v>9</v>
      </c>
      <c r="I33" s="20">
        <f>SUM(I26,I29)</f>
        <v>8</v>
      </c>
      <c r="J33" s="20">
        <f>SUM(J26,J29)</f>
        <v>8</v>
      </c>
      <c r="K33" s="58">
        <f>SUM(K26,K29)</f>
        <v>7</v>
      </c>
      <c r="L33" s="58">
        <f>SUM(L26,L29)</f>
        <v>7</v>
      </c>
      <c r="M33" s="58">
        <f>SUM(M26,M29)</f>
        <v>6</v>
      </c>
    </row>
    <row r="34" spans="1:14" x14ac:dyDescent="0.25">
      <c r="A34" s="7"/>
      <c r="C34" s="10">
        <f>C33-C32</f>
        <v>120</v>
      </c>
      <c r="D34" s="58">
        <f>D33-D32</f>
        <v>11</v>
      </c>
      <c r="E34" s="58">
        <f>E33-E32</f>
        <v>10</v>
      </c>
      <c r="F34">
        <f>F33-F32</f>
        <v>0</v>
      </c>
      <c r="G34" s="10">
        <f>G33-G32</f>
        <v>-131</v>
      </c>
      <c r="H34" s="20">
        <f>H33-H32</f>
        <v>8.99</v>
      </c>
      <c r="I34" s="20">
        <f>I33-I32</f>
        <v>7.9870000000000001</v>
      </c>
      <c r="J34" s="20">
        <f>J33-J32</f>
        <v>7.9850000000000003</v>
      </c>
      <c r="K34" s="58">
        <f>K33-K32</f>
        <v>7</v>
      </c>
      <c r="L34" s="58">
        <f>L33-L32</f>
        <v>7</v>
      </c>
      <c r="M34" s="58">
        <f>M33-M32</f>
        <v>6</v>
      </c>
    </row>
    <row r="35" spans="1:14" x14ac:dyDescent="0.25">
      <c r="A35" s="6" t="s">
        <v>218</v>
      </c>
      <c r="C35" s="13">
        <v>127</v>
      </c>
      <c r="G35" s="20">
        <v>0.02</v>
      </c>
      <c r="H35" s="10">
        <v>89</v>
      </c>
      <c r="I35" s="10">
        <v>111</v>
      </c>
      <c r="J35" s="10">
        <v>134</v>
      </c>
    </row>
    <row r="36" spans="1:14" x14ac:dyDescent="0.25">
      <c r="A36" s="7" t="s">
        <v>121</v>
      </c>
      <c r="B36" s="5" t="s">
        <v>122</v>
      </c>
      <c r="C36" s="10">
        <v>11</v>
      </c>
      <c r="E36" s="7" t="s">
        <v>298</v>
      </c>
      <c r="G36" s="20">
        <v>0.03</v>
      </c>
      <c r="H36" s="10">
        <v>92</v>
      </c>
      <c r="I36" s="10">
        <v>115</v>
      </c>
      <c r="J36" s="10">
        <v>138</v>
      </c>
    </row>
    <row r="37" spans="1:14" x14ac:dyDescent="0.25">
      <c r="A37" s="7"/>
      <c r="B37" s="5"/>
      <c r="C37" s="10">
        <f>SUM(C32,C35)</f>
        <v>132</v>
      </c>
      <c r="D37">
        <f>SUM(D32,D35)</f>
        <v>0</v>
      </c>
      <c r="E37" s="7" t="s">
        <v>947</v>
      </c>
      <c r="F37">
        <f>SUM(F32,F35)</f>
        <v>0</v>
      </c>
      <c r="G37" s="20">
        <f>SUM(G32,G35)</f>
        <v>140.02000000000001</v>
      </c>
      <c r="H37" s="10">
        <f>SUM(H32,H35)</f>
        <v>89.01</v>
      </c>
      <c r="I37" s="10">
        <f>SUM(I32,I35)</f>
        <v>111.01300000000001</v>
      </c>
      <c r="J37" s="10">
        <f>SUM(J32,J35)</f>
        <v>134.01499999999999</v>
      </c>
      <c r="K37">
        <f>SUM(K32,K35)</f>
        <v>0</v>
      </c>
      <c r="L37">
        <f>SUM(L32,L35)</f>
        <v>0</v>
      </c>
      <c r="M37">
        <f>SUM(M32,M35)</f>
        <v>0</v>
      </c>
    </row>
    <row r="38" spans="1:14" x14ac:dyDescent="0.25">
      <c r="A38" s="7"/>
      <c r="B38" s="5"/>
      <c r="C38" s="10">
        <f>C37-C36</f>
        <v>121</v>
      </c>
      <c r="D38">
        <f>D37-D36</f>
        <v>0</v>
      </c>
      <c r="E38" s="7" t="s">
        <v>948</v>
      </c>
      <c r="F38">
        <f>F37-F36</f>
        <v>0</v>
      </c>
      <c r="G38" s="20">
        <f>G37-G36</f>
        <v>139.99</v>
      </c>
      <c r="H38" s="10">
        <f>H37-H36</f>
        <v>-2.9899999999999949</v>
      </c>
      <c r="I38" s="10">
        <f>I37-I36</f>
        <v>-3.9869999999999948</v>
      </c>
      <c r="J38" s="10">
        <f>J37-J36</f>
        <v>-3.9850000000000136</v>
      </c>
      <c r="K38">
        <f>K37-K36</f>
        <v>0</v>
      </c>
      <c r="L38">
        <f>L37-L36</f>
        <v>0</v>
      </c>
      <c r="M38">
        <f>M37-M36</f>
        <v>0</v>
      </c>
    </row>
    <row r="39" spans="1:14" x14ac:dyDescent="0.25">
      <c r="A39" s="6" t="s">
        <v>219</v>
      </c>
      <c r="C39" s="13">
        <v>140</v>
      </c>
      <c r="G39" s="20">
        <v>0.04</v>
      </c>
      <c r="H39" s="10">
        <v>95</v>
      </c>
      <c r="I39" s="10">
        <v>119</v>
      </c>
      <c r="J39" s="10">
        <v>143</v>
      </c>
    </row>
    <row r="40" spans="1:14" x14ac:dyDescent="0.25">
      <c r="A40" s="7" t="s">
        <v>637</v>
      </c>
      <c r="D40" s="20">
        <v>2.8000000000000001E-2</v>
      </c>
      <c r="E40" s="20">
        <v>3.7999999999999999E-2</v>
      </c>
      <c r="G40" s="20">
        <v>0.04</v>
      </c>
      <c r="H40" s="20">
        <v>3.7999999999999999E-2</v>
      </c>
      <c r="I40" s="20">
        <v>4.2000000000000003E-2</v>
      </c>
      <c r="J40" s="20">
        <v>4.3999999999999997E-2</v>
      </c>
      <c r="K40" s="20">
        <v>4.3999999999999997E-2</v>
      </c>
      <c r="L40" s="20">
        <v>0.03</v>
      </c>
      <c r="M40" s="20">
        <v>0.03</v>
      </c>
    </row>
    <row r="41" spans="1:14" x14ac:dyDescent="0.25">
      <c r="A41" s="7"/>
      <c r="C41">
        <f>C36*C39</f>
        <v>1540</v>
      </c>
      <c r="D41" s="20">
        <f>D36*D39</f>
        <v>0</v>
      </c>
      <c r="E41" s="20" t="e">
        <f>E36*E39</f>
        <v>#VALUE!</v>
      </c>
      <c r="F41">
        <f>F36*F39</f>
        <v>0</v>
      </c>
      <c r="G41" s="20">
        <f>G36*G39</f>
        <v>1.1999999999999999E-3</v>
      </c>
      <c r="H41" s="20">
        <f>H36*H39</f>
        <v>8740</v>
      </c>
      <c r="I41" s="20">
        <f>I36*I39</f>
        <v>13685</v>
      </c>
      <c r="J41" s="20">
        <f>J36*J39</f>
        <v>19734</v>
      </c>
      <c r="K41" s="20">
        <f>K36*K39</f>
        <v>0</v>
      </c>
      <c r="L41" s="20">
        <f>L36*L39</f>
        <v>0</v>
      </c>
      <c r="M41" s="20">
        <f>M36*M39</f>
        <v>0</v>
      </c>
    </row>
    <row r="42" spans="1:14" x14ac:dyDescent="0.25">
      <c r="A42" s="7"/>
      <c r="C42">
        <f>C41-C40</f>
        <v>1540</v>
      </c>
      <c r="D42" s="20">
        <f>D41-D40</f>
        <v>-2.8000000000000001E-2</v>
      </c>
      <c r="E42" s="20" t="e">
        <f>E41-E40</f>
        <v>#VALUE!</v>
      </c>
      <c r="F42">
        <f>F41-F40</f>
        <v>0</v>
      </c>
      <c r="G42" s="20">
        <f>G41-G40</f>
        <v>-3.8800000000000001E-2</v>
      </c>
      <c r="H42" s="20">
        <f>H41-H40</f>
        <v>8739.9619999999995</v>
      </c>
      <c r="I42" s="20">
        <f>I41-I40</f>
        <v>13684.958000000001</v>
      </c>
      <c r="J42" s="20">
        <f>J41-J40</f>
        <v>19733.955999999998</v>
      </c>
      <c r="K42" s="20">
        <f>K41-K40</f>
        <v>-4.3999999999999997E-2</v>
      </c>
      <c r="L42" s="20">
        <f>L41-L40</f>
        <v>-0.03</v>
      </c>
      <c r="M42" s="20">
        <f>M41-M40</f>
        <v>-0.03</v>
      </c>
    </row>
    <row r="43" spans="1:14" x14ac:dyDescent="0.25">
      <c r="A43" s="16" t="s">
        <v>127</v>
      </c>
    </row>
    <row r="44" spans="1:14" x14ac:dyDescent="0.25">
      <c r="A44" s="7" t="s">
        <v>227</v>
      </c>
    </row>
    <row r="45" spans="1:14" x14ac:dyDescent="0.25">
      <c r="A45" s="16" t="s">
        <v>61</v>
      </c>
    </row>
    <row r="46" spans="1:14" ht="15.75" x14ac:dyDescent="0.25">
      <c r="A46" s="4" t="s">
        <v>62</v>
      </c>
      <c r="N46" s="30" t="s">
        <v>63</v>
      </c>
    </row>
    <row r="47" spans="1:14" x14ac:dyDescent="0.25">
      <c r="F47" s="5" t="s">
        <v>6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2:N42"/>
  <sheetViews>
    <sheetView workbookViewId="0"/>
  </sheetViews>
  <sheetFormatPr defaultRowHeight="15" x14ac:dyDescent="0.25"/>
  <cols>
    <col min="1" max="1" width="75" bestFit="1" customWidth="1"/>
  </cols>
  <sheetData>
    <row r="2" spans="1:14" x14ac:dyDescent="0.25">
      <c r="A2" s="6" t="s">
        <v>1</v>
      </c>
      <c r="N2" s="7" t="s">
        <v>686</v>
      </c>
    </row>
    <row r="3" spans="1:14" x14ac:dyDescent="0.25">
      <c r="A3" s="6" t="s">
        <v>9</v>
      </c>
    </row>
    <row r="4" spans="1:14" x14ac:dyDescent="0.25">
      <c r="A4" s="6" t="s">
        <v>678</v>
      </c>
    </row>
    <row r="5" spans="1:14" x14ac:dyDescent="0.25">
      <c r="A5" s="6" t="s">
        <v>11</v>
      </c>
    </row>
    <row r="6" spans="1:14" x14ac:dyDescent="0.25">
      <c r="G6" s="9" t="s">
        <v>96</v>
      </c>
    </row>
    <row r="7" spans="1:14" x14ac:dyDescent="0.25">
      <c r="A7" s="8" t="s">
        <v>12</v>
      </c>
      <c r="C7" s="9" t="s">
        <v>202</v>
      </c>
      <c r="D7" s="9" t="s">
        <v>229</v>
      </c>
      <c r="E7" s="9" t="s">
        <v>230</v>
      </c>
      <c r="G7" s="9" t="s">
        <v>231</v>
      </c>
      <c r="H7" s="9" t="s">
        <v>232</v>
      </c>
      <c r="I7" s="9" t="s">
        <v>233</v>
      </c>
      <c r="J7" s="9" t="s">
        <v>234</v>
      </c>
      <c r="K7" s="9" t="s">
        <v>235</v>
      </c>
      <c r="L7" s="9" t="s">
        <v>236</v>
      </c>
      <c r="M7" s="9" t="s">
        <v>237</v>
      </c>
    </row>
    <row r="8" spans="1:14" x14ac:dyDescent="0.25">
      <c r="A8" s="7" t="s">
        <v>681</v>
      </c>
      <c r="C8" s="14">
        <v>1389</v>
      </c>
      <c r="D8" s="14">
        <v>1430</v>
      </c>
      <c r="E8" s="14">
        <v>1473</v>
      </c>
      <c r="G8" s="14">
        <v>1518</v>
      </c>
      <c r="H8" s="14">
        <v>1563</v>
      </c>
      <c r="I8" s="14">
        <v>1610</v>
      </c>
      <c r="J8" s="14">
        <v>1658</v>
      </c>
      <c r="K8" s="14">
        <v>1708</v>
      </c>
      <c r="L8" s="14">
        <v>1759</v>
      </c>
      <c r="M8" s="14">
        <v>1812</v>
      </c>
    </row>
    <row r="9" spans="1:14" x14ac:dyDescent="0.25">
      <c r="A9" s="7" t="s">
        <v>682</v>
      </c>
      <c r="C9" s="10">
        <v>1</v>
      </c>
      <c r="D9" s="10">
        <v>1</v>
      </c>
      <c r="E9" s="10">
        <v>2</v>
      </c>
      <c r="G9" s="10">
        <v>2</v>
      </c>
      <c r="H9" s="10">
        <v>2</v>
      </c>
      <c r="I9" s="10">
        <v>2</v>
      </c>
      <c r="J9" s="10">
        <v>2</v>
      </c>
      <c r="K9" s="10">
        <v>2</v>
      </c>
      <c r="L9" s="10">
        <v>2</v>
      </c>
      <c r="M9" s="10">
        <v>2</v>
      </c>
    </row>
    <row r="10" spans="1:14" x14ac:dyDescent="0.25">
      <c r="A10" s="6" t="s">
        <v>683</v>
      </c>
      <c r="C10" s="12">
        <v>1389</v>
      </c>
      <c r="D10" s="12">
        <v>1430</v>
      </c>
      <c r="E10" s="12">
        <v>1473</v>
      </c>
      <c r="G10" s="12">
        <v>1518</v>
      </c>
      <c r="H10" s="12">
        <v>1563</v>
      </c>
      <c r="I10" s="12">
        <v>1610</v>
      </c>
      <c r="J10" s="12">
        <v>1658</v>
      </c>
      <c r="K10" s="12">
        <v>1708</v>
      </c>
      <c r="L10" s="12">
        <v>1759</v>
      </c>
      <c r="M10" s="12">
        <v>1812</v>
      </c>
    </row>
    <row r="11" spans="1:14" x14ac:dyDescent="0.25">
      <c r="A11" s="6"/>
      <c r="C11" s="12">
        <f>SUM(C8:C9)</f>
        <v>1390</v>
      </c>
      <c r="D11" s="12">
        <f>SUM(D8:D9)</f>
        <v>1431</v>
      </c>
      <c r="E11" s="12">
        <f>SUM(E8:E9)</f>
        <v>1475</v>
      </c>
      <c r="F11">
        <f>SUM(F8:F9)</f>
        <v>0</v>
      </c>
      <c r="G11" s="12">
        <f>SUM(G8:G9)</f>
        <v>1520</v>
      </c>
      <c r="H11" s="12">
        <f>SUM(H8:H9)</f>
        <v>1565</v>
      </c>
      <c r="I11" s="12">
        <f>SUM(I8:I9)</f>
        <v>1612</v>
      </c>
      <c r="J11" s="12">
        <f>SUM(J8:J9)</f>
        <v>1660</v>
      </c>
      <c r="K11" s="12">
        <f>SUM(K8:K9)</f>
        <v>1710</v>
      </c>
      <c r="L11" s="12">
        <f>SUM(L8:L9)</f>
        <v>1761</v>
      </c>
      <c r="M11" s="12">
        <f>SUM(M8:M9)</f>
        <v>1814</v>
      </c>
    </row>
    <row r="12" spans="1:14" x14ac:dyDescent="0.25">
      <c r="A12" s="6"/>
      <c r="C12" s="12">
        <f>C11-C10</f>
        <v>1</v>
      </c>
      <c r="D12" s="12">
        <f>D11-D10</f>
        <v>1</v>
      </c>
      <c r="E12" s="12">
        <f>E11-E10</f>
        <v>2</v>
      </c>
      <c r="F12">
        <f>F11-F10</f>
        <v>0</v>
      </c>
      <c r="G12" s="12">
        <f>G11-G10</f>
        <v>2</v>
      </c>
      <c r="H12" s="12">
        <f>H11-H10</f>
        <v>2</v>
      </c>
      <c r="I12" s="12">
        <f>I11-I10</f>
        <v>2</v>
      </c>
      <c r="J12" s="12">
        <f>J11-J10</f>
        <v>2</v>
      </c>
      <c r="K12" s="12">
        <f>K11-K10</f>
        <v>2</v>
      </c>
      <c r="L12" s="12">
        <f>L11-L10</f>
        <v>2</v>
      </c>
      <c r="M12" s="12">
        <f>M11-M10</f>
        <v>2</v>
      </c>
    </row>
    <row r="13" spans="1:14" x14ac:dyDescent="0.25">
      <c r="A13" s="7" t="s">
        <v>314</v>
      </c>
      <c r="B13" s="20">
        <v>1.4999999999999999E-2</v>
      </c>
      <c r="C13" s="10">
        <v>21</v>
      </c>
      <c r="D13" s="10">
        <v>21</v>
      </c>
      <c r="E13" s="10">
        <v>22</v>
      </c>
      <c r="G13" s="10">
        <v>23</v>
      </c>
      <c r="H13" s="10">
        <v>23</v>
      </c>
      <c r="I13" s="10">
        <v>24</v>
      </c>
      <c r="J13" s="10">
        <v>25</v>
      </c>
      <c r="K13" s="10">
        <v>26</v>
      </c>
      <c r="L13" s="10">
        <v>26</v>
      </c>
      <c r="M13" s="10">
        <v>27</v>
      </c>
    </row>
    <row r="14" spans="1:14" x14ac:dyDescent="0.25">
      <c r="A14" s="6" t="s">
        <v>315</v>
      </c>
      <c r="C14" s="10">
        <v>21</v>
      </c>
      <c r="D14" s="10">
        <v>21</v>
      </c>
      <c r="E14" s="10">
        <v>22</v>
      </c>
      <c r="G14" s="10">
        <v>23</v>
      </c>
      <c r="H14" s="10">
        <v>23</v>
      </c>
      <c r="I14" s="10">
        <v>24</v>
      </c>
      <c r="J14" s="10">
        <v>25</v>
      </c>
      <c r="K14" s="10">
        <v>26</v>
      </c>
      <c r="L14" s="10">
        <v>26</v>
      </c>
      <c r="M14" s="10">
        <v>27</v>
      </c>
    </row>
    <row r="15" spans="1:14" x14ac:dyDescent="0.25">
      <c r="A15" s="6"/>
      <c r="C15" s="10">
        <f>C10*C13</f>
        <v>29169</v>
      </c>
      <c r="D15" s="10">
        <f>D10*D13</f>
        <v>30030</v>
      </c>
      <c r="E15" s="10">
        <f>E10*E13</f>
        <v>32406</v>
      </c>
      <c r="F15">
        <f>F10*F13</f>
        <v>0</v>
      </c>
      <c r="G15" s="10">
        <f>G10*G13</f>
        <v>34914</v>
      </c>
      <c r="H15" s="10">
        <f>H10*H13</f>
        <v>35949</v>
      </c>
      <c r="I15" s="10">
        <f>I10*I13</f>
        <v>38640</v>
      </c>
      <c r="J15" s="10">
        <f>J10*J13</f>
        <v>41450</v>
      </c>
      <c r="K15" s="10">
        <f>K10*K13</f>
        <v>44408</v>
      </c>
      <c r="L15" s="10">
        <f>L10*L13</f>
        <v>45734</v>
      </c>
      <c r="M15" s="10">
        <f>M10*M13</f>
        <v>48924</v>
      </c>
    </row>
    <row r="16" spans="1:14" x14ac:dyDescent="0.25">
      <c r="A16" s="6"/>
      <c r="C16" s="10">
        <f>C15-C14</f>
        <v>29148</v>
      </c>
      <c r="D16" s="10">
        <f>D15-D14</f>
        <v>30009</v>
      </c>
      <c r="E16" s="10">
        <f>E15-E14</f>
        <v>32384</v>
      </c>
      <c r="F16">
        <f>F15-F14</f>
        <v>0</v>
      </c>
      <c r="G16" s="10">
        <f>G15-G14</f>
        <v>34891</v>
      </c>
      <c r="H16" s="10">
        <f>H15-H14</f>
        <v>35926</v>
      </c>
      <c r="I16" s="10">
        <f>I15-I14</f>
        <v>38616</v>
      </c>
      <c r="J16" s="10">
        <f>J15-J14</f>
        <v>41425</v>
      </c>
      <c r="K16" s="10">
        <f>K15-K14</f>
        <v>44382</v>
      </c>
      <c r="L16" s="10">
        <f>L15-L14</f>
        <v>45708</v>
      </c>
      <c r="M16" s="10">
        <f>M15-M14</f>
        <v>48897</v>
      </c>
    </row>
    <row r="17" spans="1:13" x14ac:dyDescent="0.25">
      <c r="A17" s="7" t="s">
        <v>109</v>
      </c>
      <c r="B17" s="20">
        <v>0.218</v>
      </c>
      <c r="C17" s="19">
        <v>-5</v>
      </c>
      <c r="D17" s="19">
        <v>-5</v>
      </c>
      <c r="E17" s="19">
        <v>-5</v>
      </c>
      <c r="G17" s="19">
        <v>-5</v>
      </c>
      <c r="H17" s="19">
        <v>-5</v>
      </c>
      <c r="I17" s="19">
        <v>-5</v>
      </c>
      <c r="J17" s="19">
        <v>-5</v>
      </c>
      <c r="K17" s="19">
        <v>-6</v>
      </c>
      <c r="L17" s="19">
        <v>-6</v>
      </c>
      <c r="M17" s="19">
        <v>-6</v>
      </c>
    </row>
    <row r="18" spans="1:13" x14ac:dyDescent="0.25">
      <c r="A18" s="6" t="s">
        <v>316</v>
      </c>
      <c r="C18" s="10">
        <v>16</v>
      </c>
      <c r="D18" s="10">
        <v>17</v>
      </c>
      <c r="E18" s="10">
        <v>17</v>
      </c>
      <c r="G18" s="10">
        <v>18</v>
      </c>
      <c r="H18" s="10">
        <v>18</v>
      </c>
      <c r="I18" s="10">
        <v>19</v>
      </c>
      <c r="J18" s="10">
        <v>19</v>
      </c>
      <c r="K18" s="10">
        <v>20</v>
      </c>
      <c r="L18" s="10">
        <v>21</v>
      </c>
      <c r="M18" s="10">
        <v>21</v>
      </c>
    </row>
    <row r="19" spans="1:13" x14ac:dyDescent="0.25">
      <c r="A19" s="7" t="s">
        <v>115</v>
      </c>
      <c r="B19" s="20">
        <v>0.11</v>
      </c>
      <c r="C19" s="23">
        <v>0.36170000000000002</v>
      </c>
      <c r="D19" s="23">
        <v>0.32590000000000002</v>
      </c>
      <c r="E19" s="23">
        <v>0.29360000000000003</v>
      </c>
      <c r="G19" s="23">
        <v>0.26450000000000001</v>
      </c>
      <c r="H19" s="23">
        <v>0.23830000000000001</v>
      </c>
      <c r="I19" s="23">
        <v>0.2147</v>
      </c>
      <c r="J19" s="23">
        <v>0.19339999999999999</v>
      </c>
      <c r="K19" s="23">
        <v>0.17419999999999999</v>
      </c>
      <c r="L19" s="24">
        <v>0.157</v>
      </c>
      <c r="M19" s="23">
        <v>0.1414</v>
      </c>
    </row>
    <row r="20" spans="1:13" x14ac:dyDescent="0.25">
      <c r="A20" s="6" t="s">
        <v>317</v>
      </c>
      <c r="C20" s="10">
        <v>6</v>
      </c>
      <c r="D20" s="10">
        <v>5</v>
      </c>
      <c r="E20" s="10">
        <v>5</v>
      </c>
      <c r="G20" s="10">
        <v>5</v>
      </c>
      <c r="H20" s="10">
        <v>4</v>
      </c>
      <c r="I20" s="10">
        <v>4</v>
      </c>
      <c r="J20" s="10">
        <v>4</v>
      </c>
      <c r="K20" s="10">
        <v>3</v>
      </c>
      <c r="L20" s="10">
        <v>3</v>
      </c>
      <c r="M20" s="10">
        <v>3</v>
      </c>
    </row>
    <row r="21" spans="1:13" x14ac:dyDescent="0.25">
      <c r="A21" s="6"/>
      <c r="C21" s="10">
        <f>SUM(C18,C19)</f>
        <v>16.361699999999999</v>
      </c>
      <c r="D21" s="10">
        <f>SUM(D18,D19)</f>
        <v>17.325900000000001</v>
      </c>
      <c r="E21" s="10">
        <f>SUM(E18,E19)</f>
        <v>17.293600000000001</v>
      </c>
      <c r="F21">
        <f>SUM(F18,F19)</f>
        <v>0</v>
      </c>
      <c r="G21" s="10">
        <f>SUM(G18,G19)</f>
        <v>18.264500000000002</v>
      </c>
      <c r="H21" s="10">
        <f>SUM(H18,H19)</f>
        <v>18.238299999999999</v>
      </c>
      <c r="I21" s="10">
        <f>SUM(I18,I19)</f>
        <v>19.214700000000001</v>
      </c>
      <c r="J21" s="10">
        <f>SUM(J18,J19)</f>
        <v>19.1934</v>
      </c>
      <c r="K21" s="10">
        <f>SUM(K18,K19)</f>
        <v>20.174199999999999</v>
      </c>
      <c r="L21" s="10">
        <f>SUM(L18,L19)</f>
        <v>21.157</v>
      </c>
      <c r="M21" s="10">
        <f>SUM(M18,M19)</f>
        <v>21.141400000000001</v>
      </c>
    </row>
    <row r="22" spans="1:13" x14ac:dyDescent="0.25">
      <c r="A22" s="6"/>
      <c r="C22" s="10">
        <f>C21-C20</f>
        <v>10.361699999999999</v>
      </c>
      <c r="D22" s="10">
        <f>D21-D20</f>
        <v>12.325900000000001</v>
      </c>
      <c r="E22" s="10">
        <f>E21-E20</f>
        <v>12.293600000000001</v>
      </c>
      <c r="F22">
        <f>F21-F20</f>
        <v>0</v>
      </c>
      <c r="G22" s="10">
        <f>G21-G20</f>
        <v>13.264500000000002</v>
      </c>
      <c r="H22" s="10">
        <f>H21-H20</f>
        <v>14.238299999999999</v>
      </c>
      <c r="I22" s="10">
        <f>I21-I20</f>
        <v>15.214700000000001</v>
      </c>
      <c r="J22" s="10">
        <f>J21-J20</f>
        <v>15.1934</v>
      </c>
      <c r="K22" s="10">
        <f>K21-K20</f>
        <v>17.174199999999999</v>
      </c>
      <c r="L22" s="10">
        <f>L21-L20</f>
        <v>18.157</v>
      </c>
      <c r="M22" s="10">
        <f>M21-M20</f>
        <v>18.141400000000001</v>
      </c>
    </row>
    <row r="23" spans="1:13" x14ac:dyDescent="0.25">
      <c r="A23" s="7" t="s">
        <v>637</v>
      </c>
      <c r="C23" s="20">
        <v>0.03</v>
      </c>
      <c r="D23" s="20">
        <v>0.03</v>
      </c>
      <c r="E23" s="20">
        <v>0.03</v>
      </c>
      <c r="G23" s="20">
        <v>0.03</v>
      </c>
      <c r="H23" s="20">
        <v>0.03</v>
      </c>
      <c r="I23" s="20">
        <v>0.03</v>
      </c>
      <c r="J23" s="20">
        <v>0.03</v>
      </c>
      <c r="K23" s="20">
        <v>0.03</v>
      </c>
      <c r="L23" s="20">
        <v>0.03</v>
      </c>
      <c r="M23" s="20">
        <v>0.03</v>
      </c>
    </row>
    <row r="24" spans="1:13" x14ac:dyDescent="0.25">
      <c r="A24" s="7"/>
      <c r="C24" s="20">
        <f>C10*B23</f>
        <v>0</v>
      </c>
      <c r="D24" s="20">
        <f>D10*B23</f>
        <v>0</v>
      </c>
      <c r="E24" s="20">
        <f>E10*B23</f>
        <v>0</v>
      </c>
      <c r="F24">
        <f>F10*B23</f>
        <v>0</v>
      </c>
      <c r="G24" s="20">
        <f>G10*B23</f>
        <v>0</v>
      </c>
      <c r="H24" s="20">
        <f>H10*B23</f>
        <v>0</v>
      </c>
      <c r="I24" s="20">
        <f>I10*B23</f>
        <v>0</v>
      </c>
      <c r="J24" s="20">
        <f>J10*B23</f>
        <v>0</v>
      </c>
      <c r="K24" s="20">
        <f>K10*B23</f>
        <v>0</v>
      </c>
      <c r="L24" s="20">
        <f>L10*B23</f>
        <v>0</v>
      </c>
      <c r="M24" s="20">
        <f>M10*B23</f>
        <v>0</v>
      </c>
    </row>
    <row r="25" spans="1:13" x14ac:dyDescent="0.25">
      <c r="A25" s="7"/>
      <c r="C25" s="20">
        <f>C24-C23</f>
        <v>-0.03</v>
      </c>
      <c r="D25" s="20">
        <f>D24-D23</f>
        <v>-0.03</v>
      </c>
      <c r="E25" s="20">
        <f>E24-E23</f>
        <v>-0.03</v>
      </c>
      <c r="F25">
        <f>F24-F23</f>
        <v>0</v>
      </c>
      <c r="G25" s="20">
        <f>G24-G23</f>
        <v>-0.03</v>
      </c>
      <c r="H25" s="20">
        <f>H24-H23</f>
        <v>-0.03</v>
      </c>
      <c r="I25" s="20">
        <f>I24-I23</f>
        <v>-0.03</v>
      </c>
      <c r="J25" s="20">
        <f>J24-J23</f>
        <v>-0.03</v>
      </c>
      <c r="K25" s="20">
        <f>K24-K23</f>
        <v>-0.03</v>
      </c>
      <c r="L25" s="20">
        <f>L24-L23</f>
        <v>-0.03</v>
      </c>
      <c r="M25" s="20">
        <f>M24-M23</f>
        <v>-0.03</v>
      </c>
    </row>
    <row r="26" spans="1:13" x14ac:dyDescent="0.25">
      <c r="A26" s="16" t="s">
        <v>127</v>
      </c>
    </row>
    <row r="27" spans="1:13" x14ac:dyDescent="0.25">
      <c r="A27" s="16"/>
      <c r="C27" s="58">
        <f>SUM(C20,C23)</f>
        <v>6.03</v>
      </c>
      <c r="D27" s="58">
        <f>SUM(D20,D23)</f>
        <v>5.03</v>
      </c>
      <c r="E27" s="58">
        <f>SUM(E20,E23)</f>
        <v>5.03</v>
      </c>
      <c r="F27">
        <f>SUM(F20,F23)</f>
        <v>0</v>
      </c>
      <c r="G27" s="58">
        <f>SUM(G20,G23)</f>
        <v>5.03</v>
      </c>
      <c r="H27" s="58">
        <f>SUM(H20,H23)</f>
        <v>4.03</v>
      </c>
      <c r="I27" s="58">
        <f>SUM(I20,I23)</f>
        <v>4.03</v>
      </c>
      <c r="J27" s="58">
        <f>SUM(J20,J23)</f>
        <v>4.03</v>
      </c>
      <c r="K27" s="58">
        <f>SUM(K20,K23)</f>
        <v>3.03</v>
      </c>
      <c r="L27" s="58">
        <f>SUM(L20,L23)</f>
        <v>3.03</v>
      </c>
      <c r="M27" s="58">
        <f>SUM(M20,M23)</f>
        <v>3.03</v>
      </c>
    </row>
    <row r="28" spans="1:13" x14ac:dyDescent="0.25">
      <c r="A28" s="16"/>
      <c r="C28" s="58">
        <f>C27-C26</f>
        <v>6.03</v>
      </c>
      <c r="D28" s="58">
        <f>D27-D26</f>
        <v>5.03</v>
      </c>
      <c r="E28" s="58">
        <f>E27-E26</f>
        <v>5.03</v>
      </c>
      <c r="F28">
        <f>F27-F26</f>
        <v>0</v>
      </c>
      <c r="G28" s="58">
        <f>G27-G26</f>
        <v>5.03</v>
      </c>
      <c r="H28" s="58">
        <f>H27-H26</f>
        <v>4.03</v>
      </c>
      <c r="I28" s="58">
        <f>I27-I26</f>
        <v>4.03</v>
      </c>
      <c r="J28" s="58">
        <f>J27-J26</f>
        <v>4.03</v>
      </c>
      <c r="K28" s="58">
        <f>K27-K26</f>
        <v>3.03</v>
      </c>
      <c r="L28" s="58">
        <f>L27-L26</f>
        <v>3.03</v>
      </c>
      <c r="M28" s="58">
        <f>M27-M26</f>
        <v>3.03</v>
      </c>
    </row>
    <row r="29" spans="1:13" x14ac:dyDescent="0.25">
      <c r="A29" s="16" t="s">
        <v>61</v>
      </c>
    </row>
    <row r="30" spans="1:13" x14ac:dyDescent="0.25">
      <c r="A30" s="16"/>
      <c r="C30">
        <f>C26*B29</f>
        <v>0</v>
      </c>
      <c r="D30">
        <f>D26*B29</f>
        <v>0</v>
      </c>
      <c r="E30">
        <f>E26*B29</f>
        <v>0</v>
      </c>
      <c r="F30">
        <f>F26*B29</f>
        <v>0</v>
      </c>
      <c r="G30">
        <f>G26*B29</f>
        <v>0</v>
      </c>
      <c r="H30">
        <f>H26*B29</f>
        <v>0</v>
      </c>
      <c r="I30">
        <f>I26*B29</f>
        <v>0</v>
      </c>
      <c r="J3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16"/>
      <c r="C31">
        <f>C30-C29</f>
        <v>0</v>
      </c>
      <c r="D31">
        <f>D30-D29</f>
        <v>0</v>
      </c>
      <c r="E31">
        <f>E30-E29</f>
        <v>0</v>
      </c>
      <c r="F31">
        <f>F30-F29</f>
        <v>0</v>
      </c>
      <c r="G31">
        <f>G30-G29</f>
        <v>0</v>
      </c>
      <c r="H31">
        <f>H30-H29</f>
        <v>0</v>
      </c>
      <c r="I31">
        <f>I30-I29</f>
        <v>0</v>
      </c>
      <c r="J31">
        <f>J30-J29</f>
        <v>0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4" t="s">
        <v>62</v>
      </c>
    </row>
    <row r="33" spans="1:13" x14ac:dyDescent="0.25">
      <c r="A33" s="4"/>
      <c r="C33">
        <f>SUM(C26,C29)</f>
        <v>0</v>
      </c>
      <c r="D33">
        <f>SUM(D26,D29)</f>
        <v>0</v>
      </c>
      <c r="E33">
        <f>SUM(E26,E29)</f>
        <v>0</v>
      </c>
      <c r="F33">
        <f>SUM(F26,F29)</f>
        <v>0</v>
      </c>
      <c r="G33">
        <f>SUM(G26,G29)</f>
        <v>0</v>
      </c>
      <c r="H33">
        <f>SUM(H26,H29)</f>
        <v>0</v>
      </c>
      <c r="I33">
        <f>SUM(I26,I29)</f>
        <v>0</v>
      </c>
      <c r="J33">
        <f>SUM(J26,J29)</f>
        <v>0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4"/>
      <c r="C34">
        <f>C33-C32</f>
        <v>0</v>
      </c>
      <c r="D34">
        <f>D33-D32</f>
        <v>0</v>
      </c>
      <c r="E34">
        <f>E33-E32</f>
        <v>0</v>
      </c>
      <c r="F34">
        <f>F33-F32</f>
        <v>0</v>
      </c>
      <c r="G34">
        <f>G33-G32</f>
        <v>0</v>
      </c>
      <c r="H34">
        <f>H33-H32</f>
        <v>0</v>
      </c>
      <c r="I34">
        <f>I33-I32</f>
        <v>0</v>
      </c>
      <c r="J34">
        <f>J33-J32</f>
        <v>0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F35" s="5" t="s">
        <v>6</v>
      </c>
    </row>
    <row r="37" spans="1:13" x14ac:dyDescent="0.25">
      <c r="C37">
        <f>SUM(C32,C35)</f>
        <v>0</v>
      </c>
      <c r="D37">
        <f>SUM(D32,D35)</f>
        <v>0</v>
      </c>
      <c r="E37">
        <f>SUM(E32,E35)</f>
        <v>0</v>
      </c>
      <c r="F37" s="56">
        <f>SUM(F32,F35)</f>
        <v>0</v>
      </c>
      <c r="G37">
        <f>SUM(G32,G35)</f>
        <v>0</v>
      </c>
      <c r="H37">
        <f>SUM(H32,H35)</f>
        <v>0</v>
      </c>
      <c r="I37">
        <f>SUM(I32,I35)</f>
        <v>0</v>
      </c>
      <c r="J37">
        <f>SUM(J32,J35)</f>
        <v>0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C38">
        <f>C37-C36</f>
        <v>0</v>
      </c>
      <c r="D38">
        <f>D37-D36</f>
        <v>0</v>
      </c>
      <c r="E38">
        <f>E37-E36</f>
        <v>0</v>
      </c>
      <c r="F38" s="56">
        <f>F37-F36</f>
        <v>0</v>
      </c>
      <c r="G38">
        <f>G37-G36</f>
        <v>0</v>
      </c>
      <c r="H38">
        <f>H37-H36</f>
        <v>0</v>
      </c>
      <c r="I38">
        <f>I37-I36</f>
        <v>0</v>
      </c>
      <c r="J38">
        <f>J37-J36</f>
        <v>0</v>
      </c>
      <c r="K38">
        <f>K37-K36</f>
        <v>0</v>
      </c>
      <c r="L38">
        <f>L37-L36</f>
        <v>0</v>
      </c>
      <c r="M38">
        <f>M37-M36</f>
        <v>0</v>
      </c>
    </row>
    <row r="41" spans="1:13" x14ac:dyDescent="0.25">
      <c r="C41">
        <f>C36*C39</f>
        <v>0</v>
      </c>
      <c r="D41">
        <f>D36*D39</f>
        <v>0</v>
      </c>
      <c r="E41">
        <f>E36*E39</f>
        <v>0</v>
      </c>
      <c r="F41">
        <f>F36*F39</f>
        <v>0</v>
      </c>
      <c r="G41">
        <f>G36*G39</f>
        <v>0</v>
      </c>
      <c r="H41">
        <f>H36*H39</f>
        <v>0</v>
      </c>
      <c r="I41">
        <f>I36*I39</f>
        <v>0</v>
      </c>
      <c r="J41">
        <f>J36*J39</f>
        <v>0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C42">
        <f>C41-C40</f>
        <v>0</v>
      </c>
      <c r="D42">
        <f>D41-D40</f>
        <v>0</v>
      </c>
      <c r="E42">
        <f>E41-E40</f>
        <v>0</v>
      </c>
      <c r="F42">
        <f>F41-F40</f>
        <v>0</v>
      </c>
      <c r="G42">
        <f>G41-G40</f>
        <v>0</v>
      </c>
      <c r="H42">
        <f>H41-H40</f>
        <v>0</v>
      </c>
      <c r="I42">
        <f>I41-I40</f>
        <v>0</v>
      </c>
      <c r="J42">
        <f>J41-J40</f>
        <v>0</v>
      </c>
      <c r="K42">
        <f>K41-K40</f>
        <v>0</v>
      </c>
      <c r="L42">
        <f>L41-L40</f>
        <v>0</v>
      </c>
      <c r="M42">
        <f>M41-M40</f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2:M51"/>
  <sheetViews>
    <sheetView workbookViewId="0"/>
  </sheetViews>
  <sheetFormatPr defaultRowHeight="15" x14ac:dyDescent="0.25"/>
  <cols>
    <col min="1" max="1" width="62.7109375" bestFit="1" customWidth="1"/>
  </cols>
  <sheetData>
    <row r="2" spans="1:13" x14ac:dyDescent="0.25">
      <c r="A2" s="18" t="s">
        <v>1</v>
      </c>
    </row>
    <row r="3" spans="1:13" x14ac:dyDescent="0.25">
      <c r="J3" s="7" t="s">
        <v>687</v>
      </c>
    </row>
    <row r="4" spans="1:13" x14ac:dyDescent="0.25">
      <c r="A4" s="18" t="s">
        <v>9</v>
      </c>
    </row>
    <row r="5" spans="1:13" x14ac:dyDescent="0.25">
      <c r="A5" s="18" t="s">
        <v>688</v>
      </c>
    </row>
    <row r="6" spans="1:13" x14ac:dyDescent="0.25">
      <c r="A6" s="18" t="s">
        <v>11</v>
      </c>
    </row>
    <row r="7" spans="1:13" x14ac:dyDescent="0.25">
      <c r="C7" s="9" t="s">
        <v>95</v>
      </c>
      <c r="F7" s="9" t="s">
        <v>96</v>
      </c>
    </row>
    <row r="8" spans="1:13" x14ac:dyDescent="0.25">
      <c r="A8" s="8" t="s">
        <v>12</v>
      </c>
      <c r="C8" s="9" t="s">
        <v>97</v>
      </c>
      <c r="D8" s="9" t="s">
        <v>98</v>
      </c>
      <c r="E8" s="9" t="s">
        <v>99</v>
      </c>
      <c r="F8" s="9" t="s">
        <v>100</v>
      </c>
      <c r="G8" s="9" t="s">
        <v>101</v>
      </c>
      <c r="H8" s="9" t="s">
        <v>102</v>
      </c>
      <c r="I8" s="9" t="s">
        <v>103</v>
      </c>
      <c r="J8" s="9" t="s">
        <v>104</v>
      </c>
    </row>
    <row r="9" spans="1:13" x14ac:dyDescent="0.25">
      <c r="A9" s="7" t="s">
        <v>689</v>
      </c>
      <c r="C9" s="10">
        <v>24</v>
      </c>
      <c r="D9" s="10">
        <v>31</v>
      </c>
      <c r="E9" s="10">
        <v>59</v>
      </c>
      <c r="F9" s="10">
        <v>85</v>
      </c>
      <c r="G9" s="10">
        <v>93</v>
      </c>
      <c r="H9" s="10">
        <v>92</v>
      </c>
      <c r="I9" s="10">
        <v>93</v>
      </c>
      <c r="J9" s="10">
        <v>93</v>
      </c>
    </row>
    <row r="10" spans="1:13" x14ac:dyDescent="0.25">
      <c r="A10" s="7" t="s">
        <v>690</v>
      </c>
      <c r="C10" s="10">
        <v>15</v>
      </c>
      <c r="D10" s="10">
        <v>62</v>
      </c>
      <c r="E10" s="10">
        <v>62</v>
      </c>
      <c r="F10" s="10">
        <v>62</v>
      </c>
      <c r="G10" s="10">
        <v>61</v>
      </c>
      <c r="H10" s="10">
        <v>62</v>
      </c>
      <c r="I10" s="10">
        <v>62</v>
      </c>
      <c r="J10" s="10">
        <v>63</v>
      </c>
    </row>
    <row r="11" spans="1:13" x14ac:dyDescent="0.25">
      <c r="A11" s="7"/>
      <c r="C11" s="10">
        <f>SUM(C8:C9)</f>
        <v>24</v>
      </c>
      <c r="D11" s="10">
        <f>SUM(D8:D9)</f>
        <v>31</v>
      </c>
      <c r="E11" s="10">
        <f>SUM(E8:E9)</f>
        <v>59</v>
      </c>
      <c r="F11" s="10">
        <f>SUM(F8:F9)</f>
        <v>85</v>
      </c>
      <c r="G11" s="10">
        <f>SUM(G8:G9)</f>
        <v>93</v>
      </c>
      <c r="H11" s="10">
        <f>SUM(H8:H9)</f>
        <v>92</v>
      </c>
      <c r="I11" s="10">
        <f>SUM(I8:I9)</f>
        <v>93</v>
      </c>
      <c r="J11" s="10">
        <f>SUM(J8:J9)</f>
        <v>93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C12" s="10">
        <f>C11-C10</f>
        <v>9</v>
      </c>
      <c r="D12" s="10">
        <f>D11-D10</f>
        <v>-31</v>
      </c>
      <c r="E12" s="10">
        <f>E11-E10</f>
        <v>-3</v>
      </c>
      <c r="F12" s="10">
        <f>F11-F10</f>
        <v>23</v>
      </c>
      <c r="G12" s="10">
        <f>G11-G10</f>
        <v>32</v>
      </c>
      <c r="H12" s="10">
        <f>H11-H10</f>
        <v>30</v>
      </c>
      <c r="I12" s="10">
        <f>I11-I10</f>
        <v>31</v>
      </c>
      <c r="J12" s="10">
        <f>J11-J10</f>
        <v>30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631</v>
      </c>
    </row>
    <row r="14" spans="1:13" x14ac:dyDescent="0.25">
      <c r="A14" s="7" t="s">
        <v>691</v>
      </c>
      <c r="C14" s="10">
        <v>6</v>
      </c>
      <c r="D14" s="10">
        <v>18</v>
      </c>
      <c r="E14" s="7" t="s">
        <v>90</v>
      </c>
      <c r="F14" s="7" t="s">
        <v>90</v>
      </c>
      <c r="G14" s="7" t="s">
        <v>90</v>
      </c>
      <c r="H14" s="7" t="s">
        <v>90</v>
      </c>
      <c r="I14" s="7" t="s">
        <v>90</v>
      </c>
      <c r="J14" s="7" t="s">
        <v>90</v>
      </c>
    </row>
    <row r="15" spans="1:13" x14ac:dyDescent="0.25">
      <c r="A15" s="7"/>
      <c r="C15" s="10">
        <f>C10*C13</f>
        <v>0</v>
      </c>
      <c r="D15" s="10">
        <f>D10*D13</f>
        <v>0</v>
      </c>
      <c r="E15" s="7" t="s">
        <v>959</v>
      </c>
      <c r="F15" s="7" t="s">
        <v>961</v>
      </c>
      <c r="G15" s="7" t="s">
        <v>963</v>
      </c>
      <c r="H15" s="7" t="s">
        <v>965</v>
      </c>
      <c r="I15" s="7" t="s">
        <v>957</v>
      </c>
      <c r="J15" s="7" t="s">
        <v>967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C16" s="10">
        <f>C15-C14</f>
        <v>-6</v>
      </c>
      <c r="D16" s="10">
        <f>D15-D14</f>
        <v>-18</v>
      </c>
      <c r="E16" s="7" t="s">
        <v>960</v>
      </c>
      <c r="F16" s="7" t="s">
        <v>962</v>
      </c>
      <c r="G16" s="7" t="s">
        <v>964</v>
      </c>
      <c r="H16" s="7" t="s">
        <v>966</v>
      </c>
      <c r="I16" s="7" t="s">
        <v>958</v>
      </c>
      <c r="J16" s="7" t="s">
        <v>968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692</v>
      </c>
      <c r="C17" s="10">
        <v>3</v>
      </c>
      <c r="D17" s="10">
        <v>5</v>
      </c>
      <c r="E17" s="10">
        <v>5</v>
      </c>
      <c r="F17" s="10">
        <v>3</v>
      </c>
      <c r="G17" s="7" t="s">
        <v>90</v>
      </c>
      <c r="H17" s="7" t="s">
        <v>90</v>
      </c>
      <c r="I17" s="7" t="s">
        <v>90</v>
      </c>
      <c r="J17" s="7" t="s">
        <v>90</v>
      </c>
    </row>
    <row r="18" spans="1:13" x14ac:dyDescent="0.25">
      <c r="A18" s="7" t="s">
        <v>693</v>
      </c>
      <c r="D18" s="10">
        <v>10</v>
      </c>
      <c r="E18" s="10">
        <v>21</v>
      </c>
      <c r="F18" s="10">
        <v>21</v>
      </c>
      <c r="G18" s="10">
        <v>10</v>
      </c>
      <c r="H18" s="7" t="s">
        <v>90</v>
      </c>
      <c r="I18" s="7" t="s">
        <v>90</v>
      </c>
      <c r="J18" s="7" t="s">
        <v>90</v>
      </c>
    </row>
    <row r="19" spans="1:13" x14ac:dyDescent="0.25">
      <c r="A19" s="7" t="s">
        <v>694</v>
      </c>
      <c r="E19" s="10">
        <v>10</v>
      </c>
      <c r="F19" s="10">
        <v>21</v>
      </c>
      <c r="G19" s="10">
        <v>21</v>
      </c>
      <c r="H19" s="10">
        <v>10</v>
      </c>
      <c r="I19" s="7" t="s">
        <v>90</v>
      </c>
      <c r="J19" s="7" t="s">
        <v>90</v>
      </c>
    </row>
    <row r="20" spans="1:13" x14ac:dyDescent="0.25">
      <c r="A20" s="7" t="s">
        <v>695</v>
      </c>
      <c r="F20" s="10">
        <v>10</v>
      </c>
      <c r="G20" s="10">
        <v>21</v>
      </c>
      <c r="H20" s="10">
        <v>21</v>
      </c>
      <c r="I20" s="10">
        <v>10</v>
      </c>
      <c r="J20" s="7" t="s">
        <v>90</v>
      </c>
    </row>
    <row r="21" spans="1:13" x14ac:dyDescent="0.25">
      <c r="A21" s="7"/>
      <c r="C21">
        <f>SUM(C18,C19)</f>
        <v>0</v>
      </c>
      <c r="D21" s="58">
        <f>SUM(D18,D19)</f>
        <v>10</v>
      </c>
      <c r="E21" s="58">
        <f>SUM(E18,E19)</f>
        <v>31</v>
      </c>
      <c r="F21" s="10">
        <f>SUM(F18,F19)</f>
        <v>42</v>
      </c>
      <c r="G21" s="10">
        <f>SUM(G18,G19)</f>
        <v>31</v>
      </c>
      <c r="H21" s="10">
        <f>SUM(H18,H19)</f>
        <v>10</v>
      </c>
      <c r="I21" s="10">
        <f>SUM(I18,I19)</f>
        <v>0</v>
      </c>
      <c r="J21" s="7" t="s">
        <v>897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7"/>
      <c r="C22">
        <f>C21-C20</f>
        <v>0</v>
      </c>
      <c r="D22" s="58">
        <f>D21-D20</f>
        <v>10</v>
      </c>
      <c r="E22" s="58">
        <f>E21-E20</f>
        <v>31</v>
      </c>
      <c r="F22" s="10">
        <f>F21-F20</f>
        <v>32</v>
      </c>
      <c r="G22" s="10">
        <f>G21-G20</f>
        <v>10</v>
      </c>
      <c r="H22" s="10">
        <f>H21-H20</f>
        <v>-11</v>
      </c>
      <c r="I22" s="10">
        <f>I21-I20</f>
        <v>-10</v>
      </c>
      <c r="J22" s="7" t="s">
        <v>898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696</v>
      </c>
      <c r="G23" s="10">
        <v>10</v>
      </c>
      <c r="H23" s="10">
        <v>20</v>
      </c>
      <c r="I23" s="10">
        <v>20</v>
      </c>
      <c r="J23" s="10">
        <v>10</v>
      </c>
    </row>
    <row r="24" spans="1:13" x14ac:dyDescent="0.25">
      <c r="A24" s="7"/>
      <c r="C24">
        <f>C10*B23</f>
        <v>0</v>
      </c>
      <c r="D24">
        <f>D10*B23</f>
        <v>0</v>
      </c>
      <c r="E24">
        <f>E10*B23</f>
        <v>0</v>
      </c>
      <c r="F24">
        <f>F10*B23</f>
        <v>0</v>
      </c>
      <c r="G24" s="10">
        <f>G10*B23</f>
        <v>0</v>
      </c>
      <c r="H24" s="10">
        <f>H10*B23</f>
        <v>0</v>
      </c>
      <c r="I24" s="10">
        <f>I10*B23</f>
        <v>0</v>
      </c>
      <c r="J24" s="10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>
        <f>C24-C23</f>
        <v>0</v>
      </c>
      <c r="D25">
        <f>D24-D23</f>
        <v>0</v>
      </c>
      <c r="E25">
        <f>E24-E23</f>
        <v>0</v>
      </c>
      <c r="F25">
        <f>F24-F23</f>
        <v>0</v>
      </c>
      <c r="G25" s="10">
        <f>G24-G23</f>
        <v>-10</v>
      </c>
      <c r="H25" s="10">
        <f>H24-H23</f>
        <v>-20</v>
      </c>
      <c r="I25" s="10">
        <f>I24-I23</f>
        <v>-20</v>
      </c>
      <c r="J25" s="10">
        <f>J24-J23</f>
        <v>-10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7" t="s">
        <v>697</v>
      </c>
      <c r="H26" s="10">
        <v>10</v>
      </c>
      <c r="I26" s="10">
        <v>21</v>
      </c>
      <c r="J26" s="10">
        <v>21</v>
      </c>
    </row>
    <row r="27" spans="1:13" x14ac:dyDescent="0.25">
      <c r="A27" s="7"/>
      <c r="C27">
        <f>SUM(C20,C23)</f>
        <v>0</v>
      </c>
      <c r="D27">
        <f>SUM(D20,D23)</f>
        <v>0</v>
      </c>
      <c r="E27">
        <f>SUM(E20,E23)</f>
        <v>0</v>
      </c>
      <c r="F27" s="58">
        <f>SUM(F20,F23)</f>
        <v>10</v>
      </c>
      <c r="G27" s="58">
        <f>SUM(G20,G23)</f>
        <v>31</v>
      </c>
      <c r="H27" s="10">
        <f>SUM(H20,H23)</f>
        <v>41</v>
      </c>
      <c r="I27" s="10">
        <f>SUM(I20,I23)</f>
        <v>30</v>
      </c>
      <c r="J27" s="10">
        <f>SUM(J20,J23)</f>
        <v>10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7"/>
      <c r="C28">
        <f>C27-C26</f>
        <v>0</v>
      </c>
      <c r="D28">
        <f>D27-D26</f>
        <v>0</v>
      </c>
      <c r="E28">
        <f>E27-E26</f>
        <v>0</v>
      </c>
      <c r="F28" s="58">
        <f>F27-F26</f>
        <v>10</v>
      </c>
      <c r="G28" s="58">
        <f>G27-G26</f>
        <v>31</v>
      </c>
      <c r="H28" s="10">
        <f>H27-H26</f>
        <v>31</v>
      </c>
      <c r="I28" s="10">
        <f>I27-I26</f>
        <v>9</v>
      </c>
      <c r="J28" s="10">
        <f>J27-J26</f>
        <v>-11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698</v>
      </c>
      <c r="I29" s="10">
        <v>10</v>
      </c>
      <c r="J29" s="10">
        <v>21</v>
      </c>
    </row>
    <row r="30" spans="1:13" x14ac:dyDescent="0.25">
      <c r="A30" s="7"/>
      <c r="C30">
        <f>C26*B29</f>
        <v>0</v>
      </c>
      <c r="D30">
        <f>D26*B29</f>
        <v>0</v>
      </c>
      <c r="E30">
        <f>E26*B29</f>
        <v>0</v>
      </c>
      <c r="F30">
        <f>F26*B29</f>
        <v>0</v>
      </c>
      <c r="G30">
        <f>G26*B29</f>
        <v>0</v>
      </c>
      <c r="H30">
        <f>H26*B29</f>
        <v>0</v>
      </c>
      <c r="I30" s="10">
        <f>I26*B29</f>
        <v>0</v>
      </c>
      <c r="J30" s="1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>
        <f>C30-C29</f>
        <v>0</v>
      </c>
      <c r="D31">
        <f>D30-D29</f>
        <v>0</v>
      </c>
      <c r="E31">
        <f>E30-E29</f>
        <v>0</v>
      </c>
      <c r="F31">
        <f>F30-F29</f>
        <v>0</v>
      </c>
      <c r="G31">
        <f>G30-G29</f>
        <v>0</v>
      </c>
      <c r="H31">
        <f>H30-H29</f>
        <v>0</v>
      </c>
      <c r="I31" s="10">
        <f>I30-I29</f>
        <v>-10</v>
      </c>
      <c r="J31" s="10">
        <f>J30-J29</f>
        <v>-21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7" t="s">
        <v>699</v>
      </c>
      <c r="J32" s="10">
        <v>11</v>
      </c>
    </row>
    <row r="33" spans="1:13" x14ac:dyDescent="0.25">
      <c r="A33" s="7"/>
      <c r="C33">
        <f>SUM(C26,C29)</f>
        <v>0</v>
      </c>
      <c r="D33">
        <f>SUM(D26,D29)</f>
        <v>0</v>
      </c>
      <c r="E33">
        <f>SUM(E26,E29)</f>
        <v>0</v>
      </c>
      <c r="F33">
        <f>SUM(F26,F29)</f>
        <v>0</v>
      </c>
      <c r="G33">
        <f>SUM(G26,G29)</f>
        <v>0</v>
      </c>
      <c r="H33" s="58">
        <f>SUM(H26,H29)</f>
        <v>10</v>
      </c>
      <c r="I33" s="58">
        <f>SUM(I26,I29)</f>
        <v>31</v>
      </c>
      <c r="J33" s="10">
        <f>SUM(J26,J29)</f>
        <v>42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7"/>
      <c r="C34">
        <f>C33-C32</f>
        <v>0</v>
      </c>
      <c r="D34">
        <f>D33-D32</f>
        <v>0</v>
      </c>
      <c r="E34">
        <f>E33-E32</f>
        <v>0</v>
      </c>
      <c r="F34">
        <f>F33-F32</f>
        <v>0</v>
      </c>
      <c r="G34">
        <f>G33-G32</f>
        <v>0</v>
      </c>
      <c r="H34" s="58">
        <f>H33-H32</f>
        <v>10</v>
      </c>
      <c r="I34" s="58">
        <f>I33-I32</f>
        <v>31</v>
      </c>
      <c r="J34" s="10">
        <f>J33-J32</f>
        <v>31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6" t="s">
        <v>218</v>
      </c>
      <c r="C35" s="13">
        <v>8</v>
      </c>
      <c r="D35" s="13">
        <v>34</v>
      </c>
      <c r="E35" s="13">
        <v>36</v>
      </c>
      <c r="F35" s="13">
        <v>54</v>
      </c>
      <c r="G35" s="13">
        <v>62</v>
      </c>
      <c r="H35" s="13">
        <v>62</v>
      </c>
      <c r="I35" s="13">
        <v>62</v>
      </c>
      <c r="J35" s="13">
        <v>62</v>
      </c>
    </row>
    <row r="36" spans="1:13" x14ac:dyDescent="0.25">
      <c r="A36" s="7" t="s">
        <v>700</v>
      </c>
      <c r="C36" s="10">
        <v>31</v>
      </c>
      <c r="D36" s="10">
        <v>59</v>
      </c>
      <c r="E36" s="10">
        <v>85</v>
      </c>
      <c r="F36" s="10">
        <v>93</v>
      </c>
      <c r="G36" s="10">
        <v>92</v>
      </c>
      <c r="H36" s="10">
        <v>93</v>
      </c>
      <c r="I36" s="10">
        <v>93</v>
      </c>
      <c r="J36" s="10">
        <v>94</v>
      </c>
    </row>
    <row r="37" spans="1:13" x14ac:dyDescent="0.25">
      <c r="A37" s="7"/>
      <c r="C37" s="10">
        <f>SUM(C32,C35)</f>
        <v>8</v>
      </c>
      <c r="D37" s="10">
        <f>SUM(D32,D35)</f>
        <v>34</v>
      </c>
      <c r="E37" s="10">
        <f>SUM(E32,E35)</f>
        <v>36</v>
      </c>
      <c r="F37" s="10">
        <f>SUM(F32,F35)</f>
        <v>54</v>
      </c>
      <c r="G37" s="10">
        <f>SUM(G32,G35)</f>
        <v>62</v>
      </c>
      <c r="H37" s="10">
        <f>SUM(H32,H35)</f>
        <v>62</v>
      </c>
      <c r="I37" s="10">
        <f>SUM(I32,I35)</f>
        <v>62</v>
      </c>
      <c r="J37" s="10">
        <f>SUM(J32,J35)</f>
        <v>73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7"/>
      <c r="C38" s="10">
        <f>C37-C36</f>
        <v>-23</v>
      </c>
      <c r="D38" s="10">
        <f>D37-D36</f>
        <v>-25</v>
      </c>
      <c r="E38" s="10">
        <f>E37-E36</f>
        <v>-49</v>
      </c>
      <c r="F38" s="10">
        <f>F37-F36</f>
        <v>-39</v>
      </c>
      <c r="G38" s="10">
        <f>G37-G36</f>
        <v>-30</v>
      </c>
      <c r="H38" s="10">
        <f>H37-H36</f>
        <v>-31</v>
      </c>
      <c r="I38" s="10">
        <f>I37-I36</f>
        <v>-31</v>
      </c>
      <c r="J38" s="10">
        <f>J37-J36</f>
        <v>-21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701</v>
      </c>
      <c r="C39" s="10">
        <v>28</v>
      </c>
      <c r="D39" s="10">
        <v>45</v>
      </c>
      <c r="E39" s="10">
        <v>72</v>
      </c>
      <c r="F39" s="10">
        <v>89</v>
      </c>
      <c r="G39" s="10">
        <v>93</v>
      </c>
      <c r="H39" s="10">
        <v>92</v>
      </c>
      <c r="I39" s="10">
        <v>93</v>
      </c>
      <c r="J39" s="10">
        <v>93</v>
      </c>
    </row>
    <row r="40" spans="1:13" x14ac:dyDescent="0.25">
      <c r="A40" s="7" t="s">
        <v>628</v>
      </c>
      <c r="C40" s="10">
        <v>237</v>
      </c>
      <c r="D40" s="14">
        <v>1000</v>
      </c>
      <c r="E40" s="14">
        <v>1037</v>
      </c>
      <c r="F40" s="14">
        <v>1079</v>
      </c>
      <c r="G40" s="14">
        <v>1119</v>
      </c>
      <c r="H40" s="14">
        <v>1166</v>
      </c>
      <c r="I40" s="14">
        <v>1217</v>
      </c>
      <c r="J40" s="14">
        <v>1271</v>
      </c>
    </row>
    <row r="41" spans="1:13" x14ac:dyDescent="0.25">
      <c r="A41" s="7"/>
      <c r="C41" s="10">
        <f>C36*C39</f>
        <v>868</v>
      </c>
      <c r="D41" s="14">
        <f>D36*D39</f>
        <v>2655</v>
      </c>
      <c r="E41" s="14">
        <f>E36*E39</f>
        <v>6120</v>
      </c>
      <c r="F41" s="14">
        <f>F36*F39</f>
        <v>8277</v>
      </c>
      <c r="G41" s="14">
        <f>G36*G39</f>
        <v>8556</v>
      </c>
      <c r="H41" s="14">
        <f>H36*H39</f>
        <v>8556</v>
      </c>
      <c r="I41" s="14">
        <f>I36*I39</f>
        <v>8649</v>
      </c>
      <c r="J41" s="14">
        <f>J36*J39</f>
        <v>8742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7"/>
      <c r="C42" s="10">
        <f>C41-C40</f>
        <v>631</v>
      </c>
      <c r="D42" s="14">
        <f>D41-D40</f>
        <v>1655</v>
      </c>
      <c r="E42" s="14">
        <f>E41-E40</f>
        <v>5083</v>
      </c>
      <c r="F42" s="14">
        <f>F41-F40</f>
        <v>7198</v>
      </c>
      <c r="G42" s="14">
        <f>G41-G40</f>
        <v>7437</v>
      </c>
      <c r="H42" s="14">
        <f>H41-H40</f>
        <v>7390</v>
      </c>
      <c r="I42" s="14">
        <f>I41-I40</f>
        <v>7432</v>
      </c>
      <c r="J42" s="14">
        <f>J41-J40</f>
        <v>7471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6" t="s">
        <v>702</v>
      </c>
      <c r="C43" s="6" t="s">
        <v>703</v>
      </c>
      <c r="D43" s="13">
        <v>22</v>
      </c>
      <c r="E43" s="13">
        <v>14</v>
      </c>
      <c r="F43" s="13">
        <v>12</v>
      </c>
      <c r="G43" s="13">
        <v>12</v>
      </c>
      <c r="H43" s="13">
        <v>13</v>
      </c>
      <c r="I43" s="13">
        <v>13</v>
      </c>
      <c r="J43" s="13">
        <v>14</v>
      </c>
    </row>
    <row r="44" spans="1:13" x14ac:dyDescent="0.25">
      <c r="A44" s="7" t="s">
        <v>704</v>
      </c>
    </row>
    <row r="45" spans="1:13" x14ac:dyDescent="0.25">
      <c r="A45" s="7" t="s">
        <v>691</v>
      </c>
      <c r="C45" s="27">
        <v>1</v>
      </c>
      <c r="D45" s="7" t="s">
        <v>705</v>
      </c>
    </row>
    <row r="46" spans="1:13" x14ac:dyDescent="0.25">
      <c r="A46" s="7" t="s">
        <v>706</v>
      </c>
      <c r="C46" s="27">
        <v>3</v>
      </c>
      <c r="D46" s="7" t="s">
        <v>705</v>
      </c>
    </row>
    <row r="47" spans="1:13" x14ac:dyDescent="0.25">
      <c r="A47" s="8" t="s">
        <v>127</v>
      </c>
    </row>
    <row r="48" spans="1:13" x14ac:dyDescent="0.25">
      <c r="A48" s="7" t="s">
        <v>707</v>
      </c>
    </row>
    <row r="49" spans="1:10" x14ac:dyDescent="0.25">
      <c r="A49" s="16" t="s">
        <v>61</v>
      </c>
    </row>
    <row r="50" spans="1:10" ht="18.75" x14ac:dyDescent="0.25">
      <c r="A50" s="9" t="s">
        <v>62</v>
      </c>
      <c r="J50" s="22" t="s">
        <v>63</v>
      </c>
    </row>
    <row r="51" spans="1:10" x14ac:dyDescent="0.25">
      <c r="F51" s="5" t="s">
        <v>6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2:M50"/>
  <sheetViews>
    <sheetView workbookViewId="0"/>
  </sheetViews>
  <sheetFormatPr defaultRowHeight="15" x14ac:dyDescent="0.25"/>
  <cols>
    <col min="1" max="1" width="75" bestFit="1" customWidth="1"/>
  </cols>
  <sheetData>
    <row r="2" spans="1:13" x14ac:dyDescent="0.25">
      <c r="A2" s="6" t="s">
        <v>1</v>
      </c>
      <c r="L2" s="7" t="s">
        <v>708</v>
      </c>
    </row>
    <row r="3" spans="1:13" x14ac:dyDescent="0.25">
      <c r="A3" s="6" t="s">
        <v>9</v>
      </c>
    </row>
    <row r="4" spans="1:13" x14ac:dyDescent="0.25">
      <c r="A4" s="6" t="s">
        <v>709</v>
      </c>
    </row>
    <row r="5" spans="1:13" x14ac:dyDescent="0.25">
      <c r="A5" s="6" t="s">
        <v>11</v>
      </c>
    </row>
    <row r="6" spans="1:13" x14ac:dyDescent="0.25">
      <c r="A6" s="8" t="s">
        <v>636</v>
      </c>
    </row>
    <row r="7" spans="1:13" x14ac:dyDescent="0.25">
      <c r="A7" s="7" t="s">
        <v>710</v>
      </c>
      <c r="C7" s="20">
        <v>0.30499999999999999</v>
      </c>
    </row>
    <row r="8" spans="1:13" x14ac:dyDescent="0.25">
      <c r="A8" s="7" t="s">
        <v>631</v>
      </c>
      <c r="C8" s="20">
        <v>3.5999999999999997E-2</v>
      </c>
    </row>
    <row r="9" spans="1:13" x14ac:dyDescent="0.25">
      <c r="A9" s="7" t="s">
        <v>711</v>
      </c>
      <c r="C9" s="20">
        <v>5.5E-2</v>
      </c>
    </row>
    <row r="10" spans="1:13" x14ac:dyDescent="0.25">
      <c r="A10" s="7" t="s">
        <v>712</v>
      </c>
      <c r="C10" s="20">
        <v>1.0999999999999999E-2</v>
      </c>
    </row>
    <row r="11" spans="1:13" x14ac:dyDescent="0.25">
      <c r="A11" s="7"/>
      <c r="C11" s="20">
        <f>SUM(C8:C9)</f>
        <v>9.0999999999999998E-2</v>
      </c>
      <c r="D11">
        <f>SUM(D8:D9)</f>
        <v>0</v>
      </c>
      <c r="E11">
        <f>SUM(E8:E9)</f>
        <v>0</v>
      </c>
      <c r="F11">
        <f>SUM(F8:F9)</f>
        <v>0</v>
      </c>
      <c r="G11">
        <f>SUM(G8:G9)</f>
        <v>0</v>
      </c>
      <c r="H11">
        <f>SUM(H8:H9)</f>
        <v>0</v>
      </c>
      <c r="I11">
        <f>SUM(I8:I9)</f>
        <v>0</v>
      </c>
      <c r="J11">
        <f>SUM(J8:J9)</f>
        <v>0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C12" s="20">
        <f>C11-C10</f>
        <v>0.08</v>
      </c>
      <c r="D12">
        <f>D11-D10</f>
        <v>0</v>
      </c>
      <c r="E12">
        <f>E11-E10</f>
        <v>0</v>
      </c>
      <c r="F12">
        <f>F11-F10</f>
        <v>0</v>
      </c>
      <c r="G12">
        <f>G11-G10</f>
        <v>0</v>
      </c>
      <c r="H12">
        <f>H11-H10</f>
        <v>0</v>
      </c>
      <c r="I12">
        <f>I11-I10</f>
        <v>0</v>
      </c>
      <c r="J12">
        <f>J11-J10</f>
        <v>0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713</v>
      </c>
      <c r="C13" s="20">
        <v>8.2000000000000003E-2</v>
      </c>
    </row>
    <row r="14" spans="1:13" x14ac:dyDescent="0.25">
      <c r="A14" s="7" t="s">
        <v>714</v>
      </c>
      <c r="C14" s="20">
        <v>0.48799999999999999</v>
      </c>
    </row>
    <row r="15" spans="1:13" x14ac:dyDescent="0.25">
      <c r="A15" s="7"/>
      <c r="C15" s="20">
        <f>C10*C13</f>
        <v>9.0200000000000002E-4</v>
      </c>
      <c r="D15">
        <f>D10*D13</f>
        <v>0</v>
      </c>
      <c r="E15">
        <f>E10*E13</f>
        <v>0</v>
      </c>
      <c r="F15">
        <f>F10*F13</f>
        <v>0</v>
      </c>
      <c r="G15">
        <f>G10*G13</f>
        <v>0</v>
      </c>
      <c r="H15">
        <f>H10*H13</f>
        <v>0</v>
      </c>
      <c r="I15">
        <f>I10*I13</f>
        <v>0</v>
      </c>
      <c r="J15">
        <f>J10*J13</f>
        <v>0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C16" s="20">
        <f>C15-C14</f>
        <v>-0.48709799999999998</v>
      </c>
      <c r="D16">
        <f>D15-D14</f>
        <v>0</v>
      </c>
      <c r="E16">
        <f>E15-E14</f>
        <v>0</v>
      </c>
      <c r="F16">
        <f>F15-F14</f>
        <v>0</v>
      </c>
      <c r="G16">
        <f>G15-G14</f>
        <v>0</v>
      </c>
      <c r="H16">
        <f>H15-H14</f>
        <v>0</v>
      </c>
      <c r="I16">
        <f>I15-I14</f>
        <v>0</v>
      </c>
      <c r="J16">
        <f>J15-J14</f>
        <v>0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715</v>
      </c>
      <c r="C17" s="20">
        <v>0.27900000000000003</v>
      </c>
    </row>
    <row r="18" spans="1:13" x14ac:dyDescent="0.25">
      <c r="A18" s="7" t="s">
        <v>716</v>
      </c>
      <c r="C18" s="20">
        <v>0.38600000000000001</v>
      </c>
    </row>
    <row r="19" spans="1:13" x14ac:dyDescent="0.25">
      <c r="C19" s="9" t="s">
        <v>95</v>
      </c>
      <c r="G19" s="9" t="s">
        <v>96</v>
      </c>
    </row>
    <row r="20" spans="1:13" x14ac:dyDescent="0.25">
      <c r="A20" s="8" t="s">
        <v>12</v>
      </c>
      <c r="C20" s="9" t="s">
        <v>97</v>
      </c>
      <c r="D20" s="9" t="s">
        <v>98</v>
      </c>
      <c r="E20" s="9" t="s">
        <v>99</v>
      </c>
      <c r="F20" s="9" t="s">
        <v>100</v>
      </c>
      <c r="G20" s="9" t="s">
        <v>101</v>
      </c>
      <c r="H20" s="9" t="s">
        <v>102</v>
      </c>
      <c r="I20" s="9" t="s">
        <v>103</v>
      </c>
      <c r="J20" s="9" t="s">
        <v>104</v>
      </c>
      <c r="K20" s="9" t="s">
        <v>200</v>
      </c>
      <c r="L20" s="9" t="s">
        <v>201</v>
      </c>
    </row>
    <row r="21" spans="1:13" x14ac:dyDescent="0.25">
      <c r="A21" s="8"/>
      <c r="C21" s="9" t="s">
        <v>827</v>
      </c>
      <c r="D21" s="9" t="s">
        <v>833</v>
      </c>
      <c r="E21" s="9" t="s">
        <v>839</v>
      </c>
      <c r="F21" s="9" t="s">
        <v>849</v>
      </c>
      <c r="G21" s="9" t="s">
        <v>861</v>
      </c>
      <c r="H21" s="9" t="s">
        <v>873</v>
      </c>
      <c r="I21" s="9" t="s">
        <v>885</v>
      </c>
      <c r="J21" s="9" t="s">
        <v>897</v>
      </c>
      <c r="K21" s="9" t="s">
        <v>909</v>
      </c>
      <c r="L21" s="9" t="s">
        <v>921</v>
      </c>
      <c r="M21">
        <f>SUM(M18,M19)</f>
        <v>0</v>
      </c>
    </row>
    <row r="22" spans="1:13" x14ac:dyDescent="0.25">
      <c r="A22" s="8"/>
      <c r="C22" s="9" t="s">
        <v>828</v>
      </c>
      <c r="D22" s="9" t="s">
        <v>834</v>
      </c>
      <c r="E22" s="9" t="s">
        <v>840</v>
      </c>
      <c r="F22" s="9" t="s">
        <v>850</v>
      </c>
      <c r="G22" s="9" t="s">
        <v>862</v>
      </c>
      <c r="H22" s="9" t="s">
        <v>874</v>
      </c>
      <c r="I22" s="9" t="s">
        <v>886</v>
      </c>
      <c r="J22" s="9" t="s">
        <v>898</v>
      </c>
      <c r="K22" s="9" t="s">
        <v>910</v>
      </c>
      <c r="L22" s="9" t="s">
        <v>922</v>
      </c>
      <c r="M22">
        <f>M21-M20</f>
        <v>0</v>
      </c>
    </row>
    <row r="23" spans="1:13" x14ac:dyDescent="0.25">
      <c r="A23" s="7" t="s">
        <v>717</v>
      </c>
      <c r="B23" s="13">
        <v>203</v>
      </c>
    </row>
    <row r="24" spans="1:13" x14ac:dyDescent="0.25">
      <c r="A24" s="7"/>
      <c r="B24" s="13"/>
      <c r="C24">
        <f>C10*B23</f>
        <v>2.2329999999999997</v>
      </c>
      <c r="D24">
        <f>D10*B23</f>
        <v>0</v>
      </c>
      <c r="E24">
        <f>E10*B23</f>
        <v>0</v>
      </c>
      <c r="F24">
        <f>F10*B23</f>
        <v>0</v>
      </c>
      <c r="G24">
        <f>G10*B23</f>
        <v>0</v>
      </c>
      <c r="H24">
        <f>H10*B23</f>
        <v>0</v>
      </c>
      <c r="I24">
        <f>I10*B23</f>
        <v>0</v>
      </c>
      <c r="J24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B25" s="13"/>
      <c r="C25">
        <f>C24-C23</f>
        <v>2.2329999999999997</v>
      </c>
      <c r="D25">
        <f>D24-D23</f>
        <v>0</v>
      </c>
      <c r="E25">
        <f>E24-E23</f>
        <v>0</v>
      </c>
      <c r="F25">
        <f>F24-F23</f>
        <v>0</v>
      </c>
      <c r="G25">
        <f>G24-G23</f>
        <v>0</v>
      </c>
      <c r="H25">
        <f>H24-H23</f>
        <v>0</v>
      </c>
      <c r="I25">
        <f>I24-I23</f>
        <v>0</v>
      </c>
      <c r="J25">
        <f>J24-J23</f>
        <v>0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7" t="s">
        <v>718</v>
      </c>
      <c r="C26" s="10">
        <v>123</v>
      </c>
      <c r="D26" s="10">
        <v>78</v>
      </c>
      <c r="E26" s="10">
        <v>2</v>
      </c>
      <c r="F26" s="10">
        <v>0</v>
      </c>
      <c r="G26" s="10">
        <v>0</v>
      </c>
      <c r="H26" s="10">
        <v>0</v>
      </c>
      <c r="I26" s="7" t="s">
        <v>90</v>
      </c>
      <c r="J26" s="7" t="s">
        <v>90</v>
      </c>
      <c r="K26" s="7" t="s">
        <v>90</v>
      </c>
      <c r="L26" s="7" t="s">
        <v>90</v>
      </c>
    </row>
    <row r="27" spans="1:13" x14ac:dyDescent="0.25">
      <c r="A27" s="7"/>
      <c r="C27" s="10">
        <f>SUM(C20,C23)</f>
        <v>0</v>
      </c>
      <c r="D27" s="10">
        <f>SUM(D20,D23)</f>
        <v>0</v>
      </c>
      <c r="E27" s="10">
        <f>SUM(E20,E23)</f>
        <v>0</v>
      </c>
      <c r="F27" s="10">
        <f>SUM(F20,F23)</f>
        <v>0</v>
      </c>
      <c r="G27" s="10">
        <f>SUM(G20,G23)</f>
        <v>0</v>
      </c>
      <c r="H27" s="10">
        <f>SUM(H20,H23)</f>
        <v>0</v>
      </c>
      <c r="I27" s="7" t="s">
        <v>889</v>
      </c>
      <c r="J27" s="7" t="s">
        <v>901</v>
      </c>
      <c r="K27" s="7" t="s">
        <v>913</v>
      </c>
      <c r="L27" s="7" t="s">
        <v>925</v>
      </c>
      <c r="M27">
        <f>SUM(M20,M23)</f>
        <v>0</v>
      </c>
    </row>
    <row r="28" spans="1:13" x14ac:dyDescent="0.25">
      <c r="A28" s="7"/>
      <c r="C28" s="10">
        <f>C27-C26</f>
        <v>-123</v>
      </c>
      <c r="D28" s="10">
        <f>D27-D26</f>
        <v>-78</v>
      </c>
      <c r="E28" s="10">
        <f>E27-E26</f>
        <v>-2</v>
      </c>
      <c r="F28" s="10">
        <f>F27-F26</f>
        <v>0</v>
      </c>
      <c r="G28" s="10">
        <f>G27-G26</f>
        <v>0</v>
      </c>
      <c r="H28" s="10">
        <f>H27-H26</f>
        <v>0</v>
      </c>
      <c r="I28" s="7" t="s">
        <v>890</v>
      </c>
      <c r="J28" s="7" t="s">
        <v>902</v>
      </c>
      <c r="K28" s="7" t="s">
        <v>914</v>
      </c>
      <c r="L28" s="7" t="s">
        <v>926</v>
      </c>
      <c r="M28">
        <f>M27-M26</f>
        <v>0</v>
      </c>
    </row>
    <row r="29" spans="1:13" x14ac:dyDescent="0.25">
      <c r="C29" s="44">
        <v>0.60499999999999998</v>
      </c>
      <c r="D29" s="44">
        <v>0.38400000000000001</v>
      </c>
      <c r="E29" s="44">
        <v>8.9999999999999993E-3</v>
      </c>
      <c r="F29" s="44">
        <v>2E-3</v>
      </c>
      <c r="G29" s="44">
        <v>0</v>
      </c>
      <c r="H29" s="44">
        <v>0</v>
      </c>
    </row>
    <row r="30" spans="1:13" x14ac:dyDescent="0.25">
      <c r="C30" s="44">
        <f>C26*B29</f>
        <v>0</v>
      </c>
      <c r="D30" s="44">
        <f>D26*B29</f>
        <v>0</v>
      </c>
      <c r="E30" s="44">
        <f>E26*B29</f>
        <v>0</v>
      </c>
      <c r="F30" s="44">
        <f>F26*B29</f>
        <v>0</v>
      </c>
      <c r="G30" s="44">
        <f>G26*B29</f>
        <v>0</v>
      </c>
      <c r="H30" s="44">
        <f>H26*B29</f>
        <v>0</v>
      </c>
      <c r="I30" t="e">
        <f>I26*B29</f>
        <v>#VALUE!</v>
      </c>
      <c r="J30" t="e">
        <f>J26*B29</f>
        <v>#VALUE!</v>
      </c>
      <c r="K30" t="e">
        <f>K26*B29</f>
        <v>#VALUE!</v>
      </c>
      <c r="L30" t="e">
        <f>L26*B29</f>
        <v>#VALUE!</v>
      </c>
      <c r="M30">
        <f>M26*B29</f>
        <v>0</v>
      </c>
    </row>
    <row r="31" spans="1:13" x14ac:dyDescent="0.25">
      <c r="C31" s="44">
        <f>C30-C29</f>
        <v>-0.60499999999999998</v>
      </c>
      <c r="D31" s="44">
        <f>D30-D29</f>
        <v>-0.38400000000000001</v>
      </c>
      <c r="E31" s="44">
        <f>E30-E29</f>
        <v>-8.9999999999999993E-3</v>
      </c>
      <c r="F31" s="44">
        <f>F30-F29</f>
        <v>-2E-3</v>
      </c>
      <c r="G31" s="44">
        <f>G30-G29</f>
        <v>0</v>
      </c>
      <c r="H31" s="44">
        <f>H30-H29</f>
        <v>0</v>
      </c>
      <c r="I31" t="e">
        <f>I30-I29</f>
        <v>#VALUE!</v>
      </c>
      <c r="J31" t="e">
        <f>J30-J29</f>
        <v>#VALUE!</v>
      </c>
      <c r="K31" t="e">
        <f>K30-K29</f>
        <v>#VALUE!</v>
      </c>
      <c r="L31" t="e">
        <f>L30-L29</f>
        <v>#VALUE!</v>
      </c>
      <c r="M31">
        <f>M30-M29</f>
        <v>0</v>
      </c>
    </row>
    <row r="32" spans="1:13" x14ac:dyDescent="0.25">
      <c r="A32" s="7" t="s">
        <v>719</v>
      </c>
      <c r="C32" s="10">
        <v>60</v>
      </c>
      <c r="D32" s="10">
        <v>38</v>
      </c>
      <c r="E32" s="10">
        <v>1</v>
      </c>
      <c r="F32" s="10">
        <v>0</v>
      </c>
      <c r="G32" s="10">
        <v>0</v>
      </c>
      <c r="H32" s="10">
        <v>0</v>
      </c>
      <c r="I32" s="7" t="s">
        <v>90</v>
      </c>
      <c r="J32" s="7" t="s">
        <v>90</v>
      </c>
      <c r="K32" s="7" t="s">
        <v>90</v>
      </c>
      <c r="L32" s="7" t="s">
        <v>90</v>
      </c>
    </row>
    <row r="33" spans="1:13" x14ac:dyDescent="0.25">
      <c r="A33" s="7"/>
      <c r="C33" s="10">
        <f>SUM(C26,C29)</f>
        <v>123.605</v>
      </c>
      <c r="D33" s="10">
        <f>SUM(D26,D29)</f>
        <v>78.384</v>
      </c>
      <c r="E33" s="10">
        <f>SUM(E26,E29)</f>
        <v>2.0089999999999999</v>
      </c>
      <c r="F33" s="10">
        <f>SUM(F26,F29)</f>
        <v>2E-3</v>
      </c>
      <c r="G33" s="10">
        <f>SUM(G26,G29)</f>
        <v>0</v>
      </c>
      <c r="H33" s="10">
        <f>SUM(H26,H29)</f>
        <v>0</v>
      </c>
      <c r="I33" s="7" t="s">
        <v>893</v>
      </c>
      <c r="J33" s="7" t="s">
        <v>905</v>
      </c>
      <c r="K33" s="7" t="s">
        <v>917</v>
      </c>
      <c r="L33" s="7" t="s">
        <v>929</v>
      </c>
      <c r="M33">
        <f>SUM(M26,M29)</f>
        <v>0</v>
      </c>
    </row>
    <row r="34" spans="1:13" x14ac:dyDescent="0.25">
      <c r="A34" s="7"/>
      <c r="C34" s="10">
        <f>C33-C32</f>
        <v>63.605000000000004</v>
      </c>
      <c r="D34" s="10">
        <f>D33-D32</f>
        <v>40.384</v>
      </c>
      <c r="E34" s="10">
        <f>E33-E32</f>
        <v>1.0089999999999999</v>
      </c>
      <c r="F34" s="10">
        <f>F33-F32</f>
        <v>2E-3</v>
      </c>
      <c r="G34" s="10">
        <f>G33-G32</f>
        <v>0</v>
      </c>
      <c r="H34" s="10">
        <f>H33-H32</f>
        <v>0</v>
      </c>
      <c r="I34" s="7" t="s">
        <v>894</v>
      </c>
      <c r="J34" s="7" t="s">
        <v>906</v>
      </c>
      <c r="K34" s="7" t="s">
        <v>918</v>
      </c>
      <c r="L34" s="7" t="s">
        <v>930</v>
      </c>
      <c r="M34">
        <f>M33-M32</f>
        <v>0</v>
      </c>
    </row>
    <row r="35" spans="1:13" x14ac:dyDescent="0.25">
      <c r="A35" s="7" t="s">
        <v>720</v>
      </c>
      <c r="C35" s="10">
        <v>23</v>
      </c>
      <c r="D35" s="10">
        <v>15</v>
      </c>
      <c r="E35" s="10">
        <v>0</v>
      </c>
      <c r="F35" s="10">
        <v>0</v>
      </c>
      <c r="G35" s="10">
        <v>0</v>
      </c>
      <c r="H35" s="10">
        <v>0</v>
      </c>
      <c r="I35" s="7" t="s">
        <v>90</v>
      </c>
      <c r="J35" s="7" t="s">
        <v>90</v>
      </c>
      <c r="K35" s="7" t="s">
        <v>90</v>
      </c>
      <c r="L35" s="7" t="s">
        <v>90</v>
      </c>
    </row>
    <row r="36" spans="1:13" x14ac:dyDescent="0.25">
      <c r="A36" s="7" t="s">
        <v>218</v>
      </c>
      <c r="C36" s="10">
        <v>83</v>
      </c>
      <c r="D36" s="10">
        <v>53</v>
      </c>
      <c r="E36" s="10">
        <v>1</v>
      </c>
      <c r="F36" s="10">
        <v>0</v>
      </c>
      <c r="G36" s="10">
        <v>0</v>
      </c>
      <c r="H36" s="10">
        <v>0</v>
      </c>
      <c r="I36" s="7" t="s">
        <v>90</v>
      </c>
      <c r="J36" s="7" t="s">
        <v>90</v>
      </c>
      <c r="K36" s="7" t="s">
        <v>90</v>
      </c>
      <c r="L36" s="7" t="s">
        <v>90</v>
      </c>
    </row>
    <row r="37" spans="1:13" x14ac:dyDescent="0.25">
      <c r="A37" s="7"/>
      <c r="C37" s="10">
        <f>SUM(C32,C35)</f>
        <v>83</v>
      </c>
      <c r="D37" s="10">
        <f>SUM(D32,D35)</f>
        <v>53</v>
      </c>
      <c r="E37" s="10">
        <f>SUM(E32,E35)</f>
        <v>1</v>
      </c>
      <c r="F37" s="10">
        <f>SUM(F32,F35)</f>
        <v>0</v>
      </c>
      <c r="G37" s="10">
        <f>SUM(G32,G35)</f>
        <v>0</v>
      </c>
      <c r="H37" s="10">
        <f>SUM(H32,H35)</f>
        <v>0</v>
      </c>
      <c r="I37" s="7" t="s">
        <v>969</v>
      </c>
      <c r="J37" s="7" t="s">
        <v>973</v>
      </c>
      <c r="K37" s="7" t="s">
        <v>977</v>
      </c>
      <c r="L37" s="7" t="s">
        <v>981</v>
      </c>
      <c r="M37">
        <f>SUM(M32,M35)</f>
        <v>0</v>
      </c>
    </row>
    <row r="38" spans="1:13" x14ac:dyDescent="0.25">
      <c r="A38" s="7"/>
      <c r="C38" s="10">
        <f>C37-C36</f>
        <v>0</v>
      </c>
      <c r="D38" s="10">
        <f>D37-D36</f>
        <v>0</v>
      </c>
      <c r="E38" s="10">
        <f>E37-E36</f>
        <v>0</v>
      </c>
      <c r="F38" s="10">
        <f>F37-F36</f>
        <v>0</v>
      </c>
      <c r="G38" s="10">
        <f>G37-G36</f>
        <v>0</v>
      </c>
      <c r="H38" s="10">
        <f>H37-H36</f>
        <v>0</v>
      </c>
      <c r="I38" s="7" t="s">
        <v>970</v>
      </c>
      <c r="J38" s="7" t="s">
        <v>974</v>
      </c>
      <c r="K38" s="7" t="s">
        <v>978</v>
      </c>
      <c r="L38" s="7" t="s">
        <v>982</v>
      </c>
      <c r="M38">
        <f>M37-M36</f>
        <v>0</v>
      </c>
    </row>
    <row r="39" spans="1:13" x14ac:dyDescent="0.25">
      <c r="A39" s="7" t="s">
        <v>721</v>
      </c>
      <c r="B39" s="20">
        <v>5.5E-2</v>
      </c>
      <c r="C39" s="23">
        <v>0.99299999999999999</v>
      </c>
      <c r="D39" s="23">
        <v>0.96099999999999997</v>
      </c>
      <c r="E39" s="23">
        <v>0.91100000000000003</v>
      </c>
      <c r="F39" s="23">
        <v>0.86299999999999999</v>
      </c>
      <c r="G39" s="23">
        <v>0.81799999999999995</v>
      </c>
      <c r="H39" s="23">
        <v>0.77600000000000002</v>
      </c>
    </row>
    <row r="40" spans="1:13" x14ac:dyDescent="0.25">
      <c r="A40" s="7" t="s">
        <v>722</v>
      </c>
      <c r="C40" s="10">
        <v>82</v>
      </c>
      <c r="D40" s="10">
        <v>51</v>
      </c>
      <c r="E40" s="10">
        <v>1</v>
      </c>
      <c r="F40" s="10">
        <v>0</v>
      </c>
      <c r="G40" s="10">
        <v>0</v>
      </c>
      <c r="H40" s="10">
        <v>0</v>
      </c>
      <c r="I40" s="7" t="s">
        <v>90</v>
      </c>
      <c r="J40" s="7" t="s">
        <v>90</v>
      </c>
      <c r="K40" s="7" t="s">
        <v>90</v>
      </c>
      <c r="L40" s="7" t="s">
        <v>90</v>
      </c>
    </row>
    <row r="41" spans="1:13" x14ac:dyDescent="0.25">
      <c r="A41" s="7"/>
      <c r="C41" s="10">
        <f>C36*C39</f>
        <v>82.418999999999997</v>
      </c>
      <c r="D41" s="10">
        <f>D36*D39</f>
        <v>50.933</v>
      </c>
      <c r="E41" s="10">
        <f>E36*E39</f>
        <v>0.91100000000000003</v>
      </c>
      <c r="F41" s="10">
        <f>F36*F39</f>
        <v>0</v>
      </c>
      <c r="G41" s="10">
        <f>G36*G39</f>
        <v>0</v>
      </c>
      <c r="H41" s="10">
        <f>H36*H39</f>
        <v>0</v>
      </c>
      <c r="I41" s="7" t="s">
        <v>971</v>
      </c>
      <c r="J41" s="7" t="s">
        <v>975</v>
      </c>
      <c r="K41" s="7" t="s">
        <v>979</v>
      </c>
      <c r="L41" s="7" t="s">
        <v>983</v>
      </c>
      <c r="M41">
        <f>M36*M39</f>
        <v>0</v>
      </c>
    </row>
    <row r="42" spans="1:13" x14ac:dyDescent="0.25">
      <c r="A42" s="7"/>
      <c r="C42" s="10">
        <f>C41-C40</f>
        <v>0.41899999999999693</v>
      </c>
      <c r="D42" s="10">
        <f>D41-D40</f>
        <v>-6.7000000000000171E-2</v>
      </c>
      <c r="E42" s="10">
        <f>E41-E40</f>
        <v>-8.8999999999999968E-2</v>
      </c>
      <c r="F42" s="10">
        <f>F41-F40</f>
        <v>0</v>
      </c>
      <c r="G42" s="10">
        <f>G41-G40</f>
        <v>0</v>
      </c>
      <c r="H42" s="10">
        <f>H41-H40</f>
        <v>0</v>
      </c>
      <c r="I42" s="7" t="s">
        <v>972</v>
      </c>
      <c r="J42" s="7" t="s">
        <v>976</v>
      </c>
      <c r="K42" s="7" t="s">
        <v>980</v>
      </c>
      <c r="L42" s="7" t="s">
        <v>984</v>
      </c>
      <c r="M42">
        <f>M41-M40</f>
        <v>0</v>
      </c>
    </row>
    <row r="43" spans="1:13" x14ac:dyDescent="0.25">
      <c r="A43" s="7" t="s">
        <v>723</v>
      </c>
      <c r="C43" s="10">
        <v>134</v>
      </c>
    </row>
    <row r="44" spans="1:13" x14ac:dyDescent="0.25">
      <c r="A44" s="6" t="s">
        <v>219</v>
      </c>
      <c r="C44" s="13">
        <v>130</v>
      </c>
    </row>
    <row r="45" spans="1:13" x14ac:dyDescent="0.25">
      <c r="A45" s="7" t="s">
        <v>724</v>
      </c>
      <c r="C45" s="20">
        <v>0.64100000000000001</v>
      </c>
    </row>
    <row r="46" spans="1:13" x14ac:dyDescent="0.25">
      <c r="A46" s="8" t="s">
        <v>127</v>
      </c>
    </row>
    <row r="47" spans="1:13" x14ac:dyDescent="0.25">
      <c r="A47" s="7" t="s">
        <v>725</v>
      </c>
    </row>
    <row r="48" spans="1:13" x14ac:dyDescent="0.25">
      <c r="A48" s="16" t="s">
        <v>61</v>
      </c>
    </row>
    <row r="49" spans="1:12" ht="15.75" x14ac:dyDescent="0.25">
      <c r="A49" s="4" t="s">
        <v>62</v>
      </c>
      <c r="L49" s="30" t="s">
        <v>63</v>
      </c>
    </row>
    <row r="50" spans="1:12" x14ac:dyDescent="0.25">
      <c r="E50" s="5" t="s">
        <v>6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2:M54"/>
  <sheetViews>
    <sheetView workbookViewId="0"/>
  </sheetViews>
  <sheetFormatPr defaultRowHeight="15" x14ac:dyDescent="0.25"/>
  <cols>
    <col min="1" max="1" width="75" bestFit="1" customWidth="1"/>
  </cols>
  <sheetData>
    <row r="2" spans="1:13" x14ac:dyDescent="0.25">
      <c r="A2" s="6" t="s">
        <v>1</v>
      </c>
    </row>
    <row r="3" spans="1:13" x14ac:dyDescent="0.25">
      <c r="L3" s="7" t="s">
        <v>726</v>
      </c>
    </row>
    <row r="4" spans="1:13" x14ac:dyDescent="0.25">
      <c r="A4" s="6" t="s">
        <v>9</v>
      </c>
    </row>
    <row r="5" spans="1:13" x14ac:dyDescent="0.25">
      <c r="A5" s="6" t="s">
        <v>727</v>
      </c>
    </row>
    <row r="6" spans="1:13" x14ac:dyDescent="0.25">
      <c r="A6" s="6" t="s">
        <v>11</v>
      </c>
    </row>
    <row r="7" spans="1:13" x14ac:dyDescent="0.25">
      <c r="A7" s="8" t="s">
        <v>636</v>
      </c>
    </row>
    <row r="8" spans="1:13" x14ac:dyDescent="0.25">
      <c r="A8" s="7" t="s">
        <v>710</v>
      </c>
      <c r="C8" s="20">
        <v>0.30499999999999999</v>
      </c>
    </row>
    <row r="9" spans="1:13" x14ac:dyDescent="0.25">
      <c r="A9" s="7" t="s">
        <v>631</v>
      </c>
      <c r="C9" s="20">
        <v>3.5999999999999997E-2</v>
      </c>
    </row>
    <row r="10" spans="1:13" x14ac:dyDescent="0.25">
      <c r="A10" s="7" t="s">
        <v>728</v>
      </c>
      <c r="C10" s="20">
        <v>5.5E-2</v>
      </c>
    </row>
    <row r="11" spans="1:13" x14ac:dyDescent="0.25">
      <c r="A11" s="7"/>
      <c r="C11" s="20">
        <f>SUM(C8:C9)</f>
        <v>0.34099999999999997</v>
      </c>
      <c r="D11">
        <f>SUM(D8:D9)</f>
        <v>0</v>
      </c>
      <c r="E11">
        <f>SUM(E8:E9)</f>
        <v>0</v>
      </c>
      <c r="F11">
        <f>SUM(F8:F9)</f>
        <v>0</v>
      </c>
      <c r="G11">
        <f>SUM(G8:G9)</f>
        <v>0</v>
      </c>
      <c r="H11">
        <f>SUM(H8:H9)</f>
        <v>0</v>
      </c>
      <c r="I11">
        <f>SUM(I8:I9)</f>
        <v>0</v>
      </c>
      <c r="J11">
        <f>SUM(J8:J9)</f>
        <v>0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C12" s="20">
        <f>C11-C10</f>
        <v>0.28599999999999998</v>
      </c>
      <c r="D12">
        <f>D11-D10</f>
        <v>0</v>
      </c>
      <c r="E12">
        <f>E11-E10</f>
        <v>0</v>
      </c>
      <c r="F12">
        <f>F11-F10</f>
        <v>0</v>
      </c>
      <c r="G12">
        <f>G11-G10</f>
        <v>0</v>
      </c>
      <c r="H12">
        <f>H11-H10</f>
        <v>0</v>
      </c>
      <c r="I12">
        <f>I11-I10</f>
        <v>0</v>
      </c>
      <c r="J12">
        <f>J11-J10</f>
        <v>0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729</v>
      </c>
    </row>
    <row r="14" spans="1:13" x14ac:dyDescent="0.25">
      <c r="A14" s="7" t="s">
        <v>712</v>
      </c>
      <c r="C14" s="20">
        <v>1.0999999999999999E-2</v>
      </c>
    </row>
    <row r="15" spans="1:13" x14ac:dyDescent="0.25">
      <c r="A15" s="7"/>
      <c r="C15" s="20">
        <f>C10*C13</f>
        <v>0</v>
      </c>
      <c r="D15">
        <f>D10*D13</f>
        <v>0</v>
      </c>
      <c r="E15">
        <f>E10*E13</f>
        <v>0</v>
      </c>
      <c r="F15">
        <f>F10*F13</f>
        <v>0</v>
      </c>
      <c r="G15">
        <f>G10*G13</f>
        <v>0</v>
      </c>
      <c r="H15">
        <f>H10*H13</f>
        <v>0</v>
      </c>
      <c r="I15">
        <f>I10*I13</f>
        <v>0</v>
      </c>
      <c r="J15">
        <f>J10*J13</f>
        <v>0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C16" s="20">
        <f>C15-C14</f>
        <v>-1.0999999999999999E-2</v>
      </c>
      <c r="D16">
        <f>D15-D14</f>
        <v>0</v>
      </c>
      <c r="E16">
        <f>E15-E14</f>
        <v>0</v>
      </c>
      <c r="F16">
        <f>F15-F14</f>
        <v>0</v>
      </c>
      <c r="G16">
        <f>G15-G14</f>
        <v>0</v>
      </c>
      <c r="H16">
        <f>H15-H14</f>
        <v>0</v>
      </c>
      <c r="I16">
        <f>I15-I14</f>
        <v>0</v>
      </c>
      <c r="J16">
        <f>J15-J14</f>
        <v>0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713</v>
      </c>
      <c r="C17" s="20">
        <v>8.2000000000000003E-2</v>
      </c>
    </row>
    <row r="18" spans="1:13" x14ac:dyDescent="0.25">
      <c r="A18" s="7" t="s">
        <v>714</v>
      </c>
      <c r="C18" s="20">
        <v>0.48799999999999999</v>
      </c>
    </row>
    <row r="19" spans="1:13" x14ac:dyDescent="0.25">
      <c r="A19" s="7" t="s">
        <v>730</v>
      </c>
      <c r="C19" s="20">
        <v>0.27900000000000003</v>
      </c>
    </row>
    <row r="20" spans="1:13" x14ac:dyDescent="0.25">
      <c r="A20" s="7" t="s">
        <v>731</v>
      </c>
    </row>
    <row r="21" spans="1:13" x14ac:dyDescent="0.25">
      <c r="A21" s="7"/>
      <c r="C21" s="57">
        <f>SUM(C18,C19)</f>
        <v>0.76700000000000002</v>
      </c>
      <c r="D21">
        <f>SUM(D18,D19)</f>
        <v>0</v>
      </c>
      <c r="E21">
        <f>SUM(E18,E19)</f>
        <v>0</v>
      </c>
      <c r="F21">
        <f>SUM(F18,F19)</f>
        <v>0</v>
      </c>
      <c r="G21">
        <f>SUM(G18,G19)</f>
        <v>0</v>
      </c>
      <c r="H21">
        <f>SUM(H18,H19)</f>
        <v>0</v>
      </c>
      <c r="I21">
        <f>SUM(I18,I19)</f>
        <v>0</v>
      </c>
      <c r="J21">
        <f>SUM(J18,J19)</f>
        <v>0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7"/>
      <c r="C22" s="57">
        <f>C21-C20</f>
        <v>0.76700000000000002</v>
      </c>
      <c r="D22">
        <f>D21-D20</f>
        <v>0</v>
      </c>
      <c r="E22">
        <f>E21-E20</f>
        <v>0</v>
      </c>
      <c r="F22">
        <f>F21-F20</f>
        <v>0</v>
      </c>
      <c r="G22">
        <f>G21-G20</f>
        <v>0</v>
      </c>
      <c r="H22">
        <f>H21-H20</f>
        <v>0</v>
      </c>
      <c r="I22">
        <f>I21-I20</f>
        <v>0</v>
      </c>
      <c r="J22">
        <f>J21-J20</f>
        <v>0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716</v>
      </c>
      <c r="C23" s="20">
        <v>0.38600000000000001</v>
      </c>
    </row>
    <row r="24" spans="1:13" x14ac:dyDescent="0.25">
      <c r="A24" s="7"/>
      <c r="C24" s="20">
        <f>C10*B23</f>
        <v>0</v>
      </c>
      <c r="D24">
        <f>D10*B23</f>
        <v>0</v>
      </c>
      <c r="E24">
        <f>E10*B23</f>
        <v>0</v>
      </c>
      <c r="F24">
        <f>F10*B23</f>
        <v>0</v>
      </c>
      <c r="G24">
        <f>G10*B23</f>
        <v>0</v>
      </c>
      <c r="H24">
        <f>H10*B23</f>
        <v>0</v>
      </c>
      <c r="I24">
        <f>I10*B23</f>
        <v>0</v>
      </c>
      <c r="J24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 s="20">
        <f>C24-C23</f>
        <v>-0.38600000000000001</v>
      </c>
      <c r="D25">
        <f>D24-D23</f>
        <v>0</v>
      </c>
      <c r="E25">
        <f>E24-E23</f>
        <v>0</v>
      </c>
      <c r="F25">
        <f>F24-F23</f>
        <v>0</v>
      </c>
      <c r="G25">
        <f>G24-G23</f>
        <v>0</v>
      </c>
      <c r="H25">
        <f>H24-H23</f>
        <v>0</v>
      </c>
      <c r="I25">
        <f>I24-I23</f>
        <v>0</v>
      </c>
      <c r="J25">
        <f>J24-J23</f>
        <v>0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C26" s="9" t="s">
        <v>95</v>
      </c>
      <c r="G26" s="9" t="s">
        <v>96</v>
      </c>
    </row>
    <row r="27" spans="1:13" x14ac:dyDescent="0.25">
      <c r="C27" s="9" t="s">
        <v>985</v>
      </c>
      <c r="D27">
        <f>SUM(D20,D23)</f>
        <v>0</v>
      </c>
      <c r="E27">
        <f>SUM(E20,E23)</f>
        <v>0</v>
      </c>
      <c r="F27">
        <f>SUM(F20,F23)</f>
        <v>0</v>
      </c>
      <c r="G27" s="9" t="s">
        <v>865</v>
      </c>
      <c r="H27">
        <f>SUM(H20,H23)</f>
        <v>0</v>
      </c>
      <c r="I27">
        <f>SUM(I20,I23)</f>
        <v>0</v>
      </c>
      <c r="J27">
        <f>SUM(J20,J23)</f>
        <v>0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C28" s="9" t="s">
        <v>986</v>
      </c>
      <c r="D28">
        <f>D27-D26</f>
        <v>0</v>
      </c>
      <c r="E28">
        <f>E27-E26</f>
        <v>0</v>
      </c>
      <c r="F28">
        <f>F27-F26</f>
        <v>0</v>
      </c>
      <c r="G28" s="9" t="s">
        <v>866</v>
      </c>
      <c r="H28">
        <f>H27-H26</f>
        <v>0</v>
      </c>
      <c r="I28">
        <f>I27-I26</f>
        <v>0</v>
      </c>
      <c r="J28">
        <f>J27-J26</f>
        <v>0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8" t="s">
        <v>12</v>
      </c>
      <c r="C29" s="9" t="s">
        <v>97</v>
      </c>
      <c r="D29" s="9" t="s">
        <v>98</v>
      </c>
      <c r="E29" s="9" t="s">
        <v>99</v>
      </c>
      <c r="F29" s="9" t="s">
        <v>100</v>
      </c>
      <c r="G29" s="9" t="s">
        <v>101</v>
      </c>
      <c r="H29" s="9" t="s">
        <v>102</v>
      </c>
      <c r="I29" s="9" t="s">
        <v>103</v>
      </c>
      <c r="J29" s="9" t="s">
        <v>104</v>
      </c>
      <c r="K29" s="9" t="s">
        <v>200</v>
      </c>
      <c r="L29" s="9" t="s">
        <v>201</v>
      </c>
    </row>
    <row r="30" spans="1:13" x14ac:dyDescent="0.25">
      <c r="A30" s="8"/>
      <c r="C30" s="9" t="s">
        <v>935</v>
      </c>
      <c r="D30" s="9" t="s">
        <v>941</v>
      </c>
      <c r="E30" s="9" t="s">
        <v>843</v>
      </c>
      <c r="F30" s="9" t="s">
        <v>855</v>
      </c>
      <c r="G30" s="9" t="s">
        <v>867</v>
      </c>
      <c r="H30" s="9" t="s">
        <v>879</v>
      </c>
      <c r="I30" s="9" t="s">
        <v>891</v>
      </c>
      <c r="J30" s="9" t="s">
        <v>903</v>
      </c>
      <c r="K30" s="9" t="s">
        <v>915</v>
      </c>
      <c r="L30" s="9" t="s">
        <v>927</v>
      </c>
      <c r="M30">
        <f>M26*B29</f>
        <v>0</v>
      </c>
    </row>
    <row r="31" spans="1:13" x14ac:dyDescent="0.25">
      <c r="A31" s="8"/>
      <c r="C31" s="9" t="s">
        <v>936</v>
      </c>
      <c r="D31" s="9" t="s">
        <v>942</v>
      </c>
      <c r="E31" s="9" t="s">
        <v>844</v>
      </c>
      <c r="F31" s="9" t="s">
        <v>856</v>
      </c>
      <c r="G31" s="9" t="s">
        <v>868</v>
      </c>
      <c r="H31" s="9" t="s">
        <v>880</v>
      </c>
      <c r="I31" s="9" t="s">
        <v>892</v>
      </c>
      <c r="J31" s="9" t="s">
        <v>904</v>
      </c>
      <c r="K31" s="9" t="s">
        <v>916</v>
      </c>
      <c r="L31" s="9" t="s">
        <v>928</v>
      </c>
      <c r="M31">
        <f>M30-M29</f>
        <v>0</v>
      </c>
    </row>
    <row r="32" spans="1:13" x14ac:dyDescent="0.25">
      <c r="A32" s="7" t="s">
        <v>717</v>
      </c>
      <c r="B32" s="13">
        <v>96</v>
      </c>
    </row>
    <row r="33" spans="1:13" x14ac:dyDescent="0.25">
      <c r="A33" s="7"/>
      <c r="B33" s="13"/>
      <c r="C33" s="56">
        <f>SUM(C26,C29)</f>
        <v>0</v>
      </c>
      <c r="D33" s="56">
        <f>SUM(D26,D29)</f>
        <v>0</v>
      </c>
      <c r="E33" s="56">
        <f>SUM(E26,E29)</f>
        <v>0</v>
      </c>
      <c r="F33" s="56">
        <f>SUM(F26,F29)</f>
        <v>0</v>
      </c>
      <c r="G33" s="56">
        <f>SUM(G26,G29)</f>
        <v>0</v>
      </c>
      <c r="H33" s="56">
        <f>SUM(H26,H29)</f>
        <v>0</v>
      </c>
      <c r="I33" s="56">
        <f>SUM(I26,I29)</f>
        <v>0</v>
      </c>
      <c r="J33" s="56">
        <f>SUM(J26,J29)</f>
        <v>0</v>
      </c>
      <c r="K33" s="56">
        <f>SUM(K26,K29)</f>
        <v>0</v>
      </c>
      <c r="L33" s="56">
        <f>SUM(L26,L29)</f>
        <v>0</v>
      </c>
      <c r="M33">
        <f>SUM(M26,M29)</f>
        <v>0</v>
      </c>
    </row>
    <row r="34" spans="1:13" x14ac:dyDescent="0.25">
      <c r="A34" s="7"/>
      <c r="B34" s="13"/>
      <c r="C34" s="56">
        <f>C33-C32</f>
        <v>0</v>
      </c>
      <c r="D34" s="56">
        <f>D33-D32</f>
        <v>0</v>
      </c>
      <c r="E34" s="56">
        <f>E33-E32</f>
        <v>0</v>
      </c>
      <c r="F34" s="56">
        <f>F33-F32</f>
        <v>0</v>
      </c>
      <c r="G34" s="56">
        <f>G33-G32</f>
        <v>0</v>
      </c>
      <c r="H34" s="56">
        <f>H33-H32</f>
        <v>0</v>
      </c>
      <c r="I34" s="56">
        <f>I33-I32</f>
        <v>0</v>
      </c>
      <c r="J34" s="56">
        <f>J33-J32</f>
        <v>0</v>
      </c>
      <c r="K34" s="56">
        <f>K33-K32</f>
        <v>0</v>
      </c>
      <c r="L34" s="56">
        <f>L33-L32</f>
        <v>0</v>
      </c>
      <c r="M34">
        <f>M33-M32</f>
        <v>0</v>
      </c>
    </row>
    <row r="35" spans="1:13" x14ac:dyDescent="0.25">
      <c r="A35" s="7" t="s">
        <v>718</v>
      </c>
      <c r="C35" s="10">
        <v>36</v>
      </c>
      <c r="D35" s="10">
        <v>52</v>
      </c>
      <c r="E35" s="10">
        <v>7</v>
      </c>
      <c r="F35" s="10">
        <v>1</v>
      </c>
      <c r="G35" s="10">
        <v>0</v>
      </c>
      <c r="H35" s="10">
        <v>0</v>
      </c>
      <c r="I35" s="7" t="s">
        <v>90</v>
      </c>
      <c r="J35" s="7" t="s">
        <v>90</v>
      </c>
      <c r="K35" s="7" t="s">
        <v>90</v>
      </c>
      <c r="L35" s="7" t="s">
        <v>90</v>
      </c>
    </row>
    <row r="36" spans="1:13" x14ac:dyDescent="0.25">
      <c r="A36" s="7" t="s">
        <v>719</v>
      </c>
      <c r="C36" s="10">
        <v>17</v>
      </c>
      <c r="D36" s="10">
        <v>26</v>
      </c>
      <c r="E36" s="10">
        <v>3</v>
      </c>
      <c r="F36" s="10">
        <v>0</v>
      </c>
      <c r="G36" s="10">
        <v>0</v>
      </c>
      <c r="H36" s="10">
        <v>0</v>
      </c>
      <c r="I36" s="7" t="s">
        <v>90</v>
      </c>
      <c r="J36" s="7" t="s">
        <v>90</v>
      </c>
      <c r="K36" s="7" t="s">
        <v>90</v>
      </c>
      <c r="L36" s="7" t="s">
        <v>90</v>
      </c>
    </row>
    <row r="37" spans="1:13" x14ac:dyDescent="0.25">
      <c r="A37" s="7"/>
      <c r="C37" s="10">
        <f>SUM(C32,C35)</f>
        <v>36</v>
      </c>
      <c r="D37" s="10">
        <f>SUM(D32,D35)</f>
        <v>52</v>
      </c>
      <c r="E37" s="10">
        <f>SUM(E32,E35)</f>
        <v>7</v>
      </c>
      <c r="F37" s="10">
        <f>SUM(F32,F35)</f>
        <v>1</v>
      </c>
      <c r="G37" s="10">
        <f>SUM(G32,G35)</f>
        <v>0</v>
      </c>
      <c r="H37" s="10">
        <f>SUM(H32,H35)</f>
        <v>0</v>
      </c>
      <c r="I37" s="7" t="s">
        <v>969</v>
      </c>
      <c r="J37" s="7" t="s">
        <v>973</v>
      </c>
      <c r="K37" s="7" t="s">
        <v>977</v>
      </c>
      <c r="L37" s="7" t="s">
        <v>981</v>
      </c>
      <c r="M37">
        <f>SUM(M32,M35)</f>
        <v>0</v>
      </c>
    </row>
    <row r="38" spans="1:13" x14ac:dyDescent="0.25">
      <c r="A38" s="7"/>
      <c r="C38" s="10">
        <f>C37-C36</f>
        <v>19</v>
      </c>
      <c r="D38" s="10">
        <f>D37-D36</f>
        <v>26</v>
      </c>
      <c r="E38" s="10">
        <f>E37-E36</f>
        <v>4</v>
      </c>
      <c r="F38" s="10">
        <f>F37-F36</f>
        <v>1</v>
      </c>
      <c r="G38" s="10">
        <f>G37-G36</f>
        <v>0</v>
      </c>
      <c r="H38" s="10">
        <f>H37-H36</f>
        <v>0</v>
      </c>
      <c r="I38" s="7" t="s">
        <v>970</v>
      </c>
      <c r="J38" s="7" t="s">
        <v>974</v>
      </c>
      <c r="K38" s="7" t="s">
        <v>978</v>
      </c>
      <c r="L38" s="7" t="s">
        <v>982</v>
      </c>
      <c r="M38">
        <f>M37-M36</f>
        <v>0</v>
      </c>
    </row>
    <row r="39" spans="1:13" x14ac:dyDescent="0.25">
      <c r="A39" s="7" t="s">
        <v>720</v>
      </c>
      <c r="C39" s="10">
        <v>7</v>
      </c>
      <c r="D39" s="10">
        <v>10</v>
      </c>
      <c r="E39" s="10">
        <v>1</v>
      </c>
      <c r="F39" s="10">
        <v>0</v>
      </c>
      <c r="G39" s="10">
        <v>0</v>
      </c>
      <c r="H39" s="10">
        <v>0</v>
      </c>
      <c r="I39" s="7" t="s">
        <v>90</v>
      </c>
      <c r="J39" s="7" t="s">
        <v>90</v>
      </c>
      <c r="K39" s="7" t="s">
        <v>90</v>
      </c>
      <c r="L39" s="7" t="s">
        <v>90</v>
      </c>
    </row>
    <row r="40" spans="1:13" x14ac:dyDescent="0.25">
      <c r="A40" s="7" t="s">
        <v>218</v>
      </c>
      <c r="C40" s="10">
        <v>24</v>
      </c>
      <c r="D40" s="10">
        <v>36</v>
      </c>
      <c r="E40" s="10">
        <v>5</v>
      </c>
      <c r="F40" s="10">
        <v>1</v>
      </c>
      <c r="G40" s="10">
        <v>0</v>
      </c>
      <c r="H40" s="10">
        <v>0</v>
      </c>
      <c r="I40" s="7" t="s">
        <v>90</v>
      </c>
      <c r="J40" s="7" t="s">
        <v>90</v>
      </c>
      <c r="K40" s="7" t="s">
        <v>90</v>
      </c>
      <c r="L40" s="7" t="s">
        <v>90</v>
      </c>
    </row>
    <row r="41" spans="1:13" x14ac:dyDescent="0.25">
      <c r="A41" s="7"/>
      <c r="C41" s="10">
        <f>C36*C39</f>
        <v>119</v>
      </c>
      <c r="D41" s="10">
        <f>D36*D39</f>
        <v>260</v>
      </c>
      <c r="E41" s="10">
        <f>E36*E39</f>
        <v>3</v>
      </c>
      <c r="F41" s="10">
        <f>F36*F39</f>
        <v>0</v>
      </c>
      <c r="G41" s="10">
        <f>G36*G39</f>
        <v>0</v>
      </c>
      <c r="H41" s="10">
        <f>H36*H39</f>
        <v>0</v>
      </c>
      <c r="I41" s="7" t="s">
        <v>971</v>
      </c>
      <c r="J41" s="7" t="s">
        <v>975</v>
      </c>
      <c r="K41" s="7" t="s">
        <v>979</v>
      </c>
      <c r="L41" s="7" t="s">
        <v>983</v>
      </c>
      <c r="M41">
        <f>M36*M39</f>
        <v>0</v>
      </c>
    </row>
    <row r="42" spans="1:13" x14ac:dyDescent="0.25">
      <c r="A42" s="7"/>
      <c r="C42" s="10">
        <f>C41-C40</f>
        <v>95</v>
      </c>
      <c r="D42" s="10">
        <f>D41-D40</f>
        <v>224</v>
      </c>
      <c r="E42" s="10">
        <f>E41-E40</f>
        <v>-2</v>
      </c>
      <c r="F42" s="10">
        <f>F41-F40</f>
        <v>-1</v>
      </c>
      <c r="G42" s="10">
        <f>G41-G40</f>
        <v>0</v>
      </c>
      <c r="H42" s="10">
        <f>H41-H40</f>
        <v>0</v>
      </c>
      <c r="I42" s="7" t="s">
        <v>972</v>
      </c>
      <c r="J42" s="7" t="s">
        <v>976</v>
      </c>
      <c r="K42" s="7" t="s">
        <v>980</v>
      </c>
      <c r="L42" s="7" t="s">
        <v>984</v>
      </c>
      <c r="M42">
        <f>M41-M40</f>
        <v>0</v>
      </c>
    </row>
    <row r="43" spans="1:13" x14ac:dyDescent="0.25">
      <c r="A43" s="7" t="s">
        <v>721</v>
      </c>
      <c r="B43" s="20">
        <v>5.5E-2</v>
      </c>
      <c r="C43" s="23">
        <v>0.99299999999999999</v>
      </c>
      <c r="D43" s="23">
        <v>0.96099999999999997</v>
      </c>
      <c r="E43" s="23">
        <v>0.91100000000000003</v>
      </c>
      <c r="F43" s="23">
        <v>0.86299999999999999</v>
      </c>
      <c r="G43" s="23">
        <v>0.81799999999999995</v>
      </c>
      <c r="H43" s="23">
        <v>0.77600000000000002</v>
      </c>
      <c r="I43" s="23">
        <v>0.73499999999999999</v>
      </c>
      <c r="J43" s="23">
        <v>0.69699999999999995</v>
      </c>
      <c r="K43" s="23">
        <v>0.66100000000000003</v>
      </c>
      <c r="L43" s="23">
        <v>0.626</v>
      </c>
    </row>
    <row r="44" spans="1:13" x14ac:dyDescent="0.25">
      <c r="A44" s="7" t="s">
        <v>722</v>
      </c>
      <c r="C44" s="10">
        <v>24</v>
      </c>
      <c r="D44" s="10">
        <v>34</v>
      </c>
      <c r="E44" s="10">
        <v>4</v>
      </c>
      <c r="F44" s="10">
        <v>0</v>
      </c>
      <c r="G44" s="10">
        <v>0</v>
      </c>
      <c r="H44" s="10">
        <v>0</v>
      </c>
      <c r="I44" s="7" t="s">
        <v>90</v>
      </c>
      <c r="J44" s="7" t="s">
        <v>90</v>
      </c>
      <c r="K44" s="7" t="s">
        <v>90</v>
      </c>
      <c r="L44" s="7" t="s">
        <v>90</v>
      </c>
    </row>
    <row r="45" spans="1:13" x14ac:dyDescent="0.25">
      <c r="A45" s="7" t="s">
        <v>723</v>
      </c>
      <c r="C45" s="10">
        <v>63</v>
      </c>
    </row>
    <row r="46" spans="1:13" x14ac:dyDescent="0.25">
      <c r="A46" s="6" t="s">
        <v>219</v>
      </c>
      <c r="C46" s="13">
        <v>60</v>
      </c>
    </row>
    <row r="47" spans="1:13" x14ac:dyDescent="0.25">
      <c r="A47" s="7" t="s">
        <v>724</v>
      </c>
      <c r="C47" s="20">
        <v>0.623</v>
      </c>
    </row>
    <row r="48" spans="1:13" x14ac:dyDescent="0.25">
      <c r="A48" s="8" t="s">
        <v>127</v>
      </c>
    </row>
    <row r="49" spans="1:12" x14ac:dyDescent="0.25">
      <c r="A49" s="7" t="s">
        <v>725</v>
      </c>
    </row>
    <row r="50" spans="1:12" x14ac:dyDescent="0.25">
      <c r="A50" s="16" t="s">
        <v>61</v>
      </c>
    </row>
    <row r="51" spans="1:12" ht="15.75" x14ac:dyDescent="0.25">
      <c r="A51" s="4" t="s">
        <v>62</v>
      </c>
      <c r="L51" s="30" t="s">
        <v>63</v>
      </c>
    </row>
    <row r="52" spans="1:12" x14ac:dyDescent="0.25">
      <c r="E52" s="5" t="s">
        <v>6</v>
      </c>
    </row>
    <row r="53" spans="1:12" x14ac:dyDescent="0.25">
      <c r="E53" s="5"/>
    </row>
    <row r="54" spans="1:12" x14ac:dyDescent="0.25">
      <c r="E54" s="5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2:M54"/>
  <sheetViews>
    <sheetView workbookViewId="0"/>
  </sheetViews>
  <sheetFormatPr defaultRowHeight="15" x14ac:dyDescent="0.25"/>
  <cols>
    <col min="1" max="1" width="75" bestFit="1" customWidth="1"/>
  </cols>
  <sheetData>
    <row r="2" spans="1:13" x14ac:dyDescent="0.25">
      <c r="A2" s="6" t="s">
        <v>1</v>
      </c>
    </row>
    <row r="3" spans="1:13" x14ac:dyDescent="0.25">
      <c r="L3" s="7" t="s">
        <v>732</v>
      </c>
    </row>
    <row r="4" spans="1:13" x14ac:dyDescent="0.25">
      <c r="A4" s="6" t="s">
        <v>9</v>
      </c>
    </row>
    <row r="5" spans="1:13" x14ac:dyDescent="0.25">
      <c r="A5" s="6" t="s">
        <v>733</v>
      </c>
    </row>
    <row r="6" spans="1:13" x14ac:dyDescent="0.25">
      <c r="A6" s="6" t="s">
        <v>11</v>
      </c>
    </row>
    <row r="7" spans="1:13" x14ac:dyDescent="0.25">
      <c r="A7" s="8" t="s">
        <v>636</v>
      </c>
    </row>
    <row r="8" spans="1:13" x14ac:dyDescent="0.25">
      <c r="A8" s="7" t="s">
        <v>710</v>
      </c>
      <c r="C8" s="20">
        <v>0.30499999999999999</v>
      </c>
    </row>
    <row r="9" spans="1:13" x14ac:dyDescent="0.25">
      <c r="A9" s="7" t="s">
        <v>631</v>
      </c>
      <c r="C9" s="20">
        <v>3.5999999999999997E-2</v>
      </c>
    </row>
    <row r="10" spans="1:13" x14ac:dyDescent="0.25">
      <c r="A10" s="7" t="s">
        <v>728</v>
      </c>
      <c r="C10" s="20">
        <v>5.5E-2</v>
      </c>
    </row>
    <row r="11" spans="1:13" x14ac:dyDescent="0.25">
      <c r="A11" s="7"/>
      <c r="C11" s="20">
        <f>SUM(C8:C9)</f>
        <v>0.34099999999999997</v>
      </c>
      <c r="D11">
        <f>SUM(D8:D9)</f>
        <v>0</v>
      </c>
      <c r="E11">
        <f>SUM(E8:E9)</f>
        <v>0</v>
      </c>
      <c r="F11">
        <f>SUM(F8:F9)</f>
        <v>0</v>
      </c>
      <c r="G11">
        <f>SUM(G8:G9)</f>
        <v>0</v>
      </c>
      <c r="H11">
        <f>SUM(H8:H9)</f>
        <v>0</v>
      </c>
      <c r="I11">
        <f>SUM(I8:I9)</f>
        <v>0</v>
      </c>
      <c r="J11">
        <f>SUM(J8:J9)</f>
        <v>0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C12" s="20">
        <f>C11-C10</f>
        <v>0.28599999999999998</v>
      </c>
      <c r="D12">
        <f>D11-D10</f>
        <v>0</v>
      </c>
      <c r="E12">
        <f>E11-E10</f>
        <v>0</v>
      </c>
      <c r="F12">
        <f>F11-F10</f>
        <v>0</v>
      </c>
      <c r="G12">
        <f>G11-G10</f>
        <v>0</v>
      </c>
      <c r="H12">
        <f>H11-H10</f>
        <v>0</v>
      </c>
      <c r="I12">
        <f>I11-I10</f>
        <v>0</v>
      </c>
      <c r="J12">
        <f>J11-J10</f>
        <v>0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729</v>
      </c>
    </row>
    <row r="14" spans="1:13" x14ac:dyDescent="0.25">
      <c r="A14" s="7" t="s">
        <v>712</v>
      </c>
      <c r="C14" s="20">
        <v>1.0999999999999999E-2</v>
      </c>
    </row>
    <row r="15" spans="1:13" x14ac:dyDescent="0.25">
      <c r="A15" s="7"/>
      <c r="C15" s="20">
        <f>C10*C13</f>
        <v>0</v>
      </c>
      <c r="D15">
        <f>D10*D13</f>
        <v>0</v>
      </c>
      <c r="E15">
        <f>E10*E13</f>
        <v>0</v>
      </c>
      <c r="F15">
        <f>F10*F13</f>
        <v>0</v>
      </c>
      <c r="G15">
        <f>G10*G13</f>
        <v>0</v>
      </c>
      <c r="H15">
        <f>H10*H13</f>
        <v>0</v>
      </c>
      <c r="I15">
        <f>I10*I13</f>
        <v>0</v>
      </c>
      <c r="J15">
        <f>J10*J13</f>
        <v>0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C16" s="20">
        <f>C15-C14</f>
        <v>-1.0999999999999999E-2</v>
      </c>
      <c r="D16">
        <f>D15-D14</f>
        <v>0</v>
      </c>
      <c r="E16">
        <f>E15-E14</f>
        <v>0</v>
      </c>
      <c r="F16">
        <f>F15-F14</f>
        <v>0</v>
      </c>
      <c r="G16">
        <f>G15-G14</f>
        <v>0</v>
      </c>
      <c r="H16">
        <f>H15-H14</f>
        <v>0</v>
      </c>
      <c r="I16">
        <f>I15-I14</f>
        <v>0</v>
      </c>
      <c r="J16">
        <f>J15-J14</f>
        <v>0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713</v>
      </c>
      <c r="C17" s="20">
        <v>8.2000000000000003E-2</v>
      </c>
    </row>
    <row r="18" spans="1:13" x14ac:dyDescent="0.25">
      <c r="A18" s="7" t="s">
        <v>714</v>
      </c>
      <c r="C18" s="20">
        <v>0.48799999999999999</v>
      </c>
    </row>
    <row r="19" spans="1:13" x14ac:dyDescent="0.25">
      <c r="A19" s="7" t="s">
        <v>730</v>
      </c>
      <c r="C19" s="20">
        <v>0.27900000000000003</v>
      </c>
    </row>
    <row r="20" spans="1:13" x14ac:dyDescent="0.25">
      <c r="A20" s="7" t="s">
        <v>731</v>
      </c>
    </row>
    <row r="21" spans="1:13" x14ac:dyDescent="0.25">
      <c r="A21" s="7"/>
      <c r="C21" s="57">
        <f>SUM(C18,C19)</f>
        <v>0.76700000000000002</v>
      </c>
      <c r="D21">
        <f>SUM(D18,D19)</f>
        <v>0</v>
      </c>
      <c r="E21">
        <f>SUM(E18,E19)</f>
        <v>0</v>
      </c>
      <c r="F21">
        <f>SUM(F18,F19)</f>
        <v>0</v>
      </c>
      <c r="G21">
        <f>SUM(G18,G19)</f>
        <v>0</v>
      </c>
      <c r="H21">
        <f>SUM(H18,H19)</f>
        <v>0</v>
      </c>
      <c r="I21">
        <f>SUM(I18,I19)</f>
        <v>0</v>
      </c>
      <c r="J21">
        <f>SUM(J18,J19)</f>
        <v>0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7"/>
      <c r="C22" s="57">
        <f>C21-C20</f>
        <v>0.76700000000000002</v>
      </c>
      <c r="D22">
        <f>D21-D20</f>
        <v>0</v>
      </c>
      <c r="E22">
        <f>E21-E20</f>
        <v>0</v>
      </c>
      <c r="F22">
        <f>F21-F20</f>
        <v>0</v>
      </c>
      <c r="G22">
        <f>G21-G20</f>
        <v>0</v>
      </c>
      <c r="H22">
        <f>H21-H20</f>
        <v>0</v>
      </c>
      <c r="I22">
        <f>I21-I20</f>
        <v>0</v>
      </c>
      <c r="J22">
        <f>J21-J20</f>
        <v>0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716</v>
      </c>
      <c r="C23" s="20">
        <v>0.38600000000000001</v>
      </c>
    </row>
    <row r="24" spans="1:13" x14ac:dyDescent="0.25">
      <c r="A24" s="7"/>
      <c r="C24" s="20">
        <f>C10*B23</f>
        <v>0</v>
      </c>
      <c r="D24">
        <f>D10*B23</f>
        <v>0</v>
      </c>
      <c r="E24">
        <f>E10*B23</f>
        <v>0</v>
      </c>
      <c r="F24">
        <f>F10*B23</f>
        <v>0</v>
      </c>
      <c r="G24">
        <f>G10*B23</f>
        <v>0</v>
      </c>
      <c r="H24">
        <f>H10*B23</f>
        <v>0</v>
      </c>
      <c r="I24">
        <f>I10*B23</f>
        <v>0</v>
      </c>
      <c r="J24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 s="20">
        <f>C24-C23</f>
        <v>-0.38600000000000001</v>
      </c>
      <c r="D25">
        <f>D24-D23</f>
        <v>0</v>
      </c>
      <c r="E25">
        <f>E24-E23</f>
        <v>0</v>
      </c>
      <c r="F25">
        <f>F24-F23</f>
        <v>0</v>
      </c>
      <c r="G25">
        <f>G24-G23</f>
        <v>0</v>
      </c>
      <c r="H25">
        <f>H24-H23</f>
        <v>0</v>
      </c>
      <c r="I25">
        <f>I24-I23</f>
        <v>0</v>
      </c>
      <c r="J25">
        <f>J24-J23</f>
        <v>0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C26" s="9" t="s">
        <v>95</v>
      </c>
      <c r="G26" s="9" t="s">
        <v>96</v>
      </c>
    </row>
    <row r="27" spans="1:13" x14ac:dyDescent="0.25">
      <c r="C27" s="9" t="s">
        <v>985</v>
      </c>
      <c r="D27">
        <f>SUM(D20,D23)</f>
        <v>0</v>
      </c>
      <c r="E27">
        <f>SUM(E20,E23)</f>
        <v>0</v>
      </c>
      <c r="F27">
        <f>SUM(F20,F23)</f>
        <v>0</v>
      </c>
      <c r="G27" s="9" t="s">
        <v>865</v>
      </c>
      <c r="H27">
        <f>SUM(H20,H23)</f>
        <v>0</v>
      </c>
      <c r="I27">
        <f>SUM(I20,I23)</f>
        <v>0</v>
      </c>
      <c r="J27">
        <f>SUM(J20,J23)</f>
        <v>0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C28" s="9" t="s">
        <v>986</v>
      </c>
      <c r="D28">
        <f>D27-D26</f>
        <v>0</v>
      </c>
      <c r="E28">
        <f>E27-E26</f>
        <v>0</v>
      </c>
      <c r="F28">
        <f>F27-F26</f>
        <v>0</v>
      </c>
      <c r="G28" s="9" t="s">
        <v>866</v>
      </c>
      <c r="H28">
        <f>H27-H26</f>
        <v>0</v>
      </c>
      <c r="I28">
        <f>I27-I26</f>
        <v>0</v>
      </c>
      <c r="J28">
        <f>J27-J26</f>
        <v>0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8" t="s">
        <v>12</v>
      </c>
      <c r="C29" s="9" t="s">
        <v>97</v>
      </c>
      <c r="D29" s="9" t="s">
        <v>98</v>
      </c>
      <c r="E29" s="9" t="s">
        <v>99</v>
      </c>
      <c r="F29" s="9" t="s">
        <v>100</v>
      </c>
      <c r="G29" s="9" t="s">
        <v>101</v>
      </c>
      <c r="H29" s="9" t="s">
        <v>102</v>
      </c>
      <c r="I29" s="9" t="s">
        <v>103</v>
      </c>
      <c r="J29" s="9" t="s">
        <v>104</v>
      </c>
      <c r="K29" s="9" t="s">
        <v>200</v>
      </c>
      <c r="L29" s="9" t="s">
        <v>201</v>
      </c>
    </row>
    <row r="30" spans="1:13" x14ac:dyDescent="0.25">
      <c r="A30" s="8"/>
      <c r="C30" s="9" t="s">
        <v>935</v>
      </c>
      <c r="D30" s="9" t="s">
        <v>941</v>
      </c>
      <c r="E30" s="9" t="s">
        <v>843</v>
      </c>
      <c r="F30" s="9" t="s">
        <v>855</v>
      </c>
      <c r="G30" s="9" t="s">
        <v>867</v>
      </c>
      <c r="H30" s="9" t="s">
        <v>879</v>
      </c>
      <c r="I30" s="9" t="s">
        <v>891</v>
      </c>
      <c r="J30" s="9" t="s">
        <v>903</v>
      </c>
      <c r="K30" s="9" t="s">
        <v>915</v>
      </c>
      <c r="L30" s="9" t="s">
        <v>927</v>
      </c>
      <c r="M30">
        <f>M26*B29</f>
        <v>0</v>
      </c>
    </row>
    <row r="31" spans="1:13" x14ac:dyDescent="0.25">
      <c r="A31" s="8"/>
      <c r="C31" s="9" t="s">
        <v>936</v>
      </c>
      <c r="D31" s="9" t="s">
        <v>942</v>
      </c>
      <c r="E31" s="9" t="s">
        <v>844</v>
      </c>
      <c r="F31" s="9" t="s">
        <v>856</v>
      </c>
      <c r="G31" s="9" t="s">
        <v>868</v>
      </c>
      <c r="H31" s="9" t="s">
        <v>880</v>
      </c>
      <c r="I31" s="9" t="s">
        <v>892</v>
      </c>
      <c r="J31" s="9" t="s">
        <v>904</v>
      </c>
      <c r="K31" s="9" t="s">
        <v>916</v>
      </c>
      <c r="L31" s="9" t="s">
        <v>928</v>
      </c>
      <c r="M31">
        <f>M30-M29</f>
        <v>0</v>
      </c>
    </row>
    <row r="32" spans="1:13" x14ac:dyDescent="0.25">
      <c r="A32" s="7" t="s">
        <v>717</v>
      </c>
      <c r="B32" s="13">
        <v>3</v>
      </c>
    </row>
    <row r="33" spans="1:13" x14ac:dyDescent="0.25">
      <c r="A33" s="7"/>
      <c r="B33" s="13"/>
      <c r="C33" s="56">
        <f>SUM(C26,C29)</f>
        <v>0</v>
      </c>
      <c r="D33" s="56">
        <f>SUM(D26,D29)</f>
        <v>0</v>
      </c>
      <c r="E33" s="56">
        <f>SUM(E26,E29)</f>
        <v>0</v>
      </c>
      <c r="F33" s="56">
        <f>SUM(F26,F29)</f>
        <v>0</v>
      </c>
      <c r="G33" s="56">
        <f>SUM(G26,G29)</f>
        <v>0</v>
      </c>
      <c r="H33" s="56">
        <f>SUM(H26,H29)</f>
        <v>0</v>
      </c>
      <c r="I33" s="56">
        <f>SUM(I26,I29)</f>
        <v>0</v>
      </c>
      <c r="J33" s="56">
        <f>SUM(J26,J29)</f>
        <v>0</v>
      </c>
      <c r="K33" s="56">
        <f>SUM(K26,K29)</f>
        <v>0</v>
      </c>
      <c r="L33" s="56">
        <f>SUM(L26,L29)</f>
        <v>0</v>
      </c>
      <c r="M33">
        <f>SUM(M26,M29)</f>
        <v>0</v>
      </c>
    </row>
    <row r="34" spans="1:13" x14ac:dyDescent="0.25">
      <c r="A34" s="7"/>
      <c r="B34" s="13"/>
      <c r="C34" s="56">
        <f>C33-C32</f>
        <v>0</v>
      </c>
      <c r="D34" s="56">
        <f>D33-D32</f>
        <v>0</v>
      </c>
      <c r="E34" s="56">
        <f>E33-E32</f>
        <v>0</v>
      </c>
      <c r="F34" s="56">
        <f>F33-F32</f>
        <v>0</v>
      </c>
      <c r="G34" s="56">
        <f>G33-G32</f>
        <v>0</v>
      </c>
      <c r="H34" s="56">
        <f>H33-H32</f>
        <v>0</v>
      </c>
      <c r="I34" s="56">
        <f>I33-I32</f>
        <v>0</v>
      </c>
      <c r="J34" s="56">
        <f>J33-J32</f>
        <v>0</v>
      </c>
      <c r="K34" s="56">
        <f>K33-K32</f>
        <v>0</v>
      </c>
      <c r="L34" s="56">
        <f>L33-L32</f>
        <v>0</v>
      </c>
      <c r="M34">
        <f>M33-M32</f>
        <v>0</v>
      </c>
    </row>
    <row r="35" spans="1:13" x14ac:dyDescent="0.25">
      <c r="A35" s="7" t="s">
        <v>718</v>
      </c>
      <c r="C35" s="10">
        <v>3</v>
      </c>
      <c r="D35" s="7" t="s">
        <v>90</v>
      </c>
      <c r="E35" s="7" t="s">
        <v>90</v>
      </c>
      <c r="F35" s="7" t="s">
        <v>90</v>
      </c>
      <c r="G35" s="7" t="s">
        <v>90</v>
      </c>
      <c r="H35" s="7" t="s">
        <v>90</v>
      </c>
      <c r="I35" s="7" t="s">
        <v>90</v>
      </c>
      <c r="J35" s="7" t="s">
        <v>90</v>
      </c>
      <c r="K35" s="7" t="s">
        <v>90</v>
      </c>
      <c r="L35" s="7" t="s">
        <v>90</v>
      </c>
    </row>
    <row r="36" spans="1:13" x14ac:dyDescent="0.25">
      <c r="A36" s="7" t="s">
        <v>719</v>
      </c>
      <c r="C36" s="10">
        <v>1</v>
      </c>
      <c r="D36" s="7" t="s">
        <v>90</v>
      </c>
      <c r="E36" s="7" t="s">
        <v>90</v>
      </c>
      <c r="F36" s="7" t="s">
        <v>90</v>
      </c>
      <c r="G36" s="7" t="s">
        <v>90</v>
      </c>
      <c r="H36" s="7" t="s">
        <v>90</v>
      </c>
      <c r="I36" s="7" t="s">
        <v>90</v>
      </c>
      <c r="J36" s="7" t="s">
        <v>90</v>
      </c>
      <c r="K36" s="7" t="s">
        <v>90</v>
      </c>
      <c r="L36" s="7" t="s">
        <v>90</v>
      </c>
    </row>
    <row r="37" spans="1:13" x14ac:dyDescent="0.25">
      <c r="A37" s="7"/>
      <c r="C37" s="10">
        <f>SUM(C32,C35)</f>
        <v>3</v>
      </c>
      <c r="D37" s="7" t="s">
        <v>943</v>
      </c>
      <c r="E37" s="7" t="s">
        <v>947</v>
      </c>
      <c r="F37" s="7" t="s">
        <v>989</v>
      </c>
      <c r="G37" s="7" t="s">
        <v>953</v>
      </c>
      <c r="H37" s="7" t="s">
        <v>955</v>
      </c>
      <c r="I37" s="7" t="s">
        <v>969</v>
      </c>
      <c r="J37" s="7" t="s">
        <v>973</v>
      </c>
      <c r="K37" s="7" t="s">
        <v>977</v>
      </c>
      <c r="L37" s="7" t="s">
        <v>981</v>
      </c>
      <c r="M37">
        <f>SUM(M32,M35)</f>
        <v>0</v>
      </c>
    </row>
    <row r="38" spans="1:13" x14ac:dyDescent="0.25">
      <c r="A38" s="7"/>
      <c r="C38" s="10">
        <f>C37-C36</f>
        <v>2</v>
      </c>
      <c r="D38" s="7" t="s">
        <v>944</v>
      </c>
      <c r="E38" s="7" t="s">
        <v>948</v>
      </c>
      <c r="F38" s="7" t="s">
        <v>990</v>
      </c>
      <c r="G38" s="7" t="s">
        <v>954</v>
      </c>
      <c r="H38" s="7" t="s">
        <v>956</v>
      </c>
      <c r="I38" s="7" t="s">
        <v>970</v>
      </c>
      <c r="J38" s="7" t="s">
        <v>974</v>
      </c>
      <c r="K38" s="7" t="s">
        <v>978</v>
      </c>
      <c r="L38" s="7" t="s">
        <v>982</v>
      </c>
      <c r="M38">
        <f>M37-M36</f>
        <v>0</v>
      </c>
    </row>
    <row r="39" spans="1:13" x14ac:dyDescent="0.25">
      <c r="A39" s="7" t="s">
        <v>720</v>
      </c>
      <c r="C39" s="10">
        <v>1</v>
      </c>
      <c r="D39" s="7" t="s">
        <v>90</v>
      </c>
      <c r="E39" s="7" t="s">
        <v>90</v>
      </c>
      <c r="F39" s="7" t="s">
        <v>90</v>
      </c>
      <c r="G39" s="7" t="s">
        <v>90</v>
      </c>
      <c r="H39" s="7" t="s">
        <v>90</v>
      </c>
      <c r="I39" s="7" t="s">
        <v>90</v>
      </c>
      <c r="J39" s="7" t="s">
        <v>90</v>
      </c>
      <c r="K39" s="7" t="s">
        <v>90</v>
      </c>
      <c r="L39" s="7" t="s">
        <v>90</v>
      </c>
    </row>
    <row r="40" spans="1:13" x14ac:dyDescent="0.25">
      <c r="A40" s="7" t="s">
        <v>218</v>
      </c>
      <c r="C40" s="10">
        <v>2</v>
      </c>
      <c r="D40" s="7" t="s">
        <v>90</v>
      </c>
      <c r="E40" s="7" t="s">
        <v>90</v>
      </c>
      <c r="F40" s="7" t="s">
        <v>90</v>
      </c>
      <c r="G40" s="7" t="s">
        <v>90</v>
      </c>
      <c r="H40" s="7" t="s">
        <v>90</v>
      </c>
      <c r="I40" s="7" t="s">
        <v>90</v>
      </c>
      <c r="J40" s="7" t="s">
        <v>90</v>
      </c>
      <c r="K40" s="7" t="s">
        <v>90</v>
      </c>
      <c r="L40" s="7" t="s">
        <v>90</v>
      </c>
    </row>
    <row r="41" spans="1:13" x14ac:dyDescent="0.25">
      <c r="A41" s="7"/>
      <c r="C41" s="10">
        <f>C36*C39</f>
        <v>1</v>
      </c>
      <c r="D41" s="7" t="s">
        <v>945</v>
      </c>
      <c r="E41" s="7" t="s">
        <v>987</v>
      </c>
      <c r="F41" s="7" t="s">
        <v>951</v>
      </c>
      <c r="G41" s="7" t="s">
        <v>991</v>
      </c>
      <c r="H41" s="7" t="s">
        <v>993</v>
      </c>
      <c r="I41" s="7" t="s">
        <v>971</v>
      </c>
      <c r="J41" s="7" t="s">
        <v>975</v>
      </c>
      <c r="K41" s="7" t="s">
        <v>979</v>
      </c>
      <c r="L41" s="7" t="s">
        <v>983</v>
      </c>
      <c r="M41">
        <f>M36*M39</f>
        <v>0</v>
      </c>
    </row>
    <row r="42" spans="1:13" x14ac:dyDescent="0.25">
      <c r="A42" s="7"/>
      <c r="C42" s="10">
        <f>C41-C40</f>
        <v>-1</v>
      </c>
      <c r="D42" s="7" t="s">
        <v>946</v>
      </c>
      <c r="E42" s="7" t="s">
        <v>988</v>
      </c>
      <c r="F42" s="7" t="s">
        <v>952</v>
      </c>
      <c r="G42" s="7" t="s">
        <v>992</v>
      </c>
      <c r="H42" s="7" t="s">
        <v>994</v>
      </c>
      <c r="I42" s="7" t="s">
        <v>972</v>
      </c>
      <c r="J42" s="7" t="s">
        <v>976</v>
      </c>
      <c r="K42" s="7" t="s">
        <v>980</v>
      </c>
      <c r="L42" s="7" t="s">
        <v>984</v>
      </c>
      <c r="M42">
        <f>M41-M40</f>
        <v>0</v>
      </c>
    </row>
    <row r="43" spans="1:13" x14ac:dyDescent="0.25">
      <c r="A43" s="7" t="s">
        <v>721</v>
      </c>
      <c r="B43" s="20">
        <v>5.5E-2</v>
      </c>
      <c r="C43" s="23">
        <v>0.99299999999999999</v>
      </c>
      <c r="D43" s="23">
        <v>0.96099999999999997</v>
      </c>
      <c r="E43" s="23">
        <v>0.91100000000000003</v>
      </c>
      <c r="F43" s="23">
        <v>0.86299999999999999</v>
      </c>
      <c r="G43" s="23">
        <v>0.81799999999999995</v>
      </c>
    </row>
    <row r="44" spans="1:13" x14ac:dyDescent="0.25">
      <c r="A44" s="7" t="s">
        <v>722</v>
      </c>
      <c r="C44" s="10">
        <v>2</v>
      </c>
      <c r="D44" s="7" t="s">
        <v>90</v>
      </c>
      <c r="E44" s="7" t="s">
        <v>90</v>
      </c>
      <c r="F44" s="7" t="s">
        <v>90</v>
      </c>
      <c r="G44" s="7" t="s">
        <v>90</v>
      </c>
      <c r="H44" s="7" t="s">
        <v>90</v>
      </c>
      <c r="I44" s="7" t="s">
        <v>90</v>
      </c>
      <c r="J44" s="7" t="s">
        <v>90</v>
      </c>
      <c r="K44" s="7" t="s">
        <v>90</v>
      </c>
      <c r="L44" s="7" t="s">
        <v>90</v>
      </c>
    </row>
    <row r="45" spans="1:13" x14ac:dyDescent="0.25">
      <c r="A45" s="7" t="s">
        <v>723</v>
      </c>
      <c r="C45" s="10">
        <v>2</v>
      </c>
    </row>
    <row r="46" spans="1:13" x14ac:dyDescent="0.25">
      <c r="A46" s="6" t="s">
        <v>219</v>
      </c>
      <c r="C46" s="13">
        <v>2</v>
      </c>
    </row>
    <row r="47" spans="1:13" x14ac:dyDescent="0.25">
      <c r="A47" s="7" t="s">
        <v>724</v>
      </c>
      <c r="C47" s="20">
        <v>0.67200000000000004</v>
      </c>
    </row>
    <row r="48" spans="1:13" x14ac:dyDescent="0.25">
      <c r="A48" s="8" t="s">
        <v>127</v>
      </c>
    </row>
    <row r="49" spans="1:12" x14ac:dyDescent="0.25">
      <c r="A49" s="7" t="s">
        <v>725</v>
      </c>
    </row>
    <row r="50" spans="1:12" x14ac:dyDescent="0.25">
      <c r="A50" s="16" t="s">
        <v>61</v>
      </c>
    </row>
    <row r="51" spans="1:12" ht="15.75" x14ac:dyDescent="0.25">
      <c r="A51" s="4" t="s">
        <v>62</v>
      </c>
      <c r="L51" s="30" t="s">
        <v>63</v>
      </c>
    </row>
    <row r="52" spans="1:12" x14ac:dyDescent="0.25">
      <c r="E52" s="5" t="s">
        <v>6</v>
      </c>
    </row>
    <row r="53" spans="1:12" x14ac:dyDescent="0.25">
      <c r="E53" s="5"/>
    </row>
    <row r="54" spans="1:12" x14ac:dyDescent="0.25">
      <c r="E54" s="5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2:M48"/>
  <sheetViews>
    <sheetView workbookViewId="0"/>
  </sheetViews>
  <sheetFormatPr defaultRowHeight="15" x14ac:dyDescent="0.25"/>
  <cols>
    <col min="1" max="1" width="75" bestFit="1" customWidth="1"/>
  </cols>
  <sheetData>
    <row r="2" spans="1:13" x14ac:dyDescent="0.25">
      <c r="A2" s="5" t="s">
        <v>1</v>
      </c>
      <c r="L2" s="7" t="s">
        <v>734</v>
      </c>
    </row>
    <row r="3" spans="1:13" x14ac:dyDescent="0.25">
      <c r="A3" s="5" t="s">
        <v>9</v>
      </c>
    </row>
    <row r="4" spans="1:13" x14ac:dyDescent="0.25">
      <c r="A4" s="4" t="s">
        <v>735</v>
      </c>
    </row>
    <row r="5" spans="1:13" x14ac:dyDescent="0.25">
      <c r="A5" s="4" t="s">
        <v>11</v>
      </c>
    </row>
    <row r="6" spans="1:13" x14ac:dyDescent="0.25">
      <c r="D6" s="9" t="s">
        <v>736</v>
      </c>
      <c r="I6" s="9" t="s">
        <v>736</v>
      </c>
      <c r="L6" s="9" t="s">
        <v>737</v>
      </c>
    </row>
    <row r="7" spans="1:13" x14ac:dyDescent="0.25">
      <c r="A7" s="8" t="s">
        <v>12</v>
      </c>
      <c r="B7" s="16" t="s">
        <v>127</v>
      </c>
      <c r="C7" s="9" t="s">
        <v>738</v>
      </c>
      <c r="D7" s="9" t="s">
        <v>739</v>
      </c>
      <c r="E7" s="9" t="s">
        <v>740</v>
      </c>
      <c r="F7" s="9" t="s">
        <v>741</v>
      </c>
      <c r="G7" s="9" t="s">
        <v>742</v>
      </c>
      <c r="H7" s="9" t="s">
        <v>738</v>
      </c>
      <c r="I7" s="9" t="s">
        <v>739</v>
      </c>
      <c r="J7" s="9" t="s">
        <v>740</v>
      </c>
      <c r="K7" s="9" t="s">
        <v>741</v>
      </c>
      <c r="L7" s="9" t="s">
        <v>743</v>
      </c>
    </row>
    <row r="8" spans="1:13" x14ac:dyDescent="0.25">
      <c r="A8" s="7" t="s">
        <v>628</v>
      </c>
      <c r="C8" s="45" t="s">
        <v>90</v>
      </c>
      <c r="D8" s="10">
        <v>925</v>
      </c>
      <c r="E8" s="10">
        <v>953</v>
      </c>
      <c r="F8" s="10">
        <v>949</v>
      </c>
      <c r="G8" s="10">
        <v>471</v>
      </c>
      <c r="H8" s="7" t="s">
        <v>223</v>
      </c>
      <c r="I8" s="20">
        <v>1</v>
      </c>
      <c r="J8" s="20">
        <v>1</v>
      </c>
      <c r="K8" s="20">
        <v>1</v>
      </c>
      <c r="L8" s="20">
        <v>1</v>
      </c>
    </row>
    <row r="9" spans="1:13" x14ac:dyDescent="0.25">
      <c r="A9" s="7" t="s">
        <v>744</v>
      </c>
      <c r="C9" s="45" t="s">
        <v>90</v>
      </c>
      <c r="D9" s="19">
        <v>-264</v>
      </c>
      <c r="E9" s="19">
        <v>-285</v>
      </c>
      <c r="F9" s="19">
        <v>-315</v>
      </c>
      <c r="G9" s="19">
        <v>-138</v>
      </c>
      <c r="H9" s="7" t="s">
        <v>223</v>
      </c>
      <c r="I9" s="20">
        <v>-0.28599999999999998</v>
      </c>
      <c r="J9" s="20">
        <v>-0.29899999999999999</v>
      </c>
      <c r="K9" s="20">
        <v>-0.33200000000000002</v>
      </c>
      <c r="L9" s="20">
        <v>-0.29299999999999998</v>
      </c>
    </row>
    <row r="10" spans="1:13" x14ac:dyDescent="0.25">
      <c r="A10" s="6" t="s">
        <v>745</v>
      </c>
      <c r="C10" s="7" t="s">
        <v>90</v>
      </c>
      <c r="D10" s="10">
        <v>660</v>
      </c>
      <c r="E10" s="10">
        <v>668</v>
      </c>
      <c r="F10" s="10">
        <v>635</v>
      </c>
      <c r="G10" s="10">
        <v>333</v>
      </c>
      <c r="H10" s="7" t="s">
        <v>223</v>
      </c>
      <c r="I10" s="20">
        <v>0.71399999999999997</v>
      </c>
      <c r="J10" s="20">
        <v>0.70099999999999996</v>
      </c>
      <c r="K10" s="20">
        <v>0.66800000000000004</v>
      </c>
      <c r="L10" s="20">
        <v>0.70699999999999996</v>
      </c>
    </row>
    <row r="11" spans="1:13" x14ac:dyDescent="0.25">
      <c r="A11" s="6"/>
      <c r="C11" s="7" t="s">
        <v>825</v>
      </c>
      <c r="D11" s="10">
        <f>SUM(D8:D9)</f>
        <v>661</v>
      </c>
      <c r="E11" s="10">
        <f>SUM(E8:E9)</f>
        <v>668</v>
      </c>
      <c r="F11" s="10">
        <f>SUM(F8:F9)</f>
        <v>634</v>
      </c>
      <c r="G11" s="10">
        <f>SUM(G8:G9)</f>
        <v>333</v>
      </c>
      <c r="H11" s="7" t="s">
        <v>871</v>
      </c>
      <c r="I11" s="20">
        <f>SUM(I8:I9)</f>
        <v>0.71399999999999997</v>
      </c>
      <c r="J11" s="20">
        <f>SUM(J8:J9)</f>
        <v>0.70100000000000007</v>
      </c>
      <c r="K11" s="20">
        <f>SUM(K8:K9)</f>
        <v>0.66799999999999993</v>
      </c>
      <c r="L11" s="20">
        <f>SUM(L8:L9)</f>
        <v>0.70700000000000007</v>
      </c>
      <c r="M11">
        <f>SUM(M8:M9)</f>
        <v>0</v>
      </c>
    </row>
    <row r="12" spans="1:13" x14ac:dyDescent="0.25">
      <c r="A12" s="6"/>
      <c r="C12" s="7" t="s">
        <v>826</v>
      </c>
      <c r="D12" s="10">
        <f>D11-D10</f>
        <v>1</v>
      </c>
      <c r="E12" s="10">
        <f>E11-E10</f>
        <v>0</v>
      </c>
      <c r="F12" s="10">
        <f>F11-F10</f>
        <v>-1</v>
      </c>
      <c r="G12" s="10">
        <f>G11-G10</f>
        <v>0</v>
      </c>
      <c r="H12" s="7" t="s">
        <v>872</v>
      </c>
      <c r="I12" s="20">
        <f>I11-I10</f>
        <v>0</v>
      </c>
      <c r="J12" s="20">
        <f>J11-J10</f>
        <v>0</v>
      </c>
      <c r="K12" s="20">
        <f>K11-K10</f>
        <v>0</v>
      </c>
      <c r="L12" s="20">
        <f>L11-L10</f>
        <v>0</v>
      </c>
      <c r="M12">
        <f>M11-M10</f>
        <v>0</v>
      </c>
    </row>
    <row r="13" spans="1:13" x14ac:dyDescent="0.25">
      <c r="A13" s="7" t="s">
        <v>746</v>
      </c>
      <c r="C13" s="45" t="s">
        <v>90</v>
      </c>
      <c r="D13" s="19">
        <v>-125</v>
      </c>
      <c r="E13" s="19">
        <v>-104</v>
      </c>
      <c r="F13" s="19">
        <v>-79</v>
      </c>
      <c r="G13" s="19">
        <v>-69</v>
      </c>
      <c r="H13" s="7" t="s">
        <v>223</v>
      </c>
      <c r="I13" s="20">
        <v>-0.13600000000000001</v>
      </c>
      <c r="J13" s="20">
        <v>-0.109</v>
      </c>
      <c r="K13" s="20">
        <v>-8.3000000000000004E-2</v>
      </c>
      <c r="L13" s="20">
        <v>-0.14699999999999999</v>
      </c>
    </row>
    <row r="14" spans="1:13" x14ac:dyDescent="0.25">
      <c r="A14" s="7" t="s">
        <v>747</v>
      </c>
      <c r="C14" s="45" t="s">
        <v>90</v>
      </c>
      <c r="D14" s="19">
        <v>-175</v>
      </c>
      <c r="E14" s="19">
        <v>-191</v>
      </c>
      <c r="F14" s="19">
        <v>-188</v>
      </c>
      <c r="G14" s="19">
        <v>-92</v>
      </c>
      <c r="H14" s="7" t="s">
        <v>223</v>
      </c>
      <c r="I14" s="20">
        <v>-0.189</v>
      </c>
      <c r="J14" s="21">
        <v>-0.2</v>
      </c>
      <c r="K14" s="20">
        <v>-0.19800000000000001</v>
      </c>
      <c r="L14" s="20">
        <v>-0.19500000000000001</v>
      </c>
    </row>
    <row r="15" spans="1:13" x14ac:dyDescent="0.25">
      <c r="A15" s="7"/>
      <c r="C15" s="45" t="s">
        <v>931</v>
      </c>
      <c r="D15" s="19">
        <f>D10*D13</f>
        <v>-82500</v>
      </c>
      <c r="E15" s="19">
        <f>E10*E13</f>
        <v>-69472</v>
      </c>
      <c r="F15" s="19">
        <f>F10*F13</f>
        <v>-50165</v>
      </c>
      <c r="G15" s="19">
        <f>G10*G13</f>
        <v>-22977</v>
      </c>
      <c r="H15" s="7" t="s">
        <v>965</v>
      </c>
      <c r="I15" s="20">
        <f>I10*I13</f>
        <v>-9.7103999999999996E-2</v>
      </c>
      <c r="J15" s="21">
        <f>J10*J13</f>
        <v>-7.6408999999999991E-2</v>
      </c>
      <c r="K15" s="20">
        <f>K10*K13</f>
        <v>-5.5444000000000007E-2</v>
      </c>
      <c r="L15" s="20">
        <f>L10*L13</f>
        <v>-0.10392899999999999</v>
      </c>
      <c r="M15">
        <f>M10*M13</f>
        <v>0</v>
      </c>
    </row>
    <row r="16" spans="1:13" x14ac:dyDescent="0.25">
      <c r="A16" s="7"/>
      <c r="C16" s="45" t="s">
        <v>932</v>
      </c>
      <c r="D16" s="19">
        <f>D15-D14</f>
        <v>-82325</v>
      </c>
      <c r="E16" s="19">
        <f>E15-E14</f>
        <v>-69281</v>
      </c>
      <c r="F16" s="19">
        <f>F15-F14</f>
        <v>-49977</v>
      </c>
      <c r="G16" s="19">
        <f>G15-G14</f>
        <v>-22885</v>
      </c>
      <c r="H16" s="7" t="s">
        <v>966</v>
      </c>
      <c r="I16" s="20">
        <f>I15-I14</f>
        <v>9.1896000000000005E-2</v>
      </c>
      <c r="J16" s="21">
        <f>J15-J14</f>
        <v>0.12359100000000002</v>
      </c>
      <c r="K16" s="20">
        <f>K15-K14</f>
        <v>0.14255600000000002</v>
      </c>
      <c r="L16" s="20">
        <f>L15-L14</f>
        <v>9.1071000000000013E-2</v>
      </c>
      <c r="M16">
        <f>M15-M14</f>
        <v>0</v>
      </c>
    </row>
    <row r="17" spans="1:13" x14ac:dyDescent="0.25">
      <c r="A17" s="7" t="s">
        <v>748</v>
      </c>
      <c r="C17" s="45" t="s">
        <v>90</v>
      </c>
      <c r="D17" s="19">
        <v>-140</v>
      </c>
      <c r="E17" s="19">
        <v>-156</v>
      </c>
      <c r="F17" s="19">
        <v>-138</v>
      </c>
      <c r="G17" s="19">
        <v>-71</v>
      </c>
      <c r="H17" s="7" t="s">
        <v>223</v>
      </c>
      <c r="I17" s="20">
        <v>-0.151</v>
      </c>
      <c r="J17" s="20">
        <v>-0.16300000000000001</v>
      </c>
      <c r="K17" s="20">
        <v>-0.14499999999999999</v>
      </c>
      <c r="L17" s="20">
        <v>-0.151</v>
      </c>
    </row>
    <row r="18" spans="1:13" x14ac:dyDescent="0.25">
      <c r="A18" s="7" t="s">
        <v>749</v>
      </c>
      <c r="D18" s="19">
        <v>-1</v>
      </c>
      <c r="E18" s="10">
        <v>6</v>
      </c>
      <c r="F18" s="19">
        <v>0</v>
      </c>
      <c r="G18" s="10">
        <v>0</v>
      </c>
      <c r="H18" s="7" t="s">
        <v>223</v>
      </c>
      <c r="I18" s="20">
        <v>-2E-3</v>
      </c>
      <c r="J18" s="20">
        <v>6.0000000000000001E-3</v>
      </c>
      <c r="K18" s="21">
        <v>0</v>
      </c>
      <c r="L18" s="20">
        <v>0</v>
      </c>
    </row>
    <row r="19" spans="1:13" x14ac:dyDescent="0.25">
      <c r="A19" s="6" t="s">
        <v>630</v>
      </c>
      <c r="C19" s="7" t="s">
        <v>90</v>
      </c>
      <c r="D19" s="10">
        <v>219</v>
      </c>
      <c r="E19" s="10">
        <v>224</v>
      </c>
      <c r="F19" s="10">
        <v>230</v>
      </c>
      <c r="G19" s="10">
        <v>101</v>
      </c>
      <c r="H19" s="7" t="s">
        <v>223</v>
      </c>
      <c r="I19" s="20">
        <v>0.23699999999999999</v>
      </c>
      <c r="J19" s="20">
        <v>0.23499999999999999</v>
      </c>
      <c r="K19" s="20">
        <v>0.24199999999999999</v>
      </c>
      <c r="L19" s="20">
        <v>0.214</v>
      </c>
    </row>
    <row r="20" spans="1:13" x14ac:dyDescent="0.25">
      <c r="A20" s="7" t="s">
        <v>631</v>
      </c>
      <c r="C20" s="45" t="s">
        <v>90</v>
      </c>
      <c r="D20" s="19">
        <v>-104</v>
      </c>
      <c r="E20" s="19">
        <v>-112</v>
      </c>
      <c r="F20" s="19">
        <v>-102</v>
      </c>
      <c r="G20" s="19">
        <v>-48</v>
      </c>
      <c r="H20" s="7" t="s">
        <v>223</v>
      </c>
      <c r="I20" s="20">
        <v>-0.113</v>
      </c>
      <c r="J20" s="20">
        <v>-0.11799999999999999</v>
      </c>
      <c r="K20" s="20">
        <v>-0.107</v>
      </c>
      <c r="L20" s="20">
        <v>-0.10199999999999999</v>
      </c>
    </row>
    <row r="21" spans="1:13" x14ac:dyDescent="0.25">
      <c r="A21" s="7"/>
      <c r="C21" s="45" t="s">
        <v>827</v>
      </c>
      <c r="D21" s="19">
        <f>SUM(D18,D19)</f>
        <v>218</v>
      </c>
      <c r="E21" s="19">
        <f>SUM(E18,E19)</f>
        <v>230</v>
      </c>
      <c r="F21" s="19">
        <f>SUM(F18,F19)</f>
        <v>230</v>
      </c>
      <c r="G21" s="19">
        <f>SUM(G18,G19)</f>
        <v>101</v>
      </c>
      <c r="H21" s="7" t="s">
        <v>873</v>
      </c>
      <c r="I21" s="20">
        <f>SUM(I18,I19)</f>
        <v>0.23499999999999999</v>
      </c>
      <c r="J21" s="20">
        <f>SUM(J18,J19)</f>
        <v>0.24099999999999999</v>
      </c>
      <c r="K21" s="20">
        <f>SUM(K18,K19)</f>
        <v>0.24199999999999999</v>
      </c>
      <c r="L21" s="20">
        <f>SUM(L18,L19)</f>
        <v>0.214</v>
      </c>
      <c r="M21">
        <f>SUM(M18,M19)</f>
        <v>0</v>
      </c>
    </row>
    <row r="22" spans="1:13" x14ac:dyDescent="0.25">
      <c r="A22" s="7"/>
      <c r="C22" s="45" t="s">
        <v>828</v>
      </c>
      <c r="D22" s="19">
        <f>D21-D20</f>
        <v>322</v>
      </c>
      <c r="E22" s="19">
        <f>E21-E20</f>
        <v>342</v>
      </c>
      <c r="F22" s="19">
        <f>F21-F20</f>
        <v>332</v>
      </c>
      <c r="G22" s="19">
        <f>G21-G20</f>
        <v>149</v>
      </c>
      <c r="H22" s="7" t="s">
        <v>874</v>
      </c>
      <c r="I22" s="20">
        <f>I21-I20</f>
        <v>0.34799999999999998</v>
      </c>
      <c r="J22" s="20">
        <f>J21-J20</f>
        <v>0.35899999999999999</v>
      </c>
      <c r="K22" s="20">
        <f>K21-K20</f>
        <v>0.34899999999999998</v>
      </c>
      <c r="L22" s="20">
        <f>L21-L20</f>
        <v>0.316</v>
      </c>
      <c r="M22">
        <f>M21-M20</f>
        <v>0</v>
      </c>
    </row>
    <row r="23" spans="1:13" x14ac:dyDescent="0.25">
      <c r="A23" s="7" t="s">
        <v>750</v>
      </c>
      <c r="C23" s="45" t="s">
        <v>90</v>
      </c>
      <c r="D23" s="7" t="s">
        <v>90</v>
      </c>
      <c r="E23" s="7" t="s">
        <v>90</v>
      </c>
      <c r="F23" s="7" t="s">
        <v>90</v>
      </c>
      <c r="G23" s="7" t="s">
        <v>90</v>
      </c>
      <c r="H23" s="7" t="s">
        <v>223</v>
      </c>
      <c r="I23" s="7" t="s">
        <v>71</v>
      </c>
      <c r="J23" s="7" t="s">
        <v>71</v>
      </c>
      <c r="K23" s="7" t="s">
        <v>71</v>
      </c>
      <c r="L23" s="7" t="s">
        <v>71</v>
      </c>
    </row>
    <row r="24" spans="1:13" x14ac:dyDescent="0.25">
      <c r="A24" s="7"/>
      <c r="C24" s="45" t="s">
        <v>933</v>
      </c>
      <c r="D24" s="7" t="s">
        <v>937</v>
      </c>
      <c r="E24" s="7" t="s">
        <v>841</v>
      </c>
      <c r="F24" s="7" t="s">
        <v>851</v>
      </c>
      <c r="G24" s="7" t="s">
        <v>863</v>
      </c>
      <c r="H24" s="7" t="s">
        <v>875</v>
      </c>
      <c r="I24" s="7" t="s">
        <v>887</v>
      </c>
      <c r="J24" s="7" t="s">
        <v>899</v>
      </c>
      <c r="K24" s="7" t="s">
        <v>911</v>
      </c>
      <c r="L24" s="7" t="s">
        <v>923</v>
      </c>
      <c r="M24">
        <f>M10*B23</f>
        <v>0</v>
      </c>
    </row>
    <row r="25" spans="1:13" x14ac:dyDescent="0.25">
      <c r="A25" s="7"/>
      <c r="C25" s="45" t="s">
        <v>934</v>
      </c>
      <c r="D25" s="7" t="s">
        <v>938</v>
      </c>
      <c r="E25" s="7" t="s">
        <v>842</v>
      </c>
      <c r="F25" s="7" t="s">
        <v>852</v>
      </c>
      <c r="G25" s="7" t="s">
        <v>864</v>
      </c>
      <c r="H25" s="7" t="s">
        <v>876</v>
      </c>
      <c r="I25" s="7" t="s">
        <v>888</v>
      </c>
      <c r="J25" s="7" t="s">
        <v>900</v>
      </c>
      <c r="K25" s="7" t="s">
        <v>912</v>
      </c>
      <c r="L25" s="7" t="s">
        <v>924</v>
      </c>
      <c r="M25">
        <f>M24-M23</f>
        <v>0</v>
      </c>
    </row>
    <row r="26" spans="1:13" x14ac:dyDescent="0.25">
      <c r="A26" s="6" t="s">
        <v>751</v>
      </c>
      <c r="C26" s="7" t="s">
        <v>90</v>
      </c>
      <c r="D26" s="10">
        <v>115</v>
      </c>
      <c r="E26" s="10">
        <v>111</v>
      </c>
      <c r="F26" s="10">
        <v>129</v>
      </c>
      <c r="G26" s="10">
        <v>53</v>
      </c>
      <c r="H26" s="7" t="s">
        <v>223</v>
      </c>
      <c r="I26" s="20">
        <v>0.124</v>
      </c>
      <c r="J26" s="20">
        <v>0.11700000000000001</v>
      </c>
      <c r="K26" s="20">
        <v>0.13500000000000001</v>
      </c>
      <c r="L26" s="20">
        <v>0.112</v>
      </c>
    </row>
    <row r="27" spans="1:13" x14ac:dyDescent="0.25">
      <c r="A27" s="6"/>
      <c r="C27" s="7" t="s">
        <v>985</v>
      </c>
      <c r="D27" s="10">
        <f>SUM(D20,D23)</f>
        <v>-104</v>
      </c>
      <c r="E27" s="10">
        <f>SUM(E20,E23)</f>
        <v>-112</v>
      </c>
      <c r="F27" s="10">
        <f>SUM(F20,F23)</f>
        <v>-102</v>
      </c>
      <c r="G27" s="10">
        <f>SUM(G20,G23)</f>
        <v>-48</v>
      </c>
      <c r="H27" s="7" t="s">
        <v>877</v>
      </c>
      <c r="I27" s="20">
        <f>SUM(I20,I23)</f>
        <v>-0.113</v>
      </c>
      <c r="J27" s="20">
        <f>SUM(J20,J23)</f>
        <v>-0.11799999999999999</v>
      </c>
      <c r="K27" s="20">
        <f>SUM(K20,K23)</f>
        <v>-0.107</v>
      </c>
      <c r="L27" s="20">
        <f>SUM(L20,L23)</f>
        <v>-0.10199999999999999</v>
      </c>
      <c r="M27">
        <f>SUM(M20,M23)</f>
        <v>0</v>
      </c>
    </row>
    <row r="28" spans="1:13" x14ac:dyDescent="0.25">
      <c r="A28" s="6"/>
      <c r="C28" s="7" t="s">
        <v>986</v>
      </c>
      <c r="D28" s="10">
        <f>D27-D26</f>
        <v>-219</v>
      </c>
      <c r="E28" s="10">
        <f>E27-E26</f>
        <v>-223</v>
      </c>
      <c r="F28" s="10">
        <f>F27-F26</f>
        <v>-231</v>
      </c>
      <c r="G28" s="10">
        <f>G27-G26</f>
        <v>-101</v>
      </c>
      <c r="H28" s="7" t="s">
        <v>878</v>
      </c>
      <c r="I28" s="20">
        <f>I27-I26</f>
        <v>-0.23699999999999999</v>
      </c>
      <c r="J28" s="20">
        <f>J27-J26</f>
        <v>-0.23499999999999999</v>
      </c>
      <c r="K28" s="20">
        <f>K27-K26</f>
        <v>-0.24199999999999999</v>
      </c>
      <c r="L28" s="20">
        <f>L27-L26</f>
        <v>-0.214</v>
      </c>
      <c r="M28">
        <f>M27-M26</f>
        <v>0</v>
      </c>
    </row>
    <row r="29" spans="1:13" x14ac:dyDescent="0.25">
      <c r="A29" s="7" t="s">
        <v>660</v>
      </c>
      <c r="C29" s="7" t="s">
        <v>90</v>
      </c>
      <c r="D29" s="10">
        <v>136</v>
      </c>
      <c r="E29" s="10">
        <v>56</v>
      </c>
      <c r="F29" s="10">
        <v>50</v>
      </c>
      <c r="G29" s="10">
        <v>26</v>
      </c>
      <c r="H29" s="7" t="s">
        <v>223</v>
      </c>
      <c r="I29" s="20">
        <v>0.14699999999999999</v>
      </c>
      <c r="J29" s="20">
        <v>5.8999999999999997E-2</v>
      </c>
      <c r="K29" s="20">
        <v>5.2999999999999999E-2</v>
      </c>
      <c r="L29" s="20">
        <v>5.3999999999999999E-2</v>
      </c>
    </row>
    <row r="30" spans="1:13" x14ac:dyDescent="0.25">
      <c r="A30" s="7"/>
      <c r="C30" s="7" t="s">
        <v>935</v>
      </c>
      <c r="D30" s="10">
        <f>D26*B29</f>
        <v>0</v>
      </c>
      <c r="E30" s="10">
        <f>E26*B29</f>
        <v>0</v>
      </c>
      <c r="F30" s="10">
        <f>F26*B29</f>
        <v>0</v>
      </c>
      <c r="G30" s="10">
        <f>G26*B29</f>
        <v>0</v>
      </c>
      <c r="H30" s="7" t="s">
        <v>879</v>
      </c>
      <c r="I30" s="20">
        <f>I26*B29</f>
        <v>0</v>
      </c>
      <c r="J30" s="20">
        <f>J26*B29</f>
        <v>0</v>
      </c>
      <c r="K30" s="20">
        <f>K26*B29</f>
        <v>0</v>
      </c>
      <c r="L30" s="20">
        <f>L26*B29</f>
        <v>0</v>
      </c>
      <c r="M30">
        <f>M26*B29</f>
        <v>0</v>
      </c>
    </row>
    <row r="31" spans="1:13" x14ac:dyDescent="0.25">
      <c r="A31" s="7"/>
      <c r="C31" s="7" t="s">
        <v>936</v>
      </c>
      <c r="D31" s="10">
        <f>D30-D29</f>
        <v>-136</v>
      </c>
      <c r="E31" s="10">
        <f>E30-E29</f>
        <v>-56</v>
      </c>
      <c r="F31" s="10">
        <f>F30-F29</f>
        <v>-50</v>
      </c>
      <c r="G31" s="10">
        <f>G30-G29</f>
        <v>-26</v>
      </c>
      <c r="H31" s="7" t="s">
        <v>880</v>
      </c>
      <c r="I31" s="20">
        <f>I30-I29</f>
        <v>-0.14699999999999999</v>
      </c>
      <c r="J31" s="20">
        <f>J30-J29</f>
        <v>-5.8999999999999997E-2</v>
      </c>
      <c r="K31" s="20">
        <f>K30-K29</f>
        <v>-5.2999999999999999E-2</v>
      </c>
      <c r="L31" s="20">
        <f>L30-L29</f>
        <v>-5.3999999999999999E-2</v>
      </c>
      <c r="M31">
        <f>M30-M29</f>
        <v>0</v>
      </c>
    </row>
    <row r="32" spans="1:13" x14ac:dyDescent="0.25">
      <c r="A32" s="9" t="s">
        <v>752</v>
      </c>
      <c r="H32" s="9" t="s">
        <v>753</v>
      </c>
      <c r="I32" s="9" t="s">
        <v>754</v>
      </c>
      <c r="J32" s="9" t="s">
        <v>755</v>
      </c>
    </row>
    <row r="33" spans="1:13" x14ac:dyDescent="0.25">
      <c r="A33" s="9"/>
      <c r="C33" s="56">
        <f>SUM(C26,C29)</f>
        <v>0</v>
      </c>
      <c r="D33" s="58">
        <f>SUM(D26,D29)</f>
        <v>251</v>
      </c>
      <c r="E33" s="58">
        <f>SUM(E26,E29)</f>
        <v>167</v>
      </c>
      <c r="F33" s="58">
        <f>SUM(F26,F29)</f>
        <v>179</v>
      </c>
      <c r="G33" s="58">
        <f>SUM(G26,G29)</f>
        <v>79</v>
      </c>
      <c r="H33" s="9" t="s">
        <v>881</v>
      </c>
      <c r="I33" s="9" t="s">
        <v>893</v>
      </c>
      <c r="J33" s="9" t="s">
        <v>905</v>
      </c>
      <c r="K33" s="57">
        <f>SUM(K26,K29)</f>
        <v>0.188</v>
      </c>
      <c r="L33" s="57">
        <f>SUM(L26,L29)</f>
        <v>0.16600000000000001</v>
      </c>
      <c r="M33">
        <f>SUM(M26,M29)</f>
        <v>0</v>
      </c>
    </row>
    <row r="34" spans="1:13" x14ac:dyDescent="0.25">
      <c r="A34" s="9"/>
      <c r="C34" s="56">
        <f>C33-C32</f>
        <v>0</v>
      </c>
      <c r="D34" s="58">
        <f>D33-D32</f>
        <v>251</v>
      </c>
      <c r="E34" s="58">
        <f>E33-E32</f>
        <v>167</v>
      </c>
      <c r="F34" s="58">
        <f>F33-F32</f>
        <v>179</v>
      </c>
      <c r="G34" s="58">
        <f>G33-G32</f>
        <v>79</v>
      </c>
      <c r="H34" s="9" t="s">
        <v>882</v>
      </c>
      <c r="I34" s="9" t="s">
        <v>894</v>
      </c>
      <c r="J34" s="9" t="s">
        <v>906</v>
      </c>
      <c r="K34" s="57">
        <f>K33-K32</f>
        <v>0.188</v>
      </c>
      <c r="L34" s="57">
        <f>L33-L32</f>
        <v>0.16600000000000001</v>
      </c>
      <c r="M34">
        <f>M33-M32</f>
        <v>0</v>
      </c>
    </row>
    <row r="35" spans="1:13" x14ac:dyDescent="0.25">
      <c r="A35" s="7" t="s">
        <v>756</v>
      </c>
      <c r="C35" s="7" t="s">
        <v>223</v>
      </c>
      <c r="D35" s="7" t="s">
        <v>223</v>
      </c>
      <c r="E35" s="20">
        <v>3.1E-2</v>
      </c>
      <c r="F35" s="20">
        <v>-4.0000000000000001E-3</v>
      </c>
      <c r="G35" s="7" t="s">
        <v>223</v>
      </c>
      <c r="H35" s="7" t="s">
        <v>223</v>
      </c>
      <c r="I35" s="21">
        <v>-1</v>
      </c>
      <c r="J35" s="7" t="s">
        <v>757</v>
      </c>
    </row>
    <row r="36" spans="1:13" x14ac:dyDescent="0.25">
      <c r="A36" s="7" t="s">
        <v>758</v>
      </c>
      <c r="C36" s="7" t="s">
        <v>223</v>
      </c>
      <c r="D36" s="20">
        <v>0.71399999999999997</v>
      </c>
      <c r="E36" s="20">
        <v>0.70099999999999996</v>
      </c>
      <c r="F36" s="20">
        <v>0.66800000000000004</v>
      </c>
      <c r="G36" s="20">
        <v>0.70699999999999996</v>
      </c>
      <c r="H36" s="20">
        <v>0.7</v>
      </c>
      <c r="I36" s="20">
        <v>0.69599999999999995</v>
      </c>
      <c r="J36" s="7" t="s">
        <v>759</v>
      </c>
    </row>
    <row r="37" spans="1:13" x14ac:dyDescent="0.25">
      <c r="A37" s="7"/>
      <c r="C37" s="7" t="s">
        <v>995</v>
      </c>
      <c r="D37" s="7">
        <f>SUM(D32,D35)</f>
        <v>0</v>
      </c>
      <c r="E37" s="20">
        <f>SUM(E32,E35)</f>
        <v>3.1E-2</v>
      </c>
      <c r="F37" s="20">
        <f>SUM(F32,F35)</f>
        <v>-4.0000000000000001E-3</v>
      </c>
      <c r="G37" s="7">
        <f>SUM(G32,G35)</f>
        <v>0</v>
      </c>
      <c r="H37" s="7">
        <f>SUM(H32,H35)</f>
        <v>0</v>
      </c>
      <c r="I37" s="7">
        <f>SUM(I32,I35)</f>
        <v>-1</v>
      </c>
      <c r="J37" s="7" t="s">
        <v>973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7"/>
      <c r="C38" s="7" t="s">
        <v>996</v>
      </c>
      <c r="D38" s="7">
        <f>D37-D36</f>
        <v>-0.71399999999999997</v>
      </c>
      <c r="E38" s="20">
        <f>E37-E36</f>
        <v>-0.66999999999999993</v>
      </c>
      <c r="F38" s="20">
        <f>F37-F36</f>
        <v>-0.67200000000000004</v>
      </c>
      <c r="G38" s="7">
        <f>G37-G36</f>
        <v>-0.70699999999999996</v>
      </c>
      <c r="H38" s="7">
        <f>H37-H36</f>
        <v>-0.7</v>
      </c>
      <c r="I38" s="7">
        <f>I37-I36</f>
        <v>-1.696</v>
      </c>
      <c r="J38" s="7" t="s">
        <v>974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7" t="s">
        <v>760</v>
      </c>
      <c r="C39" s="7" t="s">
        <v>223</v>
      </c>
      <c r="D39" s="20">
        <v>0.23699999999999999</v>
      </c>
      <c r="E39" s="20">
        <v>0.23499999999999999</v>
      </c>
      <c r="F39" s="20">
        <v>0.24199999999999999</v>
      </c>
      <c r="G39" s="20">
        <v>0.214</v>
      </c>
      <c r="H39" s="20">
        <v>0.22900000000000001</v>
      </c>
      <c r="I39" s="20">
        <v>0.22600000000000001</v>
      </c>
      <c r="J39" s="7" t="s">
        <v>761</v>
      </c>
    </row>
    <row r="40" spans="1:13" x14ac:dyDescent="0.25">
      <c r="A40" s="7" t="s">
        <v>762</v>
      </c>
      <c r="C40" s="7" t="s">
        <v>223</v>
      </c>
      <c r="D40" s="20">
        <v>0.124</v>
      </c>
      <c r="E40" s="20">
        <v>0.11700000000000001</v>
      </c>
      <c r="F40" s="20">
        <v>0.13500000000000001</v>
      </c>
      <c r="G40" s="20">
        <v>0.112</v>
      </c>
      <c r="H40" s="20">
        <v>0.12</v>
      </c>
      <c r="I40" s="20">
        <v>0.11899999999999999</v>
      </c>
      <c r="J40" s="7" t="s">
        <v>763</v>
      </c>
    </row>
    <row r="41" spans="1:13" x14ac:dyDescent="0.25">
      <c r="A41" s="7"/>
      <c r="C41" s="7" t="s">
        <v>997</v>
      </c>
      <c r="D41" s="20">
        <f>D36*D39</f>
        <v>0.16921799999999998</v>
      </c>
      <c r="E41" s="20">
        <f>E36*E39</f>
        <v>0.16473499999999999</v>
      </c>
      <c r="F41" s="20">
        <f>F36*F39</f>
        <v>0.16165599999999999</v>
      </c>
      <c r="G41" s="20">
        <f>G36*G39</f>
        <v>0.15129799999999999</v>
      </c>
      <c r="H41" s="20">
        <f>H36*H39</f>
        <v>0.1603</v>
      </c>
      <c r="I41" s="20">
        <f>I36*I39</f>
        <v>0.15729599999999999</v>
      </c>
      <c r="J41" s="7" t="s">
        <v>975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7"/>
      <c r="C42" s="7" t="s">
        <v>998</v>
      </c>
      <c r="D42" s="20">
        <f>D41-D40</f>
        <v>4.521799999999998E-2</v>
      </c>
      <c r="E42" s="20">
        <f>E41-E40</f>
        <v>4.7734999999999986E-2</v>
      </c>
      <c r="F42" s="20">
        <f>F41-F40</f>
        <v>2.6655999999999985E-2</v>
      </c>
      <c r="G42" s="20">
        <f>G41-G40</f>
        <v>3.9297999999999986E-2</v>
      </c>
      <c r="H42" s="20">
        <f>H41-H40</f>
        <v>4.0300000000000002E-2</v>
      </c>
      <c r="I42" s="20">
        <f>I41-I40</f>
        <v>3.8295999999999997E-2</v>
      </c>
      <c r="J42" s="7" t="s">
        <v>976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7" t="s">
        <v>764</v>
      </c>
      <c r="C43" s="7" t="s">
        <v>223</v>
      </c>
      <c r="D43" s="20">
        <v>-0.113</v>
      </c>
      <c r="E43" s="20">
        <v>-0.11799999999999999</v>
      </c>
      <c r="F43" s="20">
        <v>-0.107</v>
      </c>
      <c r="G43" s="20">
        <v>-0.10199999999999999</v>
      </c>
      <c r="H43" s="20">
        <v>-0.109</v>
      </c>
      <c r="I43" s="20">
        <v>-0.107</v>
      </c>
      <c r="J43" s="7" t="s">
        <v>765</v>
      </c>
    </row>
    <row r="44" spans="1:13" x14ac:dyDescent="0.25">
      <c r="A44" s="7" t="s">
        <v>766</v>
      </c>
      <c r="C44" s="7" t="s">
        <v>223</v>
      </c>
      <c r="D44" s="7" t="s">
        <v>71</v>
      </c>
      <c r="E44" s="7" t="s">
        <v>71</v>
      </c>
      <c r="F44" s="7" t="s">
        <v>71</v>
      </c>
      <c r="G44" s="7" t="s">
        <v>71</v>
      </c>
      <c r="H44" s="7" t="s">
        <v>71</v>
      </c>
      <c r="I44" s="7" t="s">
        <v>71</v>
      </c>
      <c r="J44" s="7" t="s">
        <v>767</v>
      </c>
    </row>
    <row r="45" spans="1:13" x14ac:dyDescent="0.25">
      <c r="A45" s="7" t="s">
        <v>768</v>
      </c>
      <c r="C45" s="7" t="s">
        <v>223</v>
      </c>
      <c r="D45" s="20">
        <v>0.14699999999999999</v>
      </c>
      <c r="E45" s="20">
        <v>5.8999999999999997E-2</v>
      </c>
      <c r="F45" s="20">
        <v>5.2999999999999999E-2</v>
      </c>
      <c r="G45" s="20">
        <v>5.3999999999999999E-2</v>
      </c>
      <c r="H45" s="20">
        <v>7.2999999999999995E-2</v>
      </c>
      <c r="I45" s="20">
        <v>5.5E-2</v>
      </c>
      <c r="J45" s="7" t="s">
        <v>769</v>
      </c>
    </row>
    <row r="46" spans="1:13" x14ac:dyDescent="0.25">
      <c r="A46" s="16" t="s">
        <v>61</v>
      </c>
    </row>
    <row r="47" spans="1:13" ht="15.75" x14ac:dyDescent="0.25">
      <c r="A47" s="4" t="s">
        <v>62</v>
      </c>
      <c r="B47" s="30" t="s">
        <v>63</v>
      </c>
    </row>
    <row r="48" spans="1:13" x14ac:dyDescent="0.25">
      <c r="A48" s="5" t="s">
        <v>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2:M74"/>
  <sheetViews>
    <sheetView workbookViewId="0"/>
  </sheetViews>
  <sheetFormatPr defaultRowHeight="15" x14ac:dyDescent="0.25"/>
  <cols>
    <col min="1" max="1" width="75" bestFit="1" customWidth="1"/>
  </cols>
  <sheetData>
    <row r="2" spans="1:13" x14ac:dyDescent="0.25">
      <c r="A2" s="5" t="s">
        <v>1</v>
      </c>
      <c r="G2" s="7" t="s">
        <v>770</v>
      </c>
    </row>
    <row r="3" spans="1:13" x14ac:dyDescent="0.25">
      <c r="A3" s="5" t="s">
        <v>9</v>
      </c>
    </row>
    <row r="4" spans="1:13" x14ac:dyDescent="0.25">
      <c r="A4" s="4" t="s">
        <v>771</v>
      </c>
    </row>
    <row r="5" spans="1:13" x14ac:dyDescent="0.25">
      <c r="A5" s="4" t="s">
        <v>11</v>
      </c>
    </row>
    <row r="6" spans="1:13" x14ac:dyDescent="0.25">
      <c r="E6" s="9" t="s">
        <v>772</v>
      </c>
    </row>
    <row r="7" spans="1:13" x14ac:dyDescent="0.25">
      <c r="A7" s="8" t="s">
        <v>12</v>
      </c>
      <c r="B7" s="16" t="s">
        <v>127</v>
      </c>
      <c r="C7" s="9" t="s">
        <v>740</v>
      </c>
      <c r="D7" s="9" t="s">
        <v>741</v>
      </c>
      <c r="E7" s="9" t="s">
        <v>773</v>
      </c>
      <c r="G7" s="9" t="s">
        <v>774</v>
      </c>
    </row>
    <row r="8" spans="1:13" x14ac:dyDescent="0.25">
      <c r="A8" s="6" t="s">
        <v>775</v>
      </c>
    </row>
    <row r="9" spans="1:13" x14ac:dyDescent="0.25">
      <c r="A9" s="7" t="s">
        <v>776</v>
      </c>
      <c r="C9" s="10">
        <v>0</v>
      </c>
      <c r="D9" s="10">
        <v>1</v>
      </c>
      <c r="E9" s="10">
        <v>2</v>
      </c>
    </row>
    <row r="10" spans="1:13" x14ac:dyDescent="0.25">
      <c r="A10" s="7" t="s">
        <v>777</v>
      </c>
      <c r="C10" s="10">
        <v>272</v>
      </c>
      <c r="D10" s="10">
        <v>295</v>
      </c>
      <c r="E10" s="10">
        <v>268</v>
      </c>
    </row>
    <row r="11" spans="1:13" x14ac:dyDescent="0.25">
      <c r="A11" s="7"/>
      <c r="C11" s="10">
        <f>SUM(C8:C9)</f>
        <v>0</v>
      </c>
      <c r="D11" s="10">
        <f>SUM(D8:D9)</f>
        <v>1</v>
      </c>
      <c r="E11" s="10">
        <f>SUM(E8:E9)</f>
        <v>2</v>
      </c>
      <c r="F11">
        <f>SUM(F8:F9)</f>
        <v>0</v>
      </c>
      <c r="G11">
        <f>SUM(G8:G9)</f>
        <v>0</v>
      </c>
      <c r="H11">
        <f>SUM(H8:H9)</f>
        <v>0</v>
      </c>
      <c r="I11">
        <f>SUM(I8:I9)</f>
        <v>0</v>
      </c>
      <c r="J11">
        <f>SUM(J8:J9)</f>
        <v>0</v>
      </c>
      <c r="K11">
        <f>SUM(K8:K9)</f>
        <v>0</v>
      </c>
      <c r="L11">
        <f>SUM(L8:L9)</f>
        <v>0</v>
      </c>
      <c r="M11">
        <f>SUM(M8:M9)</f>
        <v>0</v>
      </c>
    </row>
    <row r="12" spans="1:13" x14ac:dyDescent="0.25">
      <c r="A12" s="7"/>
      <c r="C12" s="10">
        <f>C11-C10</f>
        <v>-272</v>
      </c>
      <c r="D12" s="10">
        <f>D11-D10</f>
        <v>-294</v>
      </c>
      <c r="E12" s="10">
        <f>E11-E10</f>
        <v>-266</v>
      </c>
      <c r="F12">
        <f>F11-F10</f>
        <v>0</v>
      </c>
      <c r="G12">
        <f>G11-G10</f>
        <v>0</v>
      </c>
      <c r="H12">
        <f>H11-H10</f>
        <v>0</v>
      </c>
      <c r="I12">
        <f>I11-I10</f>
        <v>0</v>
      </c>
      <c r="J12">
        <f>J11-J10</f>
        <v>0</v>
      </c>
      <c r="K12">
        <f>K11-K10</f>
        <v>0</v>
      </c>
      <c r="L12">
        <f>L11-L10</f>
        <v>0</v>
      </c>
      <c r="M12">
        <f>M11-M10</f>
        <v>0</v>
      </c>
    </row>
    <row r="13" spans="1:13" x14ac:dyDescent="0.25">
      <c r="A13" s="7" t="s">
        <v>778</v>
      </c>
      <c r="C13" s="7" t="s">
        <v>90</v>
      </c>
      <c r="D13" s="7" t="s">
        <v>90</v>
      </c>
      <c r="E13" s="7" t="s">
        <v>90</v>
      </c>
    </row>
    <row r="14" spans="1:13" x14ac:dyDescent="0.25">
      <c r="A14" s="7" t="s">
        <v>779</v>
      </c>
      <c r="C14" s="7" t="s">
        <v>90</v>
      </c>
      <c r="D14" s="7" t="s">
        <v>90</v>
      </c>
      <c r="E14" s="7" t="s">
        <v>90</v>
      </c>
    </row>
    <row r="15" spans="1:13" x14ac:dyDescent="0.25">
      <c r="A15" s="7"/>
      <c r="C15" s="7" t="s">
        <v>931</v>
      </c>
      <c r="D15" s="7" t="s">
        <v>999</v>
      </c>
      <c r="E15" s="7" t="s">
        <v>959</v>
      </c>
      <c r="F15">
        <f>F10*F13</f>
        <v>0</v>
      </c>
      <c r="G15">
        <f>G10*G13</f>
        <v>0</v>
      </c>
      <c r="H15">
        <f>H10*H13</f>
        <v>0</v>
      </c>
      <c r="I15">
        <f>I10*I13</f>
        <v>0</v>
      </c>
      <c r="J15">
        <f>J10*J13</f>
        <v>0</v>
      </c>
      <c r="K15">
        <f>K10*K13</f>
        <v>0</v>
      </c>
      <c r="L15">
        <f>L10*L13</f>
        <v>0</v>
      </c>
      <c r="M15">
        <f>M10*M13</f>
        <v>0</v>
      </c>
    </row>
    <row r="16" spans="1:13" x14ac:dyDescent="0.25">
      <c r="A16" s="7"/>
      <c r="C16" s="7" t="s">
        <v>932</v>
      </c>
      <c r="D16" s="7" t="s">
        <v>1000</v>
      </c>
      <c r="E16" s="7" t="s">
        <v>960</v>
      </c>
      <c r="F16">
        <f>F15-F14</f>
        <v>0</v>
      </c>
      <c r="G16">
        <f>G15-G14</f>
        <v>0</v>
      </c>
      <c r="H16">
        <f>H15-H14</f>
        <v>0</v>
      </c>
      <c r="I16">
        <f>I15-I14</f>
        <v>0</v>
      </c>
      <c r="J16">
        <f>J15-J14</f>
        <v>0</v>
      </c>
      <c r="K16">
        <f>K15-K14</f>
        <v>0</v>
      </c>
      <c r="L16">
        <f>L15-L14</f>
        <v>0</v>
      </c>
      <c r="M16">
        <f>M15-M14</f>
        <v>0</v>
      </c>
    </row>
    <row r="17" spans="1:13" x14ac:dyDescent="0.25">
      <c r="A17" s="7" t="s">
        <v>780</v>
      </c>
      <c r="C17" s="10">
        <v>24</v>
      </c>
      <c r="D17" s="10">
        <v>22</v>
      </c>
      <c r="E17" s="10">
        <v>29</v>
      </c>
    </row>
    <row r="18" spans="1:13" x14ac:dyDescent="0.25">
      <c r="A18" s="7" t="s">
        <v>781</v>
      </c>
      <c r="C18" s="10">
        <v>1</v>
      </c>
      <c r="D18" s="10">
        <v>2</v>
      </c>
      <c r="E18" s="10">
        <v>2</v>
      </c>
    </row>
    <row r="19" spans="1:13" x14ac:dyDescent="0.25">
      <c r="A19" s="6" t="s">
        <v>782</v>
      </c>
      <c r="C19" s="10">
        <v>298</v>
      </c>
      <c r="D19" s="10">
        <v>320</v>
      </c>
      <c r="E19" s="10">
        <v>300</v>
      </c>
    </row>
    <row r="20" spans="1:13" x14ac:dyDescent="0.25">
      <c r="A20" s="7" t="s">
        <v>783</v>
      </c>
      <c r="C20" s="7" t="s">
        <v>90</v>
      </c>
      <c r="D20" s="7" t="s">
        <v>90</v>
      </c>
      <c r="E20" s="7" t="s">
        <v>90</v>
      </c>
    </row>
    <row r="21" spans="1:13" x14ac:dyDescent="0.25">
      <c r="A21" s="7"/>
      <c r="C21" s="7" t="s">
        <v>827</v>
      </c>
      <c r="D21" s="7" t="s">
        <v>833</v>
      </c>
      <c r="E21" s="7" t="s">
        <v>839</v>
      </c>
      <c r="F21">
        <f>SUM(F18,F19)</f>
        <v>0</v>
      </c>
      <c r="G21">
        <f>SUM(G18,G19)</f>
        <v>0</v>
      </c>
      <c r="H21">
        <f>SUM(H18,H19)</f>
        <v>0</v>
      </c>
      <c r="I21">
        <f>SUM(I18,I19)</f>
        <v>0</v>
      </c>
      <c r="J21">
        <f>SUM(J18,J19)</f>
        <v>0</v>
      </c>
      <c r="K21">
        <f>SUM(K18,K19)</f>
        <v>0</v>
      </c>
      <c r="L21">
        <f>SUM(L18,L19)</f>
        <v>0</v>
      </c>
      <c r="M21">
        <f>SUM(M18,M19)</f>
        <v>0</v>
      </c>
    </row>
    <row r="22" spans="1:13" x14ac:dyDescent="0.25">
      <c r="A22" s="7"/>
      <c r="C22" s="7" t="s">
        <v>828</v>
      </c>
      <c r="D22" s="7" t="s">
        <v>834</v>
      </c>
      <c r="E22" s="7" t="s">
        <v>840</v>
      </c>
      <c r="F22">
        <f>F21-F20</f>
        <v>0</v>
      </c>
      <c r="G22">
        <f>G21-G20</f>
        <v>0</v>
      </c>
      <c r="H22">
        <f>H21-H20</f>
        <v>0</v>
      </c>
      <c r="I22">
        <f>I21-I20</f>
        <v>0</v>
      </c>
      <c r="J22">
        <f>J21-J20</f>
        <v>0</v>
      </c>
      <c r="K22">
        <f>K21-K20</f>
        <v>0</v>
      </c>
      <c r="L22">
        <f>L21-L20</f>
        <v>0</v>
      </c>
      <c r="M22">
        <f>M21-M20</f>
        <v>0</v>
      </c>
    </row>
    <row r="23" spans="1:13" x14ac:dyDescent="0.25">
      <c r="A23" s="7" t="s">
        <v>784</v>
      </c>
      <c r="C23" s="10">
        <v>26</v>
      </c>
      <c r="D23" s="10">
        <v>23</v>
      </c>
      <c r="E23" s="10">
        <v>24</v>
      </c>
    </row>
    <row r="24" spans="1:13" x14ac:dyDescent="0.25">
      <c r="A24" s="7"/>
      <c r="C24" s="10">
        <f>C10*B23</f>
        <v>0</v>
      </c>
      <c r="D24" s="10">
        <f>D10*B23</f>
        <v>0</v>
      </c>
      <c r="E24" s="10">
        <f>E10*B23</f>
        <v>0</v>
      </c>
      <c r="F24">
        <f>F10*B23</f>
        <v>0</v>
      </c>
      <c r="G24">
        <f>G10*B23</f>
        <v>0</v>
      </c>
      <c r="H24">
        <f>H10*B23</f>
        <v>0</v>
      </c>
      <c r="I24">
        <f>I10*B23</f>
        <v>0</v>
      </c>
      <c r="J24">
        <f>J10*B23</f>
        <v>0</v>
      </c>
      <c r="K24">
        <f>K10*B23</f>
        <v>0</v>
      </c>
      <c r="L24">
        <f>L10*B23</f>
        <v>0</v>
      </c>
      <c r="M24">
        <f>M10*B23</f>
        <v>0</v>
      </c>
    </row>
    <row r="25" spans="1:13" x14ac:dyDescent="0.25">
      <c r="A25" s="7"/>
      <c r="C25" s="10">
        <f>C24-C23</f>
        <v>-26</v>
      </c>
      <c r="D25" s="10">
        <f>D24-D23</f>
        <v>-23</v>
      </c>
      <c r="E25" s="10">
        <f>E24-E23</f>
        <v>-24</v>
      </c>
      <c r="F25">
        <f>F24-F23</f>
        <v>0</v>
      </c>
      <c r="G25">
        <f>G24-G23</f>
        <v>0</v>
      </c>
      <c r="H25">
        <f>H24-H23</f>
        <v>0</v>
      </c>
      <c r="I25">
        <f>I24-I23</f>
        <v>0</v>
      </c>
      <c r="J25">
        <f>J24-J23</f>
        <v>0</v>
      </c>
      <c r="K25">
        <f>K24-K23</f>
        <v>0</v>
      </c>
      <c r="L25">
        <f>L24-L23</f>
        <v>0</v>
      </c>
      <c r="M25">
        <f>M24-M23</f>
        <v>0</v>
      </c>
    </row>
    <row r="26" spans="1:13" x14ac:dyDescent="0.25">
      <c r="A26" s="7" t="s">
        <v>785</v>
      </c>
      <c r="C26" s="10">
        <v>88</v>
      </c>
      <c r="D26" s="10">
        <v>87</v>
      </c>
      <c r="E26" s="10">
        <v>88</v>
      </c>
    </row>
    <row r="27" spans="1:13" x14ac:dyDescent="0.25">
      <c r="A27" s="7"/>
      <c r="C27" s="10">
        <f>SUM(C20,C23)</f>
        <v>26</v>
      </c>
      <c r="D27" s="10">
        <f>SUM(D20,D23)</f>
        <v>23</v>
      </c>
      <c r="E27" s="10">
        <f>SUM(E20,E23)</f>
        <v>24</v>
      </c>
      <c r="F27">
        <f>SUM(F20,F23)</f>
        <v>0</v>
      </c>
      <c r="G27">
        <f>SUM(G20,G23)</f>
        <v>0</v>
      </c>
      <c r="H27">
        <f>SUM(H20,H23)</f>
        <v>0</v>
      </c>
      <c r="I27">
        <f>SUM(I20,I23)</f>
        <v>0</v>
      </c>
      <c r="J27">
        <f>SUM(J20,J23)</f>
        <v>0</v>
      </c>
      <c r="K27">
        <f>SUM(K20,K23)</f>
        <v>0</v>
      </c>
      <c r="L27">
        <f>SUM(L20,L23)</f>
        <v>0</v>
      </c>
      <c r="M27">
        <f>SUM(M20,M23)</f>
        <v>0</v>
      </c>
    </row>
    <row r="28" spans="1:13" x14ac:dyDescent="0.25">
      <c r="A28" s="7"/>
      <c r="C28" s="10">
        <f>C27-C26</f>
        <v>-62</v>
      </c>
      <c r="D28" s="10">
        <f>D27-D26</f>
        <v>-64</v>
      </c>
      <c r="E28" s="10">
        <f>E27-E26</f>
        <v>-64</v>
      </c>
      <c r="F28">
        <f>F27-F26</f>
        <v>0</v>
      </c>
      <c r="G28">
        <f>G27-G26</f>
        <v>0</v>
      </c>
      <c r="H28">
        <f>H27-H26</f>
        <v>0</v>
      </c>
      <c r="I28">
        <f>I27-I26</f>
        <v>0</v>
      </c>
      <c r="J28">
        <f>J27-J26</f>
        <v>0</v>
      </c>
      <c r="K28">
        <f>K27-K26</f>
        <v>0</v>
      </c>
      <c r="L28">
        <f>L27-L26</f>
        <v>0</v>
      </c>
      <c r="M28">
        <f>M27-M26</f>
        <v>0</v>
      </c>
    </row>
    <row r="29" spans="1:13" x14ac:dyDescent="0.25">
      <c r="A29" s="7" t="s">
        <v>786</v>
      </c>
      <c r="C29" s="10">
        <v>186</v>
      </c>
      <c r="D29" s="10">
        <v>179</v>
      </c>
      <c r="E29" s="10">
        <v>163</v>
      </c>
    </row>
    <row r="30" spans="1:13" x14ac:dyDescent="0.25">
      <c r="A30" s="7"/>
      <c r="C30" s="10">
        <f>C26*B29</f>
        <v>0</v>
      </c>
      <c r="D30" s="10">
        <f>D26*B29</f>
        <v>0</v>
      </c>
      <c r="E30" s="10">
        <f>E26*B29</f>
        <v>0</v>
      </c>
      <c r="F30">
        <f>F26*B29</f>
        <v>0</v>
      </c>
      <c r="G30">
        <f>G26*B29</f>
        <v>0</v>
      </c>
      <c r="H30">
        <f>H26*B29</f>
        <v>0</v>
      </c>
      <c r="I30">
        <f>I26*B29</f>
        <v>0</v>
      </c>
      <c r="J30">
        <f>J26*B29</f>
        <v>0</v>
      </c>
      <c r="K30">
        <f>K26*B29</f>
        <v>0</v>
      </c>
      <c r="L30">
        <f>L26*B29</f>
        <v>0</v>
      </c>
      <c r="M30">
        <f>M26*B29</f>
        <v>0</v>
      </c>
    </row>
    <row r="31" spans="1:13" x14ac:dyDescent="0.25">
      <c r="A31" s="7"/>
      <c r="C31" s="10">
        <f>C30-C29</f>
        <v>-186</v>
      </c>
      <c r="D31" s="10">
        <f>D30-D29</f>
        <v>-179</v>
      </c>
      <c r="E31" s="10">
        <f>E30-E29</f>
        <v>-163</v>
      </c>
      <c r="F31">
        <f>F30-F29</f>
        <v>0</v>
      </c>
      <c r="G31">
        <f>G30-G29</f>
        <v>0</v>
      </c>
      <c r="H31">
        <f>H30-H29</f>
        <v>0</v>
      </c>
      <c r="I31">
        <f>I30-I29</f>
        <v>0</v>
      </c>
      <c r="J31">
        <f>J30-J29</f>
        <v>0</v>
      </c>
      <c r="K31">
        <f>K30-K29</f>
        <v>0</v>
      </c>
      <c r="L31">
        <f>L30-L29</f>
        <v>0</v>
      </c>
      <c r="M31">
        <f>M30-M29</f>
        <v>0</v>
      </c>
    </row>
    <row r="32" spans="1:13" x14ac:dyDescent="0.25">
      <c r="A32" s="7" t="s">
        <v>787</v>
      </c>
      <c r="C32" s="10">
        <v>96</v>
      </c>
      <c r="D32" s="10">
        <v>46</v>
      </c>
      <c r="E32" s="10">
        <v>14</v>
      </c>
    </row>
    <row r="33" spans="1:13" x14ac:dyDescent="0.25">
      <c r="A33" s="7"/>
      <c r="C33" s="10">
        <f>SUM(C26,C29)</f>
        <v>274</v>
      </c>
      <c r="D33" s="10">
        <f>SUM(D26,D29)</f>
        <v>266</v>
      </c>
      <c r="E33" s="10">
        <f>SUM(E26,E29)</f>
        <v>251</v>
      </c>
      <c r="F33">
        <f>SUM(F26,F29)</f>
        <v>0</v>
      </c>
      <c r="G33">
        <f>SUM(G26,G29)</f>
        <v>0</v>
      </c>
      <c r="H33">
        <f>SUM(H26,H29)</f>
        <v>0</v>
      </c>
      <c r="I33">
        <f>SUM(I26,I29)</f>
        <v>0</v>
      </c>
      <c r="J33">
        <f>SUM(J26,J29)</f>
        <v>0</v>
      </c>
      <c r="K33">
        <f>SUM(K26,K29)</f>
        <v>0</v>
      </c>
      <c r="L33">
        <f>SUM(L26,L29)</f>
        <v>0</v>
      </c>
      <c r="M33">
        <f>SUM(M26,M29)</f>
        <v>0</v>
      </c>
    </row>
    <row r="34" spans="1:13" x14ac:dyDescent="0.25">
      <c r="A34" s="7"/>
      <c r="C34" s="10">
        <f>C33-C32</f>
        <v>178</v>
      </c>
      <c r="D34" s="10">
        <f>D33-D32</f>
        <v>220</v>
      </c>
      <c r="E34" s="10">
        <f>E33-E32</f>
        <v>237</v>
      </c>
      <c r="F34">
        <f>F33-F32</f>
        <v>0</v>
      </c>
      <c r="G34">
        <f>G33-G32</f>
        <v>0</v>
      </c>
      <c r="H34">
        <f>H33-H32</f>
        <v>0</v>
      </c>
      <c r="I34">
        <f>I33-I32</f>
        <v>0</v>
      </c>
      <c r="J34">
        <f>J33-J32</f>
        <v>0</v>
      </c>
      <c r="K34">
        <f>K33-K32</f>
        <v>0</v>
      </c>
      <c r="L34">
        <f>L33-L32</f>
        <v>0</v>
      </c>
      <c r="M34">
        <f>M33-M32</f>
        <v>0</v>
      </c>
    </row>
    <row r="35" spans="1:13" x14ac:dyDescent="0.25">
      <c r="A35" s="7" t="s">
        <v>788</v>
      </c>
      <c r="C35" s="10">
        <v>980</v>
      </c>
      <c r="D35" s="14">
        <v>1053</v>
      </c>
      <c r="E35" s="14">
        <v>1055</v>
      </c>
    </row>
    <row r="36" spans="1:13" x14ac:dyDescent="0.25">
      <c r="A36" s="6" t="s">
        <v>789</v>
      </c>
      <c r="C36" s="14">
        <v>1674</v>
      </c>
      <c r="D36" s="14">
        <v>1707</v>
      </c>
      <c r="E36" s="14">
        <v>1644</v>
      </c>
    </row>
    <row r="37" spans="1:13" x14ac:dyDescent="0.25">
      <c r="A37" s="6"/>
      <c r="C37" s="14">
        <f>SUM(C32,C35)</f>
        <v>1076</v>
      </c>
      <c r="D37" s="14">
        <f>SUM(D32,D35)</f>
        <v>1099</v>
      </c>
      <c r="E37" s="14">
        <f>SUM(E32,E35)</f>
        <v>1069</v>
      </c>
      <c r="F37">
        <f>SUM(F32,F35)</f>
        <v>0</v>
      </c>
      <c r="G37">
        <f>SUM(G32,G35)</f>
        <v>0</v>
      </c>
      <c r="H37">
        <f>SUM(H32,H35)</f>
        <v>0</v>
      </c>
      <c r="I37">
        <f>SUM(I32,I35)</f>
        <v>0</v>
      </c>
      <c r="J37">
        <f>SUM(J32,J35)</f>
        <v>0</v>
      </c>
      <c r="K37">
        <f>SUM(K32,K35)</f>
        <v>0</v>
      </c>
      <c r="L37">
        <f>SUM(L32,L35)</f>
        <v>0</v>
      </c>
      <c r="M37">
        <f>SUM(M32,M35)</f>
        <v>0</v>
      </c>
    </row>
    <row r="38" spans="1:13" x14ac:dyDescent="0.25">
      <c r="A38" s="6"/>
      <c r="C38" s="14">
        <f>C37-C36</f>
        <v>-598</v>
      </c>
      <c r="D38" s="14">
        <f>D37-D36</f>
        <v>-608</v>
      </c>
      <c r="E38" s="14">
        <f>E37-E36</f>
        <v>-575</v>
      </c>
      <c r="F38">
        <f>F37-F36</f>
        <v>0</v>
      </c>
      <c r="G38">
        <f>G37-G36</f>
        <v>0</v>
      </c>
      <c r="H38">
        <f>H37-H36</f>
        <v>0</v>
      </c>
      <c r="I38">
        <f>I37-I36</f>
        <v>0</v>
      </c>
      <c r="J38">
        <f>J37-J36</f>
        <v>0</v>
      </c>
      <c r="K38">
        <f>K37-K36</f>
        <v>0</v>
      </c>
      <c r="L38">
        <f>L37-L36</f>
        <v>0</v>
      </c>
      <c r="M38">
        <f>M37-M36</f>
        <v>0</v>
      </c>
    </row>
    <row r="39" spans="1:13" x14ac:dyDescent="0.25">
      <c r="A39" s="6" t="s">
        <v>790</v>
      </c>
    </row>
    <row r="40" spans="1:13" x14ac:dyDescent="0.25">
      <c r="A40" s="7" t="s">
        <v>791</v>
      </c>
      <c r="C40" s="10">
        <v>20</v>
      </c>
      <c r="D40" s="10">
        <v>50</v>
      </c>
      <c r="E40" s="10">
        <v>47</v>
      </c>
    </row>
    <row r="41" spans="1:13" x14ac:dyDescent="0.25">
      <c r="A41" s="7"/>
      <c r="C41" s="10">
        <f>C36*C39</f>
        <v>0</v>
      </c>
      <c r="D41" s="10">
        <f>D36*D39</f>
        <v>0</v>
      </c>
      <c r="E41" s="10">
        <f>E36*E39</f>
        <v>0</v>
      </c>
      <c r="F41">
        <f>F36*F39</f>
        <v>0</v>
      </c>
      <c r="G41">
        <f>G36*G39</f>
        <v>0</v>
      </c>
      <c r="H41">
        <f>H36*H39</f>
        <v>0</v>
      </c>
      <c r="I41">
        <f>I36*I39</f>
        <v>0</v>
      </c>
      <c r="J41">
        <f>J36*J39</f>
        <v>0</v>
      </c>
      <c r="K41">
        <f>K36*K39</f>
        <v>0</v>
      </c>
      <c r="L41">
        <f>L36*L39</f>
        <v>0</v>
      </c>
      <c r="M41">
        <f>M36*M39</f>
        <v>0</v>
      </c>
    </row>
    <row r="42" spans="1:13" x14ac:dyDescent="0.25">
      <c r="A42" s="7"/>
      <c r="C42" s="10">
        <f>C41-C40</f>
        <v>-20</v>
      </c>
      <c r="D42" s="10">
        <f>D41-D40</f>
        <v>-50</v>
      </c>
      <c r="E42" s="10">
        <f>E41-E40</f>
        <v>-47</v>
      </c>
      <c r="F42">
        <f>F41-F40</f>
        <v>0</v>
      </c>
      <c r="G42">
        <f>G41-G40</f>
        <v>0</v>
      </c>
      <c r="H42">
        <f>H41-H40</f>
        <v>0</v>
      </c>
      <c r="I42">
        <f>I41-I40</f>
        <v>0</v>
      </c>
      <c r="J42">
        <f>J41-J40</f>
        <v>0</v>
      </c>
      <c r="K42">
        <f>K41-K40</f>
        <v>0</v>
      </c>
      <c r="L42">
        <f>L41-L40</f>
        <v>0</v>
      </c>
      <c r="M42">
        <f>M41-M40</f>
        <v>0</v>
      </c>
    </row>
    <row r="43" spans="1:13" x14ac:dyDescent="0.25">
      <c r="A43" s="7" t="s">
        <v>792</v>
      </c>
      <c r="C43" s="7" t="s">
        <v>90</v>
      </c>
      <c r="D43" s="7" t="s">
        <v>90</v>
      </c>
      <c r="E43" s="7" t="s">
        <v>90</v>
      </c>
    </row>
    <row r="44" spans="1:13" x14ac:dyDescent="0.25">
      <c r="A44" s="7" t="s">
        <v>793</v>
      </c>
      <c r="C44" s="7" t="s">
        <v>90</v>
      </c>
      <c r="D44" s="7" t="s">
        <v>90</v>
      </c>
      <c r="E44" s="7" t="s">
        <v>90</v>
      </c>
    </row>
    <row r="45" spans="1:13" x14ac:dyDescent="0.25">
      <c r="A45" s="7" t="s">
        <v>794</v>
      </c>
      <c r="C45" s="10">
        <v>79</v>
      </c>
      <c r="D45" s="10">
        <v>78</v>
      </c>
      <c r="E45" s="10">
        <v>89</v>
      </c>
    </row>
    <row r="46" spans="1:13" x14ac:dyDescent="0.25">
      <c r="A46" s="7" t="s">
        <v>795</v>
      </c>
      <c r="C46" s="7" t="s">
        <v>90</v>
      </c>
      <c r="D46" s="7" t="s">
        <v>90</v>
      </c>
    </row>
    <row r="47" spans="1:13" x14ac:dyDescent="0.25">
      <c r="A47" s="7" t="s">
        <v>796</v>
      </c>
      <c r="C47" s="10">
        <v>350</v>
      </c>
      <c r="D47" s="10">
        <v>332</v>
      </c>
      <c r="E47" s="10">
        <v>369</v>
      </c>
    </row>
    <row r="48" spans="1:13" x14ac:dyDescent="0.25">
      <c r="A48" s="7" t="s">
        <v>797</v>
      </c>
      <c r="C48" s="7" t="s">
        <v>90</v>
      </c>
      <c r="D48" s="7" t="s">
        <v>90</v>
      </c>
      <c r="E48" s="7" t="s">
        <v>90</v>
      </c>
    </row>
    <row r="49" spans="1:5" x14ac:dyDescent="0.25">
      <c r="A49" s="6" t="s">
        <v>798</v>
      </c>
      <c r="C49" s="10">
        <v>450</v>
      </c>
      <c r="D49" s="10">
        <v>460</v>
      </c>
      <c r="E49" s="10">
        <v>506</v>
      </c>
    </row>
    <row r="50" spans="1:5" x14ac:dyDescent="0.25">
      <c r="A50" s="7" t="s">
        <v>799</v>
      </c>
      <c r="C50" s="7" t="s">
        <v>90</v>
      </c>
      <c r="D50" s="7" t="s">
        <v>90</v>
      </c>
      <c r="E50" s="7" t="s">
        <v>90</v>
      </c>
    </row>
    <row r="51" spans="1:5" x14ac:dyDescent="0.25">
      <c r="A51" s="7" t="s">
        <v>800</v>
      </c>
      <c r="C51" s="10">
        <v>17</v>
      </c>
      <c r="D51" s="10">
        <v>17</v>
      </c>
      <c r="E51" s="10">
        <v>16</v>
      </c>
    </row>
    <row r="52" spans="1:5" x14ac:dyDescent="0.25">
      <c r="A52" s="7" t="s">
        <v>801</v>
      </c>
      <c r="C52" s="10">
        <v>52</v>
      </c>
      <c r="D52" s="10">
        <v>57</v>
      </c>
      <c r="E52" s="10">
        <v>54</v>
      </c>
    </row>
    <row r="53" spans="1:5" x14ac:dyDescent="0.25">
      <c r="A53" s="7"/>
      <c r="C53" s="10"/>
      <c r="D53" s="10"/>
      <c r="E53" s="10"/>
    </row>
    <row r="54" spans="1:5" x14ac:dyDescent="0.25">
      <c r="A54" s="7"/>
      <c r="C54" s="10"/>
      <c r="D54" s="10"/>
      <c r="E54" s="10"/>
    </row>
    <row r="55" spans="1:5" x14ac:dyDescent="0.25">
      <c r="A55" s="7" t="s">
        <v>802</v>
      </c>
      <c r="C55" s="10">
        <v>16</v>
      </c>
      <c r="D55" s="10">
        <v>14</v>
      </c>
      <c r="E55" s="10">
        <v>14</v>
      </c>
    </row>
    <row r="56" spans="1:5" x14ac:dyDescent="0.25">
      <c r="A56" s="7"/>
      <c r="C56" s="10"/>
      <c r="D56" s="10"/>
      <c r="E56" s="10"/>
    </row>
    <row r="57" spans="1:5" x14ac:dyDescent="0.25">
      <c r="A57" s="7"/>
      <c r="C57" s="10"/>
      <c r="D57" s="10"/>
      <c r="E57" s="10"/>
    </row>
    <row r="58" spans="1:5" x14ac:dyDescent="0.25">
      <c r="A58" s="6" t="s">
        <v>803</v>
      </c>
      <c r="C58" s="10">
        <v>85</v>
      </c>
      <c r="D58" s="10">
        <v>89</v>
      </c>
      <c r="E58" s="10">
        <v>84</v>
      </c>
    </row>
    <row r="59" spans="1:5" x14ac:dyDescent="0.25">
      <c r="A59" s="6"/>
      <c r="C59" s="10"/>
      <c r="D59" s="10"/>
      <c r="E59" s="10"/>
    </row>
    <row r="60" spans="1:5" x14ac:dyDescent="0.25">
      <c r="A60" s="6"/>
      <c r="C60" s="10"/>
      <c r="D60" s="10"/>
      <c r="E60" s="10"/>
    </row>
    <row r="61" spans="1:5" x14ac:dyDescent="0.25">
      <c r="A61" s="7" t="s">
        <v>804</v>
      </c>
      <c r="C61" s="14">
        <v>1139</v>
      </c>
      <c r="D61" s="14">
        <v>1158</v>
      </c>
      <c r="E61" s="14">
        <v>1054</v>
      </c>
    </row>
    <row r="62" spans="1:5" x14ac:dyDescent="0.25">
      <c r="A62" s="7"/>
      <c r="C62" s="14"/>
      <c r="D62" s="14"/>
      <c r="E62" s="14"/>
    </row>
    <row r="63" spans="1:5" x14ac:dyDescent="0.25">
      <c r="A63" s="7"/>
      <c r="C63" s="14"/>
      <c r="D63" s="14"/>
      <c r="E63" s="14"/>
    </row>
    <row r="64" spans="1:5" x14ac:dyDescent="0.25">
      <c r="A64" s="6" t="s">
        <v>805</v>
      </c>
      <c r="C64" s="14">
        <v>1674</v>
      </c>
      <c r="D64" s="14">
        <v>1707</v>
      </c>
      <c r="E64" s="14">
        <v>1644</v>
      </c>
    </row>
    <row r="65" spans="1:7" x14ac:dyDescent="0.25">
      <c r="A65" s="6"/>
      <c r="C65" s="14"/>
      <c r="D65" s="14"/>
      <c r="E65" s="14"/>
    </row>
    <row r="66" spans="1:7" x14ac:dyDescent="0.25">
      <c r="A66" s="6"/>
      <c r="C66" s="14"/>
      <c r="D66" s="14"/>
      <c r="E66" s="14"/>
    </row>
    <row r="67" spans="1:7" x14ac:dyDescent="0.25">
      <c r="A67" s="7" t="s">
        <v>806</v>
      </c>
      <c r="C67" s="19">
        <v>-152</v>
      </c>
      <c r="D67" s="19">
        <v>-141</v>
      </c>
      <c r="E67" s="19">
        <v>-207</v>
      </c>
    </row>
    <row r="68" spans="1:7" x14ac:dyDescent="0.25">
      <c r="A68" s="7" t="s">
        <v>807</v>
      </c>
    </row>
    <row r="69" spans="1:7" x14ac:dyDescent="0.25">
      <c r="A69" s="7" t="s">
        <v>808</v>
      </c>
      <c r="C69" s="20">
        <v>-0.16</v>
      </c>
      <c r="D69" s="20">
        <v>-0.14799999999999999</v>
      </c>
      <c r="E69" s="7" t="s">
        <v>223</v>
      </c>
    </row>
    <row r="70" spans="1:7" x14ac:dyDescent="0.25">
      <c r="A70" s="7" t="s">
        <v>809</v>
      </c>
      <c r="C70" s="7" t="s">
        <v>90</v>
      </c>
      <c r="D70" s="7" t="s">
        <v>90</v>
      </c>
      <c r="E70" s="7" t="s">
        <v>90</v>
      </c>
    </row>
    <row r="71" spans="1:7" x14ac:dyDescent="0.25">
      <c r="A71" s="7" t="s">
        <v>810</v>
      </c>
      <c r="C71" s="19">
        <v>0</v>
      </c>
      <c r="D71" s="19">
        <v>-1</v>
      </c>
      <c r="E71" s="19">
        <v>-2</v>
      </c>
    </row>
    <row r="72" spans="1:7" x14ac:dyDescent="0.25">
      <c r="A72" s="16" t="s">
        <v>61</v>
      </c>
    </row>
    <row r="73" spans="1:7" x14ac:dyDescent="0.25">
      <c r="A73" s="4" t="s">
        <v>62</v>
      </c>
      <c r="G73" s="17" t="s">
        <v>63</v>
      </c>
    </row>
    <row r="74" spans="1:7" x14ac:dyDescent="0.25">
      <c r="F74" s="5" t="s">
        <v>6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2:T44"/>
  <sheetViews>
    <sheetView workbookViewId="0">
      <selection activeCell="C16" sqref="C16"/>
    </sheetView>
  </sheetViews>
  <sheetFormatPr defaultRowHeight="15" x14ac:dyDescent="0.25"/>
  <cols>
    <col min="1" max="1" width="75" style="50" bestFit="1" customWidth="1"/>
    <col min="2" max="2" width="14.42578125" bestFit="1" customWidth="1"/>
    <col min="3" max="3" width="5.85546875" bestFit="1" customWidth="1"/>
    <col min="4" max="4" width="8.28515625" bestFit="1" customWidth="1"/>
    <col min="5" max="5" width="5.85546875" bestFit="1" customWidth="1"/>
    <col min="6" max="6" width="19.5703125" bestFit="1" customWidth="1"/>
    <col min="7" max="11" width="5.85546875" bestFit="1" customWidth="1"/>
    <col min="12" max="12" width="8.28515625" bestFit="1" customWidth="1"/>
    <col min="13" max="13" width="7.5703125" bestFit="1" customWidth="1"/>
    <col min="14" max="14" width="19.5703125" bestFit="1" customWidth="1"/>
    <col min="15" max="15" width="7.5703125" bestFit="1" customWidth="1"/>
    <col min="16" max="19" width="6.140625" bestFit="1" customWidth="1"/>
    <col min="20" max="20" width="6.28515625" bestFit="1" customWidth="1"/>
  </cols>
  <sheetData>
    <row r="2" spans="1:20" x14ac:dyDescent="0.25">
      <c r="A2" s="47" t="s">
        <v>1</v>
      </c>
      <c r="T2" s="7" t="s">
        <v>811</v>
      </c>
    </row>
    <row r="3" spans="1:20" x14ac:dyDescent="0.25">
      <c r="A3" s="47" t="s">
        <v>9</v>
      </c>
    </row>
    <row r="4" spans="1:20" x14ac:dyDescent="0.25">
      <c r="A4" s="48" t="s">
        <v>812</v>
      </c>
    </row>
    <row r="5" spans="1:20" x14ac:dyDescent="0.25">
      <c r="A5" s="48" t="s">
        <v>11</v>
      </c>
    </row>
    <row r="6" spans="1:20" x14ac:dyDescent="0.25">
      <c r="A6" s="49" t="s">
        <v>813</v>
      </c>
    </row>
    <row r="7" spans="1:20" x14ac:dyDescent="0.25">
      <c r="D7" s="9" t="s">
        <v>95</v>
      </c>
      <c r="F7" s="9" t="s">
        <v>96</v>
      </c>
      <c r="L7" s="9" t="s">
        <v>95</v>
      </c>
      <c r="N7" s="9" t="s">
        <v>96</v>
      </c>
    </row>
    <row r="8" spans="1:20" x14ac:dyDescent="0.25">
      <c r="A8" s="51" t="s">
        <v>12</v>
      </c>
      <c r="B8" s="16" t="s">
        <v>814</v>
      </c>
      <c r="C8" s="46" t="s">
        <v>97</v>
      </c>
      <c r="D8" s="46" t="s">
        <v>97</v>
      </c>
      <c r="E8" s="46" t="s">
        <v>98</v>
      </c>
      <c r="F8" s="46" t="s">
        <v>99</v>
      </c>
      <c r="G8" s="46" t="s">
        <v>100</v>
      </c>
      <c r="H8" s="46" t="s">
        <v>101</v>
      </c>
      <c r="I8" s="46" t="s">
        <v>102</v>
      </c>
      <c r="J8" s="46" t="s">
        <v>103</v>
      </c>
      <c r="K8" s="46" t="s">
        <v>104</v>
      </c>
      <c r="L8" s="9" t="s">
        <v>97</v>
      </c>
      <c r="M8" s="9" t="s">
        <v>98</v>
      </c>
      <c r="N8" s="9" t="s">
        <v>99</v>
      </c>
      <c r="O8" s="9" t="s">
        <v>100</v>
      </c>
      <c r="P8" s="9" t="s">
        <v>101</v>
      </c>
      <c r="Q8" s="9" t="s">
        <v>102</v>
      </c>
      <c r="R8" s="9" t="s">
        <v>103</v>
      </c>
      <c r="S8" s="9" t="s">
        <v>104</v>
      </c>
    </row>
    <row r="9" spans="1:20" x14ac:dyDescent="0.25">
      <c r="A9" s="52" t="s">
        <v>628</v>
      </c>
      <c r="C9" s="10">
        <v>972</v>
      </c>
      <c r="D9" s="10">
        <v>237</v>
      </c>
      <c r="E9" s="14">
        <v>1000</v>
      </c>
      <c r="F9" s="14">
        <v>1037</v>
      </c>
      <c r="G9" s="14">
        <v>1079</v>
      </c>
      <c r="H9" s="14">
        <v>1119</v>
      </c>
      <c r="I9" s="14">
        <v>1166</v>
      </c>
      <c r="J9" s="14">
        <v>1217</v>
      </c>
      <c r="K9" s="14">
        <v>1271</v>
      </c>
      <c r="L9" s="20">
        <v>1</v>
      </c>
      <c r="M9" s="20">
        <v>1</v>
      </c>
      <c r="N9" s="20">
        <v>1</v>
      </c>
      <c r="O9" s="20">
        <v>1</v>
      </c>
      <c r="P9" s="20">
        <v>1</v>
      </c>
      <c r="Q9" s="20">
        <v>1</v>
      </c>
      <c r="R9" s="20">
        <v>1</v>
      </c>
      <c r="S9" s="20">
        <v>1</v>
      </c>
    </row>
    <row r="10" spans="1:20" x14ac:dyDescent="0.25">
      <c r="A10" s="53" t="s">
        <v>106</v>
      </c>
      <c r="C10" s="10">
        <v>305</v>
      </c>
      <c r="D10" s="10">
        <v>74</v>
      </c>
      <c r="E10" s="10">
        <v>313</v>
      </c>
      <c r="F10" s="10">
        <v>347</v>
      </c>
      <c r="G10" s="10">
        <v>373</v>
      </c>
      <c r="H10" s="10">
        <v>391</v>
      </c>
      <c r="I10" s="10">
        <v>419</v>
      </c>
      <c r="J10" s="10">
        <v>448</v>
      </c>
      <c r="K10" s="10">
        <v>479</v>
      </c>
      <c r="L10" s="20">
        <v>0.314</v>
      </c>
      <c r="M10" s="20">
        <v>0.313</v>
      </c>
      <c r="N10" s="20">
        <v>0.33400000000000002</v>
      </c>
      <c r="O10" s="20">
        <v>0.34599999999999997</v>
      </c>
      <c r="P10" s="20">
        <v>0.34899999999999998</v>
      </c>
      <c r="Q10" s="20">
        <v>0.35899999999999999</v>
      </c>
      <c r="R10" s="20">
        <v>0.36799999999999999</v>
      </c>
      <c r="S10" s="20">
        <v>0.377</v>
      </c>
    </row>
    <row r="11" spans="1:20" x14ac:dyDescent="0.25">
      <c r="A11" s="53"/>
      <c r="C11" s="10">
        <f>SUM(C8:C9)</f>
        <v>972</v>
      </c>
      <c r="D11" s="10">
        <f>SUM(D8:D9)</f>
        <v>237</v>
      </c>
      <c r="E11" s="10">
        <f>SUM(E8:E9)</f>
        <v>1000</v>
      </c>
      <c r="F11" s="10">
        <f>SUM(F8:F9)</f>
        <v>1037</v>
      </c>
      <c r="G11" s="10">
        <f>SUM(G8:G9)</f>
        <v>1079</v>
      </c>
      <c r="H11" s="10">
        <f>SUM(H8:H9)</f>
        <v>1119</v>
      </c>
      <c r="I11" s="10">
        <f>SUM(I8:I9)</f>
        <v>1166</v>
      </c>
      <c r="J11" s="10">
        <f>SUM(J8:J9)</f>
        <v>1217</v>
      </c>
      <c r="K11" s="10">
        <f>SUM(K8:K9)</f>
        <v>1271</v>
      </c>
      <c r="L11" s="7">
        <f>SUM(L8:L9)</f>
        <v>1</v>
      </c>
      <c r="M11" s="7">
        <f>SUM(M8:M9)</f>
        <v>1</v>
      </c>
      <c r="N11" s="20"/>
      <c r="O11" s="20"/>
      <c r="P11" s="20"/>
      <c r="Q11" s="20"/>
      <c r="R11" s="20"/>
      <c r="S11" s="20"/>
    </row>
    <row r="12" spans="1:20" x14ac:dyDescent="0.25">
      <c r="A12" s="53"/>
      <c r="C12" s="10">
        <f>C11-C10</f>
        <v>667</v>
      </c>
      <c r="D12" s="10">
        <f>D11-D10</f>
        <v>163</v>
      </c>
      <c r="E12" s="10">
        <f>E11-E10</f>
        <v>687</v>
      </c>
      <c r="F12" s="10">
        <f>F11-F10</f>
        <v>690</v>
      </c>
      <c r="G12" s="10">
        <f>G11-G10</f>
        <v>706</v>
      </c>
      <c r="H12" s="10">
        <f>H11-H10</f>
        <v>728</v>
      </c>
      <c r="I12" s="10">
        <f>I11-I10</f>
        <v>747</v>
      </c>
      <c r="J12" s="10">
        <f>J11-J10</f>
        <v>769</v>
      </c>
      <c r="K12" s="10">
        <f>K11-K10</f>
        <v>792</v>
      </c>
      <c r="L12" s="7">
        <f>L11-L10</f>
        <v>0.68599999999999994</v>
      </c>
      <c r="M12" s="7">
        <f>M11-M10</f>
        <v>0.68700000000000006</v>
      </c>
      <c r="N12" s="20"/>
      <c r="O12" s="20"/>
      <c r="P12" s="20"/>
      <c r="Q12" s="20"/>
      <c r="R12" s="20"/>
      <c r="S12" s="20"/>
    </row>
    <row r="13" spans="1:20" x14ac:dyDescent="0.25">
      <c r="A13" s="52" t="s">
        <v>107</v>
      </c>
      <c r="C13" s="10">
        <v>35</v>
      </c>
      <c r="D13" s="10">
        <v>8</v>
      </c>
      <c r="E13" s="10">
        <v>34</v>
      </c>
      <c r="F13" s="10">
        <v>36</v>
      </c>
      <c r="G13" s="10">
        <v>54</v>
      </c>
      <c r="H13" s="10">
        <v>62</v>
      </c>
      <c r="I13" s="10">
        <v>62</v>
      </c>
      <c r="J13" s="10">
        <v>62</v>
      </c>
      <c r="K13" s="10">
        <v>62</v>
      </c>
      <c r="L13" s="20">
        <v>3.5999999999999997E-2</v>
      </c>
      <c r="M13" s="20">
        <v>3.4000000000000002E-2</v>
      </c>
      <c r="N13" s="20">
        <v>3.5000000000000003E-2</v>
      </c>
      <c r="O13" s="20">
        <v>0.05</v>
      </c>
      <c r="P13" s="20">
        <v>5.5E-2</v>
      </c>
      <c r="Q13" s="20">
        <v>5.2999999999999999E-2</v>
      </c>
      <c r="R13" s="20">
        <v>5.0999999999999997E-2</v>
      </c>
      <c r="S13" s="20">
        <v>4.9000000000000002E-2</v>
      </c>
    </row>
    <row r="14" spans="1:20" x14ac:dyDescent="0.25">
      <c r="A14" s="53" t="s">
        <v>751</v>
      </c>
      <c r="C14" s="10">
        <v>340</v>
      </c>
      <c r="D14" s="10">
        <v>83</v>
      </c>
      <c r="E14" s="10">
        <v>346</v>
      </c>
      <c r="F14" s="10">
        <v>383</v>
      </c>
      <c r="G14" s="10">
        <v>427</v>
      </c>
      <c r="H14" s="10">
        <v>453</v>
      </c>
      <c r="I14" s="10">
        <v>481</v>
      </c>
      <c r="J14" s="10">
        <v>510</v>
      </c>
      <c r="K14" s="10">
        <v>541</v>
      </c>
      <c r="L14" s="20">
        <v>0.35</v>
      </c>
      <c r="M14" s="20">
        <v>0.34599999999999997</v>
      </c>
      <c r="N14" s="20">
        <v>0.36899999999999999</v>
      </c>
      <c r="O14" s="20">
        <v>0.39600000000000002</v>
      </c>
      <c r="P14" s="20">
        <v>0.40500000000000003</v>
      </c>
      <c r="Q14" s="20">
        <v>0.41199999999999998</v>
      </c>
      <c r="R14" s="20">
        <v>0.41899999999999998</v>
      </c>
      <c r="S14" s="20">
        <v>0.42499999999999999</v>
      </c>
    </row>
    <row r="15" spans="1:20" x14ac:dyDescent="0.25">
      <c r="A15" s="53"/>
      <c r="C15" s="10">
        <f>C10*C13</f>
        <v>10675</v>
      </c>
      <c r="D15" s="10">
        <f>D10*D13</f>
        <v>592</v>
      </c>
      <c r="E15" s="10">
        <f>E10*E13</f>
        <v>10642</v>
      </c>
      <c r="F15" s="10">
        <f>F10*F13</f>
        <v>12492</v>
      </c>
      <c r="G15" s="10">
        <f>G10*G13</f>
        <v>20142</v>
      </c>
      <c r="H15" s="10">
        <f>H10*H13</f>
        <v>24242</v>
      </c>
      <c r="I15" s="10">
        <f>I10*I13</f>
        <v>25978</v>
      </c>
      <c r="J15" s="10">
        <f>J10*J13</f>
        <v>27776</v>
      </c>
      <c r="K15" s="10">
        <f>K10*K13</f>
        <v>29698</v>
      </c>
      <c r="L15" s="20">
        <f>L10*L13</f>
        <v>1.1304E-2</v>
      </c>
      <c r="M15" s="20">
        <f>M10*M13</f>
        <v>1.0642E-2</v>
      </c>
      <c r="N15" s="20"/>
      <c r="O15" s="20"/>
      <c r="P15" s="20"/>
      <c r="Q15" s="20"/>
      <c r="R15" s="20"/>
      <c r="S15" s="20"/>
    </row>
    <row r="16" spans="1:20" x14ac:dyDescent="0.25">
      <c r="A16" s="53"/>
      <c r="C16" s="10">
        <f>C15-C14</f>
        <v>10335</v>
      </c>
      <c r="D16" s="10">
        <f>D15-D14</f>
        <v>509</v>
      </c>
      <c r="E16" s="10">
        <f>E15-E14</f>
        <v>10296</v>
      </c>
      <c r="F16" s="10">
        <f>F15-F14</f>
        <v>12109</v>
      </c>
      <c r="G16" s="10">
        <f>G15-G14</f>
        <v>19715</v>
      </c>
      <c r="H16" s="10">
        <f>H15-H14</f>
        <v>23789</v>
      </c>
      <c r="I16" s="10">
        <f>I15-I14</f>
        <v>25497</v>
      </c>
      <c r="J16" s="10">
        <f>J15-J14</f>
        <v>27266</v>
      </c>
      <c r="K16" s="10">
        <f>K15-K14</f>
        <v>29157</v>
      </c>
      <c r="L16" s="20">
        <f>L15-L14</f>
        <v>-0.338696</v>
      </c>
      <c r="M16" s="20">
        <f>M15-M14</f>
        <v>-0.33535799999999999</v>
      </c>
      <c r="N16" s="20"/>
      <c r="O16" s="20"/>
      <c r="P16" s="20"/>
      <c r="Q16" s="20"/>
      <c r="R16" s="20"/>
      <c r="S16" s="20"/>
    </row>
    <row r="17" spans="1:15" x14ac:dyDescent="0.25">
      <c r="A17" s="52" t="s">
        <v>660</v>
      </c>
      <c r="C17" s="10">
        <v>62</v>
      </c>
      <c r="D17" s="10">
        <v>15</v>
      </c>
      <c r="E17" s="10">
        <v>62</v>
      </c>
      <c r="F17" s="10">
        <v>62</v>
      </c>
      <c r="G17" s="10">
        <v>62</v>
      </c>
      <c r="H17" s="10">
        <v>61</v>
      </c>
      <c r="I17" s="10">
        <v>62</v>
      </c>
      <c r="J17" s="10">
        <v>62</v>
      </c>
      <c r="K17" s="10">
        <v>63</v>
      </c>
    </row>
    <row r="18" spans="1:15" x14ac:dyDescent="0.25">
      <c r="A18" s="52" t="s">
        <v>815</v>
      </c>
      <c r="B18" s="20">
        <v>-0.16200000000000001</v>
      </c>
      <c r="C18" s="19">
        <v>-158</v>
      </c>
      <c r="D18" s="19">
        <v>-158</v>
      </c>
      <c r="E18" s="19">
        <v>-172</v>
      </c>
      <c r="F18" s="19">
        <v>-188</v>
      </c>
      <c r="G18" s="19">
        <v>-201</v>
      </c>
      <c r="H18" s="19">
        <v>-215</v>
      </c>
      <c r="I18" s="19">
        <v>-224</v>
      </c>
      <c r="J18" s="19">
        <v>-233</v>
      </c>
      <c r="K18" s="19">
        <v>-244</v>
      </c>
    </row>
    <row r="19" spans="1:15" x14ac:dyDescent="0.25">
      <c r="A19" s="52" t="s">
        <v>816</v>
      </c>
      <c r="C19" s="7" t="s">
        <v>703</v>
      </c>
      <c r="D19" s="10">
        <v>49</v>
      </c>
      <c r="E19" s="19">
        <v>-14</v>
      </c>
      <c r="F19" s="19">
        <v>-16</v>
      </c>
      <c r="G19" s="19">
        <v>-13</v>
      </c>
      <c r="H19" s="19">
        <v>-13</v>
      </c>
      <c r="I19" s="19">
        <v>-9</v>
      </c>
      <c r="J19" s="19">
        <v>-10</v>
      </c>
      <c r="K19" s="19">
        <v>-10</v>
      </c>
    </row>
    <row r="20" spans="1:15" x14ac:dyDescent="0.25">
      <c r="A20" s="54" t="s">
        <v>752</v>
      </c>
      <c r="M20" s="9" t="s">
        <v>817</v>
      </c>
      <c r="N20" s="9" t="s">
        <v>818</v>
      </c>
      <c r="O20" s="9" t="s">
        <v>819</v>
      </c>
    </row>
    <row r="21" spans="1:15" x14ac:dyDescent="0.25">
      <c r="A21" s="54"/>
      <c r="C21" s="60">
        <f>SUM(C18,C19)</f>
        <v>-158</v>
      </c>
      <c r="D21" s="60">
        <f>SUM(D18,D19)</f>
        <v>-109</v>
      </c>
      <c r="E21" s="60">
        <f>SUM(E18,E19)</f>
        <v>-186</v>
      </c>
      <c r="F21" s="60">
        <f>SUM(F18,F19)</f>
        <v>-204</v>
      </c>
      <c r="G21" s="60">
        <f>SUM(G18,G19)</f>
        <v>-214</v>
      </c>
      <c r="H21" s="60">
        <f>SUM(H18,H19)</f>
        <v>-228</v>
      </c>
      <c r="I21" s="60">
        <f>SUM(I18,I19)</f>
        <v>-233</v>
      </c>
      <c r="J21" s="60">
        <f>SUM(J18,J19)</f>
        <v>-243</v>
      </c>
      <c r="K21" s="60">
        <f>SUM(K18,K19)</f>
        <v>-254</v>
      </c>
      <c r="L21">
        <f>SUM(L18,L19)</f>
        <v>0</v>
      </c>
      <c r="M21" s="9" t="s">
        <v>1001</v>
      </c>
      <c r="N21" s="9"/>
      <c r="O21" s="9"/>
    </row>
    <row r="22" spans="1:15" x14ac:dyDescent="0.25">
      <c r="A22" s="54"/>
      <c r="C22" s="60">
        <f>C21-C20</f>
        <v>-158</v>
      </c>
      <c r="D22" s="60">
        <f>D21-D20</f>
        <v>-109</v>
      </c>
      <c r="E22" s="60">
        <f>E21-E20</f>
        <v>-186</v>
      </c>
      <c r="F22" s="60">
        <f>F21-F20</f>
        <v>-204</v>
      </c>
      <c r="G22" s="60">
        <f>G21-G20</f>
        <v>-214</v>
      </c>
      <c r="H22" s="60">
        <f>H21-H20</f>
        <v>-228</v>
      </c>
      <c r="I22" s="60">
        <f>I21-I20</f>
        <v>-233</v>
      </c>
      <c r="J22" s="60">
        <f>J21-J20</f>
        <v>-243</v>
      </c>
      <c r="K22" s="60">
        <f>K21-K20</f>
        <v>-254</v>
      </c>
      <c r="L22">
        <f>L21-L20</f>
        <v>0</v>
      </c>
      <c r="M22" s="9" t="s">
        <v>1002</v>
      </c>
      <c r="N22" s="9"/>
      <c r="O22" s="9"/>
    </row>
    <row r="23" spans="1:15" x14ac:dyDescent="0.25">
      <c r="A23" s="52" t="s">
        <v>756</v>
      </c>
      <c r="C23" s="7" t="s">
        <v>223</v>
      </c>
      <c r="D23" s="7" t="s">
        <v>223</v>
      </c>
      <c r="E23" s="20">
        <v>2.8000000000000001E-2</v>
      </c>
      <c r="F23" s="20">
        <v>3.7999999999999999E-2</v>
      </c>
      <c r="G23" s="20">
        <v>0.04</v>
      </c>
      <c r="H23" s="20">
        <v>3.7999999999999999E-2</v>
      </c>
      <c r="I23" s="20">
        <v>4.2000000000000003E-2</v>
      </c>
      <c r="J23" s="20">
        <v>4.3999999999999997E-2</v>
      </c>
      <c r="K23" s="20">
        <v>4.3999999999999997E-2</v>
      </c>
      <c r="M23" s="20">
        <v>3.5999999999999997E-2</v>
      </c>
      <c r="N23" s="20">
        <v>3.7999999999999999E-2</v>
      </c>
      <c r="O23" s="20">
        <v>3.9E-2</v>
      </c>
    </row>
    <row r="24" spans="1:15" x14ac:dyDescent="0.25">
      <c r="A24" s="52"/>
      <c r="C24" s="7" t="s">
        <v>933</v>
      </c>
      <c r="D24" s="7" t="s">
        <v>937</v>
      </c>
      <c r="E24" s="20">
        <f>E10*B23</f>
        <v>0</v>
      </c>
      <c r="F24" s="20">
        <f>F10*B23</f>
        <v>0</v>
      </c>
      <c r="G24" s="20">
        <f>G10*B23</f>
        <v>0</v>
      </c>
      <c r="H24" s="20">
        <f>H10*B23</f>
        <v>0</v>
      </c>
      <c r="I24" s="20">
        <f>I10*B23</f>
        <v>0</v>
      </c>
      <c r="J24" s="20">
        <f>J10*B23</f>
        <v>0</v>
      </c>
      <c r="K24" s="20">
        <f>K10*B23</f>
        <v>0</v>
      </c>
      <c r="L24">
        <f>L10*B23</f>
        <v>0</v>
      </c>
      <c r="M24" s="20">
        <f>M10*B23</f>
        <v>0</v>
      </c>
      <c r="N24" s="20"/>
      <c r="O24" s="20"/>
    </row>
    <row r="25" spans="1:15" x14ac:dyDescent="0.25">
      <c r="A25" s="52"/>
      <c r="C25" s="7" t="s">
        <v>934</v>
      </c>
      <c r="D25" s="7" t="s">
        <v>938</v>
      </c>
      <c r="E25" s="20">
        <f>E24-E23</f>
        <v>-2.8000000000000001E-2</v>
      </c>
      <c r="F25" s="20">
        <f>F24-F23</f>
        <v>-3.7999999999999999E-2</v>
      </c>
      <c r="G25" s="20">
        <f>G24-G23</f>
        <v>-0.04</v>
      </c>
      <c r="H25" s="20">
        <f>H24-H23</f>
        <v>-3.7999999999999999E-2</v>
      </c>
      <c r="I25" s="20">
        <f>I24-I23</f>
        <v>-4.2000000000000003E-2</v>
      </c>
      <c r="J25" s="20">
        <f>J24-J23</f>
        <v>-4.3999999999999997E-2</v>
      </c>
      <c r="K25" s="20">
        <f>K24-K23</f>
        <v>-4.3999999999999997E-2</v>
      </c>
      <c r="L25">
        <f>L24-L23</f>
        <v>0</v>
      </c>
      <c r="M25" s="20">
        <f>M24-M23</f>
        <v>-3.5999999999999997E-2</v>
      </c>
      <c r="N25" s="20"/>
      <c r="O25" s="20"/>
    </row>
    <row r="26" spans="1:15" x14ac:dyDescent="0.25">
      <c r="A26" s="52" t="s">
        <v>760</v>
      </c>
      <c r="C26" s="20">
        <v>0.314</v>
      </c>
      <c r="D26" s="20">
        <v>0.314</v>
      </c>
      <c r="E26" s="20">
        <v>0.313</v>
      </c>
      <c r="F26" s="20">
        <v>0.33400000000000002</v>
      </c>
      <c r="G26" s="20">
        <v>0.34599999999999997</v>
      </c>
      <c r="H26" s="20">
        <v>0.34899999999999998</v>
      </c>
      <c r="I26" s="20">
        <v>0.35899999999999999</v>
      </c>
      <c r="J26" s="20">
        <v>0.36799999999999999</v>
      </c>
      <c r="K26" s="20">
        <v>0.377</v>
      </c>
      <c r="M26" s="20">
        <v>0.33600000000000002</v>
      </c>
      <c r="N26" s="20">
        <v>0.34300000000000003</v>
      </c>
      <c r="O26" s="20">
        <v>0.34799999999999998</v>
      </c>
    </row>
    <row r="27" spans="1:15" x14ac:dyDescent="0.25">
      <c r="A27" s="52"/>
      <c r="C27" s="7">
        <f>SUM(C20,C23)</f>
        <v>0</v>
      </c>
      <c r="D27" s="7">
        <f>SUM(D20,D23)</f>
        <v>0</v>
      </c>
      <c r="E27" s="20">
        <f>SUM(E20,E23)</f>
        <v>2.8000000000000001E-2</v>
      </c>
      <c r="F27" s="20">
        <f>SUM(F20,F23)</f>
        <v>3.7999999999999999E-2</v>
      </c>
      <c r="G27" s="20">
        <f>SUM(G20,G23)</f>
        <v>0.04</v>
      </c>
      <c r="H27" s="20">
        <f>SUM(H20,H23)</f>
        <v>3.7999999999999999E-2</v>
      </c>
      <c r="I27" s="20">
        <f>SUM(I20,I23)</f>
        <v>4.2000000000000003E-2</v>
      </c>
      <c r="J27" s="20">
        <f>SUM(J20,J23)</f>
        <v>4.3999999999999997E-2</v>
      </c>
      <c r="K27" s="20">
        <f>SUM(K20,K23)</f>
        <v>4.3999999999999997E-2</v>
      </c>
      <c r="L27">
        <f>SUM(L20,L23)</f>
        <v>0</v>
      </c>
      <c r="M27" s="7">
        <f>SUM(M20,M23)</f>
        <v>3.5999999999999997E-2</v>
      </c>
      <c r="N27" s="20"/>
      <c r="O27" s="20"/>
    </row>
    <row r="28" spans="1:15" x14ac:dyDescent="0.25">
      <c r="A28" s="52"/>
      <c r="C28" s="7">
        <f>C27-C26</f>
        <v>-0.314</v>
      </c>
      <c r="D28" s="7">
        <f>D27-D26</f>
        <v>-0.314</v>
      </c>
      <c r="E28" s="20">
        <f>E27-E26</f>
        <v>-0.28499999999999998</v>
      </c>
      <c r="F28" s="20">
        <f>F27-F26</f>
        <v>-0.29600000000000004</v>
      </c>
      <c r="G28" s="20">
        <f>G27-G26</f>
        <v>-0.30599999999999999</v>
      </c>
      <c r="H28" s="20">
        <f>H27-H26</f>
        <v>-0.311</v>
      </c>
      <c r="I28" s="20">
        <f>I27-I26</f>
        <v>-0.317</v>
      </c>
      <c r="J28" s="20">
        <f>J27-J26</f>
        <v>-0.32400000000000001</v>
      </c>
      <c r="K28" s="20">
        <f>K27-K26</f>
        <v>-0.33300000000000002</v>
      </c>
      <c r="L28">
        <f>L27-L26</f>
        <v>0</v>
      </c>
      <c r="M28" s="7">
        <f>M27-M26</f>
        <v>-0.30000000000000004</v>
      </c>
      <c r="N28" s="20"/>
      <c r="O28" s="20"/>
    </row>
    <row r="29" spans="1:15" x14ac:dyDescent="0.25">
      <c r="A29" s="52" t="s">
        <v>762</v>
      </c>
      <c r="C29" s="20">
        <v>0.35</v>
      </c>
      <c r="D29" s="20">
        <v>0.35</v>
      </c>
      <c r="E29" s="20">
        <v>0.34599999999999997</v>
      </c>
      <c r="F29" s="20">
        <v>0.36899999999999999</v>
      </c>
      <c r="G29" s="20">
        <v>0.39600000000000002</v>
      </c>
      <c r="H29" s="20">
        <v>0.40500000000000003</v>
      </c>
      <c r="I29" s="20">
        <v>0.41199999999999998</v>
      </c>
      <c r="J29" s="20">
        <v>0.41899999999999998</v>
      </c>
      <c r="K29" s="20">
        <v>0.42499999999999999</v>
      </c>
      <c r="M29" s="20">
        <v>0.379</v>
      </c>
      <c r="N29" s="20">
        <v>0.39</v>
      </c>
      <c r="O29" s="20">
        <v>0.4</v>
      </c>
    </row>
    <row r="30" spans="1:15" x14ac:dyDescent="0.25">
      <c r="A30" s="52"/>
      <c r="C30" s="20">
        <f>C26*B29</f>
        <v>0</v>
      </c>
      <c r="D30" s="20">
        <f>D26*B29</f>
        <v>0</v>
      </c>
      <c r="E30" s="20">
        <f>E26*B29</f>
        <v>0</v>
      </c>
      <c r="F30" s="20">
        <f>F26*B29</f>
        <v>0</v>
      </c>
      <c r="G30" s="20">
        <f>G26*B29</f>
        <v>0</v>
      </c>
      <c r="H30" s="20">
        <f>H26*B29</f>
        <v>0</v>
      </c>
      <c r="I30" s="20">
        <f>I26*B29</f>
        <v>0</v>
      </c>
      <c r="J30" s="20">
        <f>J26*B29</f>
        <v>0</v>
      </c>
      <c r="K30" s="20">
        <f>K26*B29</f>
        <v>0</v>
      </c>
      <c r="L30">
        <f>L26*B29</f>
        <v>0</v>
      </c>
      <c r="M30" s="20">
        <f>M26*B29</f>
        <v>0</v>
      </c>
      <c r="N30" s="20"/>
      <c r="O30" s="20"/>
    </row>
    <row r="31" spans="1:15" x14ac:dyDescent="0.25">
      <c r="A31" s="52"/>
      <c r="C31" s="20">
        <f>C30-C29</f>
        <v>-0.35</v>
      </c>
      <c r="D31" s="20">
        <f>D30-D29</f>
        <v>-0.35</v>
      </c>
      <c r="E31" s="20">
        <f>E30-E29</f>
        <v>-0.34599999999999997</v>
      </c>
      <c r="F31" s="20">
        <f>F30-F29</f>
        <v>-0.36899999999999999</v>
      </c>
      <c r="G31" s="20">
        <f>G30-G29</f>
        <v>-0.39600000000000002</v>
      </c>
      <c r="H31" s="20">
        <f>H30-H29</f>
        <v>-0.40500000000000003</v>
      </c>
      <c r="I31" s="20">
        <f>I30-I29</f>
        <v>-0.41199999999999998</v>
      </c>
      <c r="J31" s="20">
        <f>J30-J29</f>
        <v>-0.41899999999999998</v>
      </c>
      <c r="K31" s="20">
        <f>K30-K29</f>
        <v>-0.42499999999999999</v>
      </c>
      <c r="L31">
        <f>L30-L29</f>
        <v>0</v>
      </c>
      <c r="M31" s="20">
        <f>M30-M29</f>
        <v>-0.379</v>
      </c>
      <c r="N31" s="20"/>
      <c r="O31" s="20"/>
    </row>
    <row r="32" spans="1:15" x14ac:dyDescent="0.25">
      <c r="A32" s="52" t="s">
        <v>820</v>
      </c>
      <c r="C32" s="20">
        <v>0.218</v>
      </c>
      <c r="D32" s="20">
        <v>0.218</v>
      </c>
      <c r="E32" s="20">
        <v>0.218</v>
      </c>
      <c r="F32" s="20">
        <v>0.218</v>
      </c>
      <c r="G32" s="20">
        <v>0.218</v>
      </c>
      <c r="H32" s="20">
        <v>0.218</v>
      </c>
      <c r="I32" s="20">
        <v>0.218</v>
      </c>
      <c r="J32" s="20">
        <v>0.218</v>
      </c>
      <c r="K32" s="20">
        <v>0.218</v>
      </c>
      <c r="M32" s="20">
        <v>0.218</v>
      </c>
      <c r="N32" s="20">
        <v>0.218</v>
      </c>
      <c r="O32" s="20">
        <v>0.218</v>
      </c>
    </row>
    <row r="33" spans="1:15" x14ac:dyDescent="0.25">
      <c r="A33" s="52"/>
      <c r="C33" s="20">
        <f>SUM(C26,C29)</f>
        <v>0.66399999999999992</v>
      </c>
      <c r="D33" s="20">
        <f>SUM(D26,D29)</f>
        <v>0.66399999999999992</v>
      </c>
      <c r="E33" s="20">
        <f>SUM(E26,E29)</f>
        <v>0.65900000000000003</v>
      </c>
      <c r="F33" s="20">
        <f>SUM(F26,F29)</f>
        <v>0.70300000000000007</v>
      </c>
      <c r="G33" s="20">
        <f>SUM(G26,G29)</f>
        <v>0.74199999999999999</v>
      </c>
      <c r="H33" s="20">
        <f>SUM(H26,H29)</f>
        <v>0.754</v>
      </c>
      <c r="I33" s="20">
        <f>SUM(I26,I29)</f>
        <v>0.77099999999999991</v>
      </c>
      <c r="J33" s="20">
        <f>SUM(J26,J29)</f>
        <v>0.78699999999999992</v>
      </c>
      <c r="K33" s="20">
        <f>SUM(K26,K29)</f>
        <v>0.80200000000000005</v>
      </c>
      <c r="L33">
        <f>SUM(L26,L29)</f>
        <v>0</v>
      </c>
      <c r="M33" s="20">
        <f>SUM(M26,M29)</f>
        <v>0.71500000000000008</v>
      </c>
      <c r="N33" s="20"/>
      <c r="O33" s="20"/>
    </row>
    <row r="34" spans="1:15" x14ac:dyDescent="0.25">
      <c r="A34" s="52"/>
      <c r="C34" s="20">
        <f>C33-C32</f>
        <v>0.44599999999999995</v>
      </c>
      <c r="D34" s="20">
        <f>D33-D32</f>
        <v>0.44599999999999995</v>
      </c>
      <c r="E34" s="20">
        <f>E33-E32</f>
        <v>0.44100000000000006</v>
      </c>
      <c r="F34" s="20">
        <f>F33-F32</f>
        <v>0.4850000000000001</v>
      </c>
      <c r="G34" s="20">
        <f>G33-G32</f>
        <v>0.52400000000000002</v>
      </c>
      <c r="H34" s="20">
        <f>H33-H32</f>
        <v>0.53600000000000003</v>
      </c>
      <c r="I34" s="20">
        <f>I33-I32</f>
        <v>0.55299999999999994</v>
      </c>
      <c r="J34" s="20">
        <f>J33-J32</f>
        <v>0.56899999999999995</v>
      </c>
      <c r="K34" s="20">
        <f>K33-K32</f>
        <v>0.58400000000000007</v>
      </c>
      <c r="L34">
        <f>L33-L32</f>
        <v>0</v>
      </c>
      <c r="M34" s="20">
        <f>M33-M32</f>
        <v>0.49700000000000011</v>
      </c>
      <c r="N34" s="20"/>
      <c r="O34" s="20"/>
    </row>
    <row r="35" spans="1:15" x14ac:dyDescent="0.25">
      <c r="A35" s="52" t="s">
        <v>821</v>
      </c>
      <c r="C35" s="20">
        <v>-3.5999999999999997E-2</v>
      </c>
      <c r="D35" s="20">
        <v>-3.5999999999999997E-2</v>
      </c>
      <c r="E35" s="20">
        <v>-3.4000000000000002E-2</v>
      </c>
      <c r="F35" s="20">
        <v>-3.5000000000000003E-2</v>
      </c>
      <c r="G35" s="21">
        <v>-0.05</v>
      </c>
      <c r="H35" s="20">
        <v>-5.5E-2</v>
      </c>
      <c r="I35" s="20">
        <v>-5.2999999999999999E-2</v>
      </c>
      <c r="J35" s="20">
        <v>-5.0999999999999997E-2</v>
      </c>
      <c r="K35" s="20">
        <v>-4.9000000000000002E-2</v>
      </c>
      <c r="M35" s="20">
        <v>-4.2999999999999997E-2</v>
      </c>
      <c r="N35" s="20">
        <v>-4.7E-2</v>
      </c>
      <c r="O35" s="20">
        <v>-5.2999999999999999E-2</v>
      </c>
    </row>
    <row r="36" spans="1:15" x14ac:dyDescent="0.25">
      <c r="A36" s="52" t="s">
        <v>822</v>
      </c>
      <c r="C36" s="20">
        <v>6.4000000000000001E-2</v>
      </c>
      <c r="D36" s="20">
        <v>6.4000000000000001E-2</v>
      </c>
      <c r="E36" s="20">
        <v>6.2E-2</v>
      </c>
      <c r="F36" s="20">
        <v>0.06</v>
      </c>
      <c r="G36" s="20">
        <v>5.7000000000000002E-2</v>
      </c>
      <c r="H36" s="20">
        <v>5.5E-2</v>
      </c>
      <c r="I36" s="20">
        <v>5.2999999999999999E-2</v>
      </c>
      <c r="J36" s="20">
        <v>5.0999999999999997E-2</v>
      </c>
      <c r="K36" s="20">
        <v>0.05</v>
      </c>
      <c r="M36" s="20">
        <v>5.8000000000000003E-2</v>
      </c>
      <c r="N36" s="20">
        <v>5.7000000000000002E-2</v>
      </c>
      <c r="O36" s="20">
        <v>5.6000000000000001E-2</v>
      </c>
    </row>
    <row r="37" spans="1:15" x14ac:dyDescent="0.25">
      <c r="A37" s="52"/>
      <c r="C37" s="20">
        <f>SUM(C32,C35)</f>
        <v>0.182</v>
      </c>
      <c r="D37" s="20">
        <f>SUM(D32,D35)</f>
        <v>0.182</v>
      </c>
      <c r="E37" s="20">
        <f>SUM(E32,E35)</f>
        <v>0.184</v>
      </c>
      <c r="F37" s="20">
        <f>SUM(F32,F35)</f>
        <v>0.183</v>
      </c>
      <c r="G37" s="20">
        <f>SUM(G32,G35)</f>
        <v>0.16799999999999998</v>
      </c>
      <c r="H37" s="20">
        <f>SUM(H32,H35)</f>
        <v>0.16300000000000001</v>
      </c>
      <c r="I37" s="20">
        <f>SUM(I32,I35)</f>
        <v>0.16500000000000001</v>
      </c>
      <c r="J37" s="20">
        <f>SUM(J32,J35)</f>
        <v>0.16700000000000001</v>
      </c>
      <c r="K37" s="20">
        <f>SUM(K32,K35)</f>
        <v>0.16899999999999998</v>
      </c>
      <c r="L37">
        <f>SUM(L32,L35)</f>
        <v>0</v>
      </c>
      <c r="M37" s="20">
        <f>SUM(M32,M35)</f>
        <v>0.17499999999999999</v>
      </c>
      <c r="N37" s="20"/>
      <c r="O37" s="20"/>
    </row>
    <row r="38" spans="1:15" x14ac:dyDescent="0.25">
      <c r="A38" s="52"/>
      <c r="C38" s="20">
        <f>C37-C36</f>
        <v>0.11799999999999999</v>
      </c>
      <c r="D38" s="20">
        <f>D37-D36</f>
        <v>0.11799999999999999</v>
      </c>
      <c r="E38" s="20">
        <f>E37-E36</f>
        <v>0.122</v>
      </c>
      <c r="F38" s="20">
        <f>F37-F36</f>
        <v>0.123</v>
      </c>
      <c r="G38" s="20">
        <f>G37-G36</f>
        <v>0.11099999999999999</v>
      </c>
      <c r="H38" s="20">
        <f>H37-H36</f>
        <v>0.10800000000000001</v>
      </c>
      <c r="I38" s="20">
        <f>I37-I36</f>
        <v>0.11200000000000002</v>
      </c>
      <c r="J38" s="20">
        <f>J37-J36</f>
        <v>0.11600000000000002</v>
      </c>
      <c r="K38" s="20">
        <f>K37-K36</f>
        <v>0.11899999999999998</v>
      </c>
      <c r="L38">
        <f>L37-L36</f>
        <v>0</v>
      </c>
      <c r="M38" s="20">
        <f>M37-M36</f>
        <v>0.11699999999999999</v>
      </c>
      <c r="N38" s="20"/>
      <c r="O38" s="20"/>
    </row>
    <row r="39" spans="1:15" x14ac:dyDescent="0.25">
      <c r="A39" s="52" t="s">
        <v>823</v>
      </c>
      <c r="C39" s="20">
        <v>-0.16200000000000001</v>
      </c>
      <c r="D39" s="7" t="s">
        <v>703</v>
      </c>
      <c r="E39" s="20">
        <v>-0.17199999999999999</v>
      </c>
      <c r="F39" s="20">
        <v>-0.18099999999999999</v>
      </c>
      <c r="G39" s="20">
        <v>-0.187</v>
      </c>
      <c r="H39" s="20">
        <v>-0.192</v>
      </c>
      <c r="I39" s="20">
        <v>-0.192</v>
      </c>
      <c r="J39" s="20">
        <v>-0.192</v>
      </c>
      <c r="K39" s="20">
        <v>-0.192</v>
      </c>
      <c r="M39" s="20">
        <v>-0.183</v>
      </c>
      <c r="N39" s="20">
        <v>-0.187</v>
      </c>
      <c r="O39" s="20">
        <v>-0.189</v>
      </c>
    </row>
    <row r="40" spans="1:15" x14ac:dyDescent="0.25">
      <c r="A40" s="55" t="s">
        <v>61</v>
      </c>
    </row>
    <row r="41" spans="1:15" x14ac:dyDescent="0.25">
      <c r="A41" s="55"/>
      <c r="C41">
        <f>C36*C39</f>
        <v>-1.0368E-2</v>
      </c>
      <c r="D41" t="e">
        <f>D36*D39</f>
        <v>#VALUE!</v>
      </c>
      <c r="E41">
        <f>E36*E39</f>
        <v>-1.0664E-2</v>
      </c>
      <c r="F41">
        <f>F36*F39</f>
        <v>-1.086E-2</v>
      </c>
      <c r="G41">
        <f>G36*G39</f>
        <v>-1.0659E-2</v>
      </c>
      <c r="H41">
        <f>H36*H39</f>
        <v>-1.056E-2</v>
      </c>
      <c r="I41">
        <f>I36*I39</f>
        <v>-1.0175999999999999E-2</v>
      </c>
      <c r="J41">
        <f>J36*J39</f>
        <v>-9.7920000000000004E-3</v>
      </c>
      <c r="K41">
        <f>K36*K39</f>
        <v>-9.6000000000000009E-3</v>
      </c>
      <c r="L41">
        <f>L36*L39</f>
        <v>0</v>
      </c>
      <c r="M41">
        <f>M36*M39</f>
        <v>-1.0614E-2</v>
      </c>
    </row>
    <row r="42" spans="1:15" x14ac:dyDescent="0.25">
      <c r="A42" s="55"/>
      <c r="C42">
        <f>C41-C40</f>
        <v>-1.0368E-2</v>
      </c>
      <c r="D42" t="e">
        <f>D41-D40</f>
        <v>#VALUE!</v>
      </c>
      <c r="E42">
        <f>E41-E40</f>
        <v>-1.0664E-2</v>
      </c>
      <c r="F42">
        <f>F41-F40</f>
        <v>-1.086E-2</v>
      </c>
      <c r="G42">
        <f>G41-G40</f>
        <v>-1.0659E-2</v>
      </c>
      <c r="H42">
        <f>H41-H40</f>
        <v>-1.056E-2</v>
      </c>
      <c r="I42">
        <f>I41-I40</f>
        <v>-1.0175999999999999E-2</v>
      </c>
      <c r="J42">
        <f>J41-J40</f>
        <v>-9.7920000000000004E-3</v>
      </c>
      <c r="K42">
        <f>K41-K40</f>
        <v>-9.6000000000000009E-3</v>
      </c>
      <c r="L42">
        <f>L41-L40</f>
        <v>0</v>
      </c>
      <c r="M42">
        <f>M41-M40</f>
        <v>-1.0614E-2</v>
      </c>
    </row>
    <row r="43" spans="1:15" x14ac:dyDescent="0.25">
      <c r="A43" s="48" t="s">
        <v>62</v>
      </c>
      <c r="C43" s="2" t="s">
        <v>63</v>
      </c>
    </row>
    <row r="44" spans="1:15" x14ac:dyDescent="0.25">
      <c r="B44" s="5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58</vt:i4>
      </vt:variant>
    </vt:vector>
  </HeadingPairs>
  <TitlesOfParts>
    <vt:vector size="58" baseType="lpstr">
      <vt:lpstr>Index</vt:lpstr>
      <vt:lpstr>Page 1</vt:lpstr>
      <vt:lpstr>Page 2</vt:lpstr>
      <vt:lpstr>Page 3</vt:lpstr>
      <vt:lpstr>Page 4</vt:lpstr>
      <vt:lpstr>Page 5</vt:lpstr>
      <vt:lpstr>Page 6</vt:lpstr>
      <vt:lpstr>Page 7</vt:lpstr>
      <vt:lpstr>Page 8</vt:lpstr>
      <vt:lpstr>Page 9</vt:lpstr>
      <vt:lpstr>Page 10</vt:lpstr>
      <vt:lpstr>Page 11</vt:lpstr>
      <vt:lpstr>Page 12</vt:lpstr>
      <vt:lpstr>Page 13</vt:lpstr>
      <vt:lpstr>Page 14</vt:lpstr>
      <vt:lpstr>Page 15</vt:lpstr>
      <vt:lpstr>Page 16</vt:lpstr>
      <vt:lpstr>Page 17</vt:lpstr>
      <vt:lpstr>Page 18</vt:lpstr>
      <vt:lpstr>Page 19</vt:lpstr>
      <vt:lpstr>Page 20</vt:lpstr>
      <vt:lpstr>Page 21</vt:lpstr>
      <vt:lpstr>Page 22</vt:lpstr>
      <vt:lpstr>Page 23</vt:lpstr>
      <vt:lpstr>Page 24</vt:lpstr>
      <vt:lpstr>Page 25</vt:lpstr>
      <vt:lpstr>Page 26</vt:lpstr>
      <vt:lpstr>Page 27</vt:lpstr>
      <vt:lpstr>Page 28</vt:lpstr>
      <vt:lpstr>Page 29</vt:lpstr>
      <vt:lpstr>Page 30</vt:lpstr>
      <vt:lpstr>Page 31</vt:lpstr>
      <vt:lpstr>Page 32</vt:lpstr>
      <vt:lpstr>Page 33</vt:lpstr>
      <vt:lpstr>Page 34</vt:lpstr>
      <vt:lpstr>Page 35</vt:lpstr>
      <vt:lpstr>Page 36</vt:lpstr>
      <vt:lpstr>Page 37</vt:lpstr>
      <vt:lpstr>Page 38</vt:lpstr>
      <vt:lpstr>Page 39</vt:lpstr>
      <vt:lpstr>Page 40</vt:lpstr>
      <vt:lpstr>Page 41</vt:lpstr>
      <vt:lpstr>Page 42</vt:lpstr>
      <vt:lpstr>Page 43</vt:lpstr>
      <vt:lpstr>Page 44</vt:lpstr>
      <vt:lpstr>Page 45</vt:lpstr>
      <vt:lpstr>Page 46</vt:lpstr>
      <vt:lpstr>Page 47</vt:lpstr>
      <vt:lpstr>Page 48</vt:lpstr>
      <vt:lpstr>Page 49</vt:lpstr>
      <vt:lpstr>Page 50</vt:lpstr>
      <vt:lpstr>Page 51</vt:lpstr>
      <vt:lpstr>Page 52</vt:lpstr>
      <vt:lpstr>Page 53</vt:lpstr>
      <vt:lpstr>Page 54</vt:lpstr>
      <vt:lpstr>Page 55</vt:lpstr>
      <vt:lpstr>Page 56</vt:lpstr>
      <vt:lpstr>Page 57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Elise N Feyereisen</dc:creator>
  <cp:lastModifiedBy>Lucas Kot-Zaniewski</cp:lastModifiedBy>
  <dcterms:created xsi:type="dcterms:W3CDTF">2016-12-05T00:37:59Z</dcterms:created>
  <dcterms:modified xsi:type="dcterms:W3CDTF">2016-12-05T05:44:10Z</dcterms:modified>
</cp:coreProperties>
</file>